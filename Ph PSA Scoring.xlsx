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7.xml" ContentType="application/vnd.openxmlformats-officedocument.spreadsheetml.worksheet+xml"/>
  <Override PartName="/xl/chartsheets/sheet3.xml" ContentType="application/vnd.openxmlformats-officedocument.spreadsheetml.chartsheet+xml"/>
  <Override PartName="/xl/worksheets/sheet8.xml" ContentType="application/vnd.openxmlformats-officedocument.spreadsheetml.work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7.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hidePivotFieldList="1"/>
  <mc:AlternateContent xmlns:mc="http://schemas.openxmlformats.org/markup-compatibility/2006">
    <mc:Choice Requires="x15">
      <x15ac:absPath xmlns:x15ac="http://schemas.microsoft.com/office/spreadsheetml/2010/11/ac" url="https://olddominion-my.sharepoint.com/personal/jbald004_odu_edu/Documents/ODU/Dissertation/Chapter 2 PSA Philippines/"/>
    </mc:Choice>
  </mc:AlternateContent>
  <xr:revisionPtr revIDLastSave="3977" documentId="13_ncr:1_{C794352C-6B91-7D47-8A89-B532FF911744}" xr6:coauthVersionLast="47" xr6:coauthVersionMax="47" xr10:uidLastSave="{5BA09C43-CF62-B046-A0CF-8E0FB17C8157}"/>
  <bookViews>
    <workbookView xWindow="0" yWindow="500" windowWidth="24380" windowHeight="11820" xr2:uid="{00000000-000D-0000-FFFF-FFFF00000000}"/>
  </bookViews>
  <sheets>
    <sheet name="2025 PH PSA Scores" sheetId="32" r:id="rId1"/>
    <sheet name="Copy of New Scoring - 2023 PSA " sheetId="5" state="hidden" r:id="rId2"/>
    <sheet name="Validity of species namesfamili" sheetId="6" state="hidden" r:id="rId3"/>
    <sheet name="Sheet14" sheetId="7" state="hidden" r:id="rId4"/>
    <sheet name="2022 PSA Weighting - Top 20 Vul" sheetId="8" state="hidden" r:id="rId5"/>
    <sheet name="2023 PSA Weighting - Top 20 Vul" sheetId="9" state="hidden" r:id="rId6"/>
    <sheet name="Chart13" sheetId="10" state="hidden" r:id="rId7"/>
    <sheet name="Chart10" sheetId="11" state="hidden" r:id="rId8"/>
    <sheet name="Data for factor score average (" sheetId="19" state="hidden" r:id="rId9"/>
    <sheet name="Chart6" sheetId="20" state="hidden" r:id="rId10"/>
    <sheet name="Sheet18" sheetId="21" state="hidden" r:id="rId11"/>
    <sheet name="Chart9" sheetId="22" state="hidden" r:id="rId12"/>
    <sheet name="Chart8" sheetId="23" state="hidden" r:id="rId13"/>
    <sheet name="Chart5" sheetId="24" state="hidden" r:id="rId14"/>
    <sheet name="P,S,V Averages per family - 202" sheetId="25" state="hidden" r:id="rId15"/>
    <sheet name="Families" sheetId="26" state="hidden" r:id="rId16"/>
    <sheet name="Chart14" sheetId="27" state="hidden" r:id="rId17"/>
    <sheet name="PSA final list (duplicatesgenus" sheetId="28" state="hidden" r:id="rId18"/>
    <sheet name="Sources" sheetId="29" r:id="rId19"/>
  </sheets>
  <definedNames>
    <definedName name="_xlnm._FilterDatabase" localSheetId="0" hidden="1">'2025 PH PSA Scores'!$A$2:$BI$125</definedName>
    <definedName name="_xlnm._FilterDatabase" localSheetId="1" hidden="1">'Copy of New Scoring - 2023 PSA '!$A$2:$CU$285</definedName>
    <definedName name="_xlnm._FilterDatabase" localSheetId="17" hidden="1">'PSA final list (duplicatesgenus'!$A$1:$AA$259</definedName>
    <definedName name="Z_52B89D4E_1FC3_4ED4_B7AA_B26003EF6F35_.wvu.FilterData" localSheetId="1" hidden="1">'Copy of New Scoring - 2023 PSA '!$A$2:$CU$285</definedName>
    <definedName name="Z_53BE6639_590C_433C_AF4A_95B92AC1FD78_.wvu.FilterData" localSheetId="1" hidden="1">'Copy of New Scoring - 2023 PSA '!$A$2:$CU$285</definedName>
  </definedNames>
  <calcPr calcId="191028"/>
  <customWorkbookViews>
    <customWorkbookView name="Filter 4" guid="{D69DFDB4-0A0A-4E22-A059-83564BED295C}" maximized="1" windowWidth="0" windowHeight="0" activeSheetId="0"/>
    <customWorkbookView name="Filter 2" guid="{53BE6639-590C-433C-AF4A-95B92AC1FD78}" maximized="1" windowWidth="0" windowHeight="0" activeSheetId="0"/>
    <customWorkbookView name="Filter 3" guid="{AFBBF622-5BB3-4AE1-8940-F9D581347536}" maximized="1" windowWidth="0" windowHeight="0" activeSheetId="0"/>
    <customWorkbookView name="Filter 1" guid="{52B89D4E-1FC3-4ED4-B7AA-B26003EF6F3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102" i="32" l="1"/>
  <c r="AT94" i="32" l="1"/>
  <c r="AV94" i="32" s="1"/>
  <c r="AT95" i="32"/>
  <c r="AV95" i="32" s="1"/>
  <c r="AT96" i="32"/>
  <c r="AV96" i="32" s="1"/>
  <c r="AT97" i="32"/>
  <c r="AV97" i="32" s="1"/>
  <c r="AT98" i="32"/>
  <c r="AV98" i="32" s="1"/>
  <c r="AT99" i="32"/>
  <c r="AV99" i="32" s="1"/>
  <c r="AT100" i="32"/>
  <c r="AV100" i="32" s="1"/>
  <c r="AT101" i="32"/>
  <c r="AV101" i="32" s="1"/>
  <c r="AT102" i="32"/>
  <c r="AV102" i="32" s="1"/>
  <c r="AT103" i="32"/>
  <c r="AV103" i="32" s="1"/>
  <c r="AT104" i="32"/>
  <c r="AV104" i="32" s="1"/>
  <c r="AT105" i="32"/>
  <c r="AV105" i="32" s="1"/>
  <c r="AT4" i="32"/>
  <c r="AV4" i="32" s="1"/>
  <c r="AT5" i="32"/>
  <c r="AV5" i="32" s="1"/>
  <c r="AT6" i="32"/>
  <c r="AV6" i="32" s="1"/>
  <c r="AT7" i="32"/>
  <c r="AV7" i="32" s="1"/>
  <c r="AT8" i="32"/>
  <c r="AV8" i="32" s="1"/>
  <c r="AT9" i="32"/>
  <c r="AV9" i="32" s="1"/>
  <c r="AT10" i="32"/>
  <c r="AV10" i="32" s="1"/>
  <c r="AT11" i="32"/>
  <c r="AV11" i="32" s="1"/>
  <c r="AT12" i="32"/>
  <c r="AV12" i="32" s="1"/>
  <c r="AT13" i="32"/>
  <c r="AV13" i="32" s="1"/>
  <c r="AT14" i="32"/>
  <c r="AV14" i="32" s="1"/>
  <c r="AT15" i="32"/>
  <c r="AV15" i="32" s="1"/>
  <c r="AT16" i="32"/>
  <c r="AV16" i="32" s="1"/>
  <c r="AT17" i="32"/>
  <c r="AV17" i="32" s="1"/>
  <c r="AT18" i="32"/>
  <c r="AV18" i="32" s="1"/>
  <c r="AT19" i="32"/>
  <c r="AV19" i="32" s="1"/>
  <c r="AT20" i="32"/>
  <c r="AV20" i="32" s="1"/>
  <c r="AT21" i="32"/>
  <c r="AV21" i="32" s="1"/>
  <c r="AT22" i="32"/>
  <c r="AV22" i="32" s="1"/>
  <c r="AT23" i="32"/>
  <c r="AV23" i="32" s="1"/>
  <c r="AT24" i="32"/>
  <c r="AV24" i="32" s="1"/>
  <c r="AT25" i="32"/>
  <c r="AV25" i="32" s="1"/>
  <c r="AT26" i="32"/>
  <c r="AV26" i="32" s="1"/>
  <c r="AT27" i="32"/>
  <c r="AV27" i="32" s="1"/>
  <c r="AT28" i="32"/>
  <c r="AV28" i="32" s="1"/>
  <c r="AT29" i="32"/>
  <c r="AV29" i="32" s="1"/>
  <c r="AT30" i="32"/>
  <c r="AV30" i="32" s="1"/>
  <c r="AT31" i="32"/>
  <c r="AV31" i="32" s="1"/>
  <c r="AT32" i="32"/>
  <c r="AV32" i="32" s="1"/>
  <c r="AT33" i="32"/>
  <c r="AV33" i="32" s="1"/>
  <c r="AT34" i="32"/>
  <c r="AV34" i="32" s="1"/>
  <c r="AT35" i="32"/>
  <c r="AV35" i="32" s="1"/>
  <c r="AT36" i="32"/>
  <c r="AV36" i="32" s="1"/>
  <c r="AT37" i="32"/>
  <c r="AV37" i="32" s="1"/>
  <c r="AT38" i="32"/>
  <c r="AV38" i="32" s="1"/>
  <c r="AT39" i="32"/>
  <c r="AV39" i="32" s="1"/>
  <c r="AT40" i="32"/>
  <c r="AV40" i="32" s="1"/>
  <c r="AT41" i="32"/>
  <c r="AV41" i="32" s="1"/>
  <c r="AT42" i="32"/>
  <c r="AV42" i="32" s="1"/>
  <c r="AT43" i="32"/>
  <c r="AV43" i="32" s="1"/>
  <c r="AT44" i="32"/>
  <c r="AV44" i="32" s="1"/>
  <c r="AT45" i="32"/>
  <c r="AV45" i="32" s="1"/>
  <c r="AT46" i="32"/>
  <c r="AV46" i="32" s="1"/>
  <c r="AT47" i="32"/>
  <c r="AV47" i="32" s="1"/>
  <c r="AT48" i="32"/>
  <c r="AV48" i="32" s="1"/>
  <c r="AT49" i="32"/>
  <c r="AV49" i="32" s="1"/>
  <c r="AT50" i="32"/>
  <c r="AV50" i="32" s="1"/>
  <c r="AT51" i="32"/>
  <c r="AV51" i="32" s="1"/>
  <c r="AT52" i="32"/>
  <c r="AV52" i="32" s="1"/>
  <c r="AT53" i="32"/>
  <c r="AV53" i="32" s="1"/>
  <c r="AT54" i="32"/>
  <c r="AV54" i="32" s="1"/>
  <c r="AT55" i="32"/>
  <c r="AV55" i="32" s="1"/>
  <c r="AT56" i="32"/>
  <c r="AV56" i="32" s="1"/>
  <c r="AT57" i="32"/>
  <c r="AV57" i="32" s="1"/>
  <c r="AT58" i="32"/>
  <c r="AV58" i="32" s="1"/>
  <c r="AT59" i="32"/>
  <c r="AV59" i="32" s="1"/>
  <c r="AT60" i="32"/>
  <c r="AV60" i="32" s="1"/>
  <c r="AT61" i="32"/>
  <c r="AV61" i="32" s="1"/>
  <c r="AT62" i="32"/>
  <c r="AV62" i="32" s="1"/>
  <c r="AT63" i="32"/>
  <c r="AV63" i="32" s="1"/>
  <c r="AT64" i="32"/>
  <c r="AV64" i="32" s="1"/>
  <c r="AT65" i="32"/>
  <c r="AV65" i="32" s="1"/>
  <c r="AT66" i="32"/>
  <c r="AV66" i="32" s="1"/>
  <c r="AT67" i="32"/>
  <c r="AV67" i="32" s="1"/>
  <c r="AT68" i="32"/>
  <c r="AV68" i="32" s="1"/>
  <c r="AT69" i="32"/>
  <c r="AV69" i="32" s="1"/>
  <c r="AT70" i="32"/>
  <c r="AV70" i="32" s="1"/>
  <c r="AT71" i="32"/>
  <c r="AV71" i="32" s="1"/>
  <c r="AT72" i="32"/>
  <c r="AV72" i="32" s="1"/>
  <c r="AT73" i="32"/>
  <c r="AV73" i="32" s="1"/>
  <c r="AT74" i="32"/>
  <c r="AV74" i="32" s="1"/>
  <c r="AT75" i="32"/>
  <c r="AV75" i="32" s="1"/>
  <c r="AT76" i="32"/>
  <c r="AV76" i="32" s="1"/>
  <c r="AT77" i="32"/>
  <c r="AV77" i="32" s="1"/>
  <c r="AT78" i="32"/>
  <c r="AV78" i="32" s="1"/>
  <c r="AT79" i="32"/>
  <c r="AV79" i="32" s="1"/>
  <c r="AT80" i="32"/>
  <c r="AV80" i="32" s="1"/>
  <c r="AT81" i="32"/>
  <c r="AV81" i="32" s="1"/>
  <c r="AT82" i="32"/>
  <c r="AV82" i="32" s="1"/>
  <c r="AT83" i="32"/>
  <c r="AV83" i="32" s="1"/>
  <c r="AT84" i="32"/>
  <c r="AV84" i="32" s="1"/>
  <c r="AT85" i="32"/>
  <c r="AV85" i="32" s="1"/>
  <c r="AT86" i="32"/>
  <c r="AV86" i="32" s="1"/>
  <c r="AT87" i="32"/>
  <c r="AV87" i="32" s="1"/>
  <c r="AT88" i="32"/>
  <c r="AV88" i="32" s="1"/>
  <c r="AT89" i="32"/>
  <c r="AV89" i="32" s="1"/>
  <c r="AT90" i="32"/>
  <c r="AV90" i="32" s="1"/>
  <c r="AT91" i="32"/>
  <c r="AV91" i="32" s="1"/>
  <c r="AT92" i="32"/>
  <c r="AV92" i="32" s="1"/>
  <c r="AT93" i="32"/>
  <c r="AV93" i="32" s="1"/>
  <c r="AT3" i="32"/>
  <c r="AV3" i="32" s="1"/>
  <c r="AR93" i="32"/>
  <c r="AR94" i="32"/>
  <c r="AR95" i="32"/>
  <c r="AR96" i="32"/>
  <c r="AR99" i="32"/>
  <c r="AR102" i="32"/>
  <c r="AR104" i="32"/>
  <c r="AR105" i="32"/>
  <c r="AR92" i="32"/>
  <c r="AO102" i="32"/>
  <c r="AD102" i="32"/>
  <c r="AE102" i="32" s="1"/>
  <c r="AR41" i="32"/>
  <c r="BA3" i="32"/>
  <c r="AO3" i="32"/>
  <c r="BA4" i="32"/>
  <c r="BA105" i="32" l="1"/>
  <c r="AR78" i="32"/>
  <c r="AR3" i="32"/>
  <c r="AD3" i="32" l="1"/>
  <c r="AE3" i="32" s="1"/>
  <c r="BA104" i="32"/>
  <c r="BA103" i="32"/>
  <c r="AR4" i="32"/>
  <c r="AR5" i="32"/>
  <c r="AR6" i="32"/>
  <c r="AR7" i="32"/>
  <c r="AR8" i="32"/>
  <c r="AR9" i="32"/>
  <c r="AR10" i="32"/>
  <c r="AR11" i="32"/>
  <c r="AR12" i="32"/>
  <c r="AR13" i="32"/>
  <c r="AR14" i="32"/>
  <c r="AR15" i="32"/>
  <c r="AR16" i="32"/>
  <c r="AR17" i="32"/>
  <c r="AR18" i="32"/>
  <c r="AR19" i="32"/>
  <c r="AR20" i="32"/>
  <c r="AR22" i="32"/>
  <c r="AR23" i="32"/>
  <c r="AR24" i="32"/>
  <c r="AR25" i="32"/>
  <c r="AR26" i="32"/>
  <c r="AR27" i="32"/>
  <c r="AR28" i="32"/>
  <c r="AR29" i="32"/>
  <c r="AR30" i="32"/>
  <c r="AR31" i="32"/>
  <c r="AR32" i="32"/>
  <c r="AR33" i="32"/>
  <c r="AR34" i="32"/>
  <c r="AR35" i="32"/>
  <c r="AR36" i="32"/>
  <c r="AR37" i="32"/>
  <c r="AR39" i="32"/>
  <c r="AR40" i="32"/>
  <c r="AR42" i="32"/>
  <c r="AR43" i="32"/>
  <c r="AR44" i="32"/>
  <c r="AR45" i="32"/>
  <c r="AR46" i="32"/>
  <c r="AR47" i="32"/>
  <c r="AR48" i="32"/>
  <c r="AR49" i="32"/>
  <c r="AR50" i="32"/>
  <c r="AR51" i="32"/>
  <c r="AR52" i="32"/>
  <c r="AR53" i="32"/>
  <c r="AR54" i="32"/>
  <c r="AR55" i="32"/>
  <c r="AR56" i="32"/>
  <c r="AR57" i="32"/>
  <c r="AR58" i="32"/>
  <c r="AR59" i="32"/>
  <c r="AR60" i="32"/>
  <c r="AR61" i="32"/>
  <c r="AR62" i="32"/>
  <c r="AR63" i="32"/>
  <c r="AR64" i="32"/>
  <c r="AR65" i="32"/>
  <c r="AR66" i="32"/>
  <c r="AR67" i="32"/>
  <c r="AR68" i="32"/>
  <c r="AR69" i="32"/>
  <c r="AR70" i="32"/>
  <c r="AR71" i="32"/>
  <c r="AR72" i="32"/>
  <c r="AR73" i="32"/>
  <c r="AR74" i="32"/>
  <c r="AR75" i="32"/>
  <c r="AR76" i="32"/>
  <c r="AR77" i="32"/>
  <c r="AR103" i="32"/>
  <c r="AO11" i="32"/>
  <c r="AO99" i="32"/>
  <c r="AO92" i="32"/>
  <c r="AO85" i="32"/>
  <c r="AO72" i="32"/>
  <c r="AO34" i="32"/>
  <c r="AO104" i="32"/>
  <c r="AO103" i="32"/>
  <c r="K103" i="32"/>
  <c r="G103" i="32"/>
  <c r="AD11" i="32"/>
  <c r="AO94" i="32"/>
  <c r="BA100" i="32"/>
  <c r="BA101" i="32"/>
  <c r="BA94" i="32"/>
  <c r="BA78" i="32"/>
  <c r="AR38" i="32"/>
  <c r="BA38" i="32"/>
  <c r="BA21" i="32"/>
  <c r="AR21" i="32"/>
  <c r="AR101" i="32"/>
  <c r="AO101" i="32"/>
  <c r="Y101" i="32"/>
  <c r="T101" i="32"/>
  <c r="O101" i="32"/>
  <c r="K101" i="32"/>
  <c r="G101" i="32"/>
  <c r="AD103" i="32" l="1"/>
  <c r="AE103" i="32" s="1"/>
  <c r="AD90" i="32"/>
  <c r="AD104" i="32"/>
  <c r="AE104" i="32" s="1"/>
  <c r="AD101" i="32" l="1"/>
  <c r="AE101" i="32" s="1"/>
  <c r="AO38" i="32"/>
  <c r="AO21" i="32"/>
  <c r="AR100" i="32"/>
  <c r="Y100" i="32"/>
  <c r="T100" i="32"/>
  <c r="O100" i="32"/>
  <c r="K100" i="32"/>
  <c r="G100" i="32"/>
  <c r="AO100" i="32"/>
  <c r="AD100" i="32" l="1"/>
  <c r="AE100" i="32" s="1"/>
  <c r="Y94" i="32"/>
  <c r="T94" i="32"/>
  <c r="O94" i="32"/>
  <c r="K94" i="32"/>
  <c r="G94" i="32"/>
  <c r="AO78" i="32"/>
  <c r="Y78" i="32"/>
  <c r="T78" i="32"/>
  <c r="O78" i="32"/>
  <c r="K78" i="32"/>
  <c r="G78" i="32"/>
  <c r="Y38" i="32"/>
  <c r="T38" i="32"/>
  <c r="O38" i="32"/>
  <c r="K38" i="32"/>
  <c r="G38" i="32"/>
  <c r="Y21" i="32" l="1"/>
  <c r="T21" i="32"/>
  <c r="O21" i="32"/>
  <c r="K21" i="32"/>
  <c r="G21" i="32"/>
  <c r="AD78" i="32" l="1"/>
  <c r="AD38" i="32"/>
  <c r="AD94" i="32"/>
  <c r="AE94" i="32" s="1"/>
  <c r="AE78" i="32"/>
  <c r="BA5" i="32"/>
  <c r="BA6" i="32"/>
  <c r="BA7" i="32"/>
  <c r="BA8" i="32"/>
  <c r="BA9" i="32"/>
  <c r="BA10" i="32"/>
  <c r="BA11" i="32"/>
  <c r="BA12" i="32"/>
  <c r="BA13" i="32"/>
  <c r="BA14" i="32"/>
  <c r="BA15" i="32"/>
  <c r="BA16" i="32"/>
  <c r="BA17" i="32"/>
  <c r="BA18" i="32"/>
  <c r="BA19" i="32"/>
  <c r="BA20" i="32"/>
  <c r="BA22" i="32"/>
  <c r="BA23" i="32"/>
  <c r="BA24" i="32"/>
  <c r="BA25" i="32"/>
  <c r="BA26" i="32"/>
  <c r="BA27" i="32"/>
  <c r="BA28" i="32"/>
  <c r="BA29" i="32"/>
  <c r="BA30" i="32"/>
  <c r="BA31" i="32"/>
  <c r="BA32" i="32"/>
  <c r="BA33" i="32"/>
  <c r="BA34" i="32"/>
  <c r="BA35" i="32"/>
  <c r="BA36" i="32"/>
  <c r="BA37" i="32"/>
  <c r="BA39" i="32"/>
  <c r="BA40" i="32"/>
  <c r="BA41" i="32"/>
  <c r="BA42" i="32"/>
  <c r="BA43" i="32"/>
  <c r="BA44" i="32"/>
  <c r="BA45" i="32"/>
  <c r="BA46" i="32"/>
  <c r="BA47" i="32"/>
  <c r="BA48" i="32"/>
  <c r="BA49" i="32"/>
  <c r="BA50" i="32"/>
  <c r="BA51" i="32"/>
  <c r="BA52" i="32"/>
  <c r="BA53" i="32"/>
  <c r="BA54" i="32"/>
  <c r="BA55" i="32"/>
  <c r="BA56" i="32"/>
  <c r="BA57" i="32"/>
  <c r="BA58" i="32"/>
  <c r="BA59" i="32"/>
  <c r="BA60" i="32"/>
  <c r="BA61" i="32"/>
  <c r="BA62" i="32"/>
  <c r="BA63" i="32"/>
  <c r="BA64" i="32"/>
  <c r="BA65" i="32"/>
  <c r="BA66" i="32"/>
  <c r="BA67" i="32"/>
  <c r="BA68" i="32"/>
  <c r="BA69" i="32"/>
  <c r="BA70" i="32"/>
  <c r="BA71" i="32"/>
  <c r="BA72" i="32"/>
  <c r="BA73" i="32"/>
  <c r="BA74" i="32"/>
  <c r="BA75" i="32"/>
  <c r="BA76" i="32"/>
  <c r="BA77" i="32"/>
  <c r="BA79" i="32"/>
  <c r="BA80" i="32"/>
  <c r="BA81" i="32"/>
  <c r="BA82" i="32"/>
  <c r="BA83" i="32"/>
  <c r="BA84" i="32"/>
  <c r="BA85" i="32"/>
  <c r="BA86" i="32"/>
  <c r="BA87" i="32"/>
  <c r="BA88" i="32"/>
  <c r="BA89" i="32"/>
  <c r="BA90" i="32"/>
  <c r="BA91" i="32"/>
  <c r="BA92" i="32"/>
  <c r="BA93" i="32"/>
  <c r="BA95" i="32"/>
  <c r="BA96" i="32"/>
  <c r="BA97" i="32"/>
  <c r="BA98" i="32"/>
  <c r="BA99" i="32"/>
  <c r="AR79" i="32"/>
  <c r="AR80" i="32"/>
  <c r="AR81" i="32"/>
  <c r="AR82" i="32"/>
  <c r="AR83" i="32"/>
  <c r="AR84" i="32"/>
  <c r="AR85" i="32"/>
  <c r="AR86" i="32"/>
  <c r="AR87" i="32"/>
  <c r="AR88" i="32"/>
  <c r="AR89" i="32"/>
  <c r="AR90" i="32"/>
  <c r="AR91" i="32"/>
  <c r="AO105" i="32"/>
  <c r="AO18" i="32"/>
  <c r="AO19" i="32"/>
  <c r="AO20" i="32"/>
  <c r="AO22" i="32"/>
  <c r="AO23" i="32"/>
  <c r="AO24" i="32"/>
  <c r="AO25" i="32"/>
  <c r="AO26" i="32"/>
  <c r="AO27" i="32"/>
  <c r="AO28" i="32"/>
  <c r="AO29" i="32"/>
  <c r="AO30" i="32"/>
  <c r="AO31" i="32"/>
  <c r="AO32" i="32"/>
  <c r="AO33" i="32"/>
  <c r="AO35" i="32"/>
  <c r="AO36" i="32"/>
  <c r="AO37" i="32"/>
  <c r="AO39" i="32"/>
  <c r="AO40" i="32"/>
  <c r="AO41" i="32"/>
  <c r="AO42" i="32"/>
  <c r="AO43" i="32"/>
  <c r="AO44" i="32"/>
  <c r="AO45" i="32"/>
  <c r="AO46" i="32"/>
  <c r="AO47" i="32"/>
  <c r="AO48" i="32"/>
  <c r="AO49" i="32"/>
  <c r="AO50" i="32"/>
  <c r="AO51" i="32"/>
  <c r="AO52" i="32"/>
  <c r="AO53" i="32"/>
  <c r="AO54" i="32"/>
  <c r="AO55" i="32"/>
  <c r="AO56" i="32"/>
  <c r="AO57" i="32"/>
  <c r="AO58" i="32"/>
  <c r="AO59" i="32"/>
  <c r="AO60" i="32"/>
  <c r="AO61" i="32"/>
  <c r="AO62" i="32"/>
  <c r="AO63" i="32"/>
  <c r="AO64" i="32"/>
  <c r="AO65" i="32"/>
  <c r="AO66" i="32"/>
  <c r="AO67" i="32"/>
  <c r="AO68" i="32"/>
  <c r="AO69" i="32"/>
  <c r="AO70" i="32"/>
  <c r="AO71" i="32"/>
  <c r="AO73" i="32"/>
  <c r="AO74" i="32"/>
  <c r="AO75" i="32"/>
  <c r="AO76" i="32"/>
  <c r="AO77" i="32"/>
  <c r="AO79" i="32"/>
  <c r="AO80" i="32"/>
  <c r="AO81" i="32"/>
  <c r="AO82" i="32"/>
  <c r="AO83" i="32"/>
  <c r="AO84" i="32"/>
  <c r="AO86" i="32"/>
  <c r="AO87" i="32"/>
  <c r="AO88" i="32"/>
  <c r="AO89" i="32"/>
  <c r="AO90" i="32"/>
  <c r="AO91" i="32"/>
  <c r="AO93" i="32"/>
  <c r="AO95" i="32"/>
  <c r="AO96" i="32"/>
  <c r="AO97" i="32"/>
  <c r="AO98" i="32"/>
  <c r="AO4" i="32"/>
  <c r="AO5" i="32"/>
  <c r="AO6" i="32"/>
  <c r="AO7" i="32"/>
  <c r="AO8" i="32"/>
  <c r="AO9" i="32"/>
  <c r="AO10" i="32"/>
  <c r="AO12" i="32"/>
  <c r="AO13" i="32"/>
  <c r="AO14" i="32"/>
  <c r="AO15" i="32"/>
  <c r="AO16" i="32"/>
  <c r="AO17" i="32"/>
  <c r="AR98" i="32"/>
  <c r="Y98" i="32"/>
  <c r="T98" i="32"/>
  <c r="O98" i="32"/>
  <c r="K98" i="32"/>
  <c r="G98" i="32"/>
  <c r="AD95" i="32" l="1"/>
  <c r="AD93" i="32"/>
  <c r="AE93" i="32" s="1"/>
  <c r="AD92" i="32"/>
  <c r="AD91" i="32"/>
  <c r="AE91" i="32" s="1"/>
  <c r="AD89" i="32"/>
  <c r="AE89" i="32" s="1"/>
  <c r="AD88" i="32"/>
  <c r="AE88" i="32" s="1"/>
  <c r="AD87" i="32"/>
  <c r="AE87" i="32" s="1"/>
  <c r="AD86" i="32"/>
  <c r="AE86" i="32" s="1"/>
  <c r="AD85" i="32"/>
  <c r="AE85" i="32" s="1"/>
  <c r="AD84" i="32"/>
  <c r="AD83" i="32"/>
  <c r="AE83" i="32" s="1"/>
  <c r="AD82" i="32"/>
  <c r="AE82" i="32" s="1"/>
  <c r="AD81" i="32"/>
  <c r="AE81" i="32" s="1"/>
  <c r="AD80" i="32"/>
  <c r="AE80" i="32" s="1"/>
  <c r="AD79" i="32"/>
  <c r="AE79" i="32" s="1"/>
  <c r="AD77" i="32"/>
  <c r="AE77" i="32" s="1"/>
  <c r="AD76" i="32"/>
  <c r="AE76" i="32" s="1"/>
  <c r="AD75" i="32"/>
  <c r="AD74" i="32"/>
  <c r="AE74" i="32" s="1"/>
  <c r="AD73" i="32"/>
  <c r="AE73" i="32" s="1"/>
  <c r="AD72" i="32"/>
  <c r="AE72" i="32" s="1"/>
  <c r="AD71" i="32"/>
  <c r="AE71" i="32" s="1"/>
  <c r="AD70" i="32"/>
  <c r="AE70" i="32" s="1"/>
  <c r="AD69" i="32"/>
  <c r="AE69" i="32" s="1"/>
  <c r="AD68" i="32"/>
  <c r="AE68" i="32" s="1"/>
  <c r="AD67" i="32"/>
  <c r="AD66" i="32"/>
  <c r="AE66" i="32" s="1"/>
  <c r="AD65" i="32"/>
  <c r="AE65" i="32" s="1"/>
  <c r="AD64" i="32"/>
  <c r="AE64" i="32" s="1"/>
  <c r="AD63" i="32"/>
  <c r="AE63" i="32" s="1"/>
  <c r="AD62" i="32"/>
  <c r="AE62" i="32" s="1"/>
  <c r="AD61" i="32"/>
  <c r="AE61" i="32" s="1"/>
  <c r="AD60" i="32"/>
  <c r="AE60" i="32" s="1"/>
  <c r="AD59" i="32"/>
  <c r="AE59" i="32" s="1"/>
  <c r="AD58" i="32"/>
  <c r="AE58" i="32" s="1"/>
  <c r="AD57" i="32"/>
  <c r="AE57" i="32" s="1"/>
  <c r="AD56" i="32"/>
  <c r="AE56" i="32" s="1"/>
  <c r="AD55" i="32"/>
  <c r="AE55" i="32" s="1"/>
  <c r="AD54" i="32"/>
  <c r="AE54" i="32" s="1"/>
  <c r="AD53" i="32"/>
  <c r="AE53" i="32" s="1"/>
  <c r="AD52" i="32"/>
  <c r="AE52" i="32" s="1"/>
  <c r="AD51" i="32"/>
  <c r="AE51" i="32" s="1"/>
  <c r="AD50" i="32"/>
  <c r="AE50" i="32" s="1"/>
  <c r="AD49" i="32"/>
  <c r="AE49" i="32" s="1"/>
  <c r="AD48" i="32"/>
  <c r="AE48" i="32" s="1"/>
  <c r="AD47" i="32"/>
  <c r="AE47" i="32" s="1"/>
  <c r="AD46" i="32"/>
  <c r="AE46" i="32" s="1"/>
  <c r="AD45" i="32"/>
  <c r="AE45" i="32" s="1"/>
  <c r="AD44" i="32"/>
  <c r="AE44" i="32" s="1"/>
  <c r="AD43" i="32"/>
  <c r="AE43" i="32" s="1"/>
  <c r="AD42" i="32"/>
  <c r="AE42" i="32" s="1"/>
  <c r="AD41" i="32"/>
  <c r="AE41" i="32" s="1"/>
  <c r="AD40" i="32"/>
  <c r="AE40" i="32" s="1"/>
  <c r="AD39" i="32"/>
  <c r="AE39" i="32" s="1"/>
  <c r="AD37" i="32"/>
  <c r="AE37" i="32" s="1"/>
  <c r="AD36" i="32"/>
  <c r="AE36" i="32" s="1"/>
  <c r="AD35" i="32"/>
  <c r="AE35" i="32" s="1"/>
  <c r="AD34" i="32"/>
  <c r="AE34" i="32" s="1"/>
  <c r="AD33" i="32"/>
  <c r="AE33" i="32" s="1"/>
  <c r="AD32" i="32"/>
  <c r="AE32" i="32" s="1"/>
  <c r="AD31" i="32"/>
  <c r="AE31" i="32" s="1"/>
  <c r="AD30" i="32"/>
  <c r="AE30" i="32" s="1"/>
  <c r="AD29" i="32"/>
  <c r="AE29" i="32" s="1"/>
  <c r="AD28" i="32"/>
  <c r="AE28" i="32" s="1"/>
  <c r="AD27" i="32"/>
  <c r="AE27" i="32" s="1"/>
  <c r="AD26" i="32"/>
  <c r="AE26" i="32" s="1"/>
  <c r="AD25" i="32"/>
  <c r="AE25" i="32" s="1"/>
  <c r="AD24" i="32"/>
  <c r="AE24" i="32" s="1"/>
  <c r="AD23" i="32"/>
  <c r="AE23" i="32" s="1"/>
  <c r="AD22" i="32"/>
  <c r="AE22" i="32" s="1"/>
  <c r="AD20" i="32"/>
  <c r="AE20" i="32" s="1"/>
  <c r="AD19" i="32"/>
  <c r="AE19" i="32" s="1"/>
  <c r="AD18" i="32"/>
  <c r="AE18" i="32" s="1"/>
  <c r="AD17" i="32"/>
  <c r="AE17" i="32" s="1"/>
  <c r="AD16" i="32"/>
  <c r="AE16" i="32" s="1"/>
  <c r="AD15" i="32"/>
  <c r="AE15" i="32" s="1"/>
  <c r="AD14" i="32"/>
  <c r="AE14" i="32" s="1"/>
  <c r="AD13" i="32"/>
  <c r="AE13" i="32" s="1"/>
  <c r="AD12" i="32"/>
  <c r="AE12" i="32" s="1"/>
  <c r="AD10" i="32"/>
  <c r="AE10" i="32" s="1"/>
  <c r="AD9" i="32"/>
  <c r="AE9" i="32" s="1"/>
  <c r="AD8" i="32"/>
  <c r="AE8" i="32" s="1"/>
  <c r="AD7" i="32"/>
  <c r="AE7" i="32" s="1"/>
  <c r="AD6" i="32"/>
  <c r="AE6" i="32" s="1"/>
  <c r="AD5" i="32"/>
  <c r="AE5" i="32" s="1"/>
  <c r="AD4" i="32"/>
  <c r="AE4" i="32" s="1"/>
  <c r="AD99" i="32"/>
  <c r="AE99" i="32" s="1"/>
  <c r="AD21" i="32"/>
  <c r="AE90" i="32"/>
  <c r="AE95" i="32"/>
  <c r="AE11" i="32"/>
  <c r="AE92" i="32"/>
  <c r="AE84" i="32"/>
  <c r="AE75" i="32"/>
  <c r="AE67" i="32"/>
  <c r="AE38" i="32"/>
  <c r="AR97" i="32"/>
  <c r="Y97" i="32"/>
  <c r="T97" i="32"/>
  <c r="O97" i="32"/>
  <c r="K97" i="32"/>
  <c r="G97" i="32"/>
  <c r="AD98" i="32" l="1"/>
  <c r="AE98" i="32" s="1"/>
  <c r="AE21" i="32"/>
  <c r="AD97" i="32" l="1"/>
  <c r="AE97" i="32" s="1"/>
  <c r="G105" i="32"/>
  <c r="AD105" i="32" s="1"/>
  <c r="Y96" i="32"/>
  <c r="T96" i="32"/>
  <c r="O96" i="32"/>
  <c r="K96" i="32"/>
  <c r="G96" i="32"/>
  <c r="AE105" i="32" l="1"/>
  <c r="M30" i="21"/>
  <c r="L30" i="21"/>
  <c r="K30" i="21"/>
  <c r="J30" i="21"/>
  <c r="I30" i="21"/>
  <c r="H30" i="21"/>
  <c r="G30" i="21"/>
  <c r="F30" i="21"/>
  <c r="E30" i="21"/>
  <c r="D30" i="21"/>
  <c r="C30" i="21"/>
  <c r="B30" i="21"/>
  <c r="N262" i="19"/>
  <c r="M262" i="19"/>
  <c r="L262" i="19"/>
  <c r="K262" i="19"/>
  <c r="J262" i="19"/>
  <c r="I262" i="19"/>
  <c r="H262" i="19"/>
  <c r="G262" i="19"/>
  <c r="F262" i="19"/>
  <c r="E262" i="19"/>
  <c r="D262" i="19"/>
  <c r="C262" i="19"/>
  <c r="CK285" i="5"/>
  <c r="CE285" i="5"/>
  <c r="BW285" i="5"/>
  <c r="BY285" i="5" s="1"/>
  <c r="BS285" i="5"/>
  <c r="BQ285" i="5"/>
  <c r="BM285" i="5"/>
  <c r="BG285" i="5"/>
  <c r="AY285" i="5"/>
  <c r="AW285" i="5"/>
  <c r="AQ285" i="5"/>
  <c r="AO285" i="5"/>
  <c r="AI285" i="5"/>
  <c r="Y285" i="5"/>
  <c r="AA285" i="5" s="1"/>
  <c r="T285" i="5"/>
  <c r="R285" i="5"/>
  <c r="N285" i="5"/>
  <c r="CK284" i="5"/>
  <c r="CE284" i="5"/>
  <c r="CQ284" i="5" s="1"/>
  <c r="CR284" i="5" s="1"/>
  <c r="BY284" i="5"/>
  <c r="BW284" i="5"/>
  <c r="BQ284" i="5"/>
  <c r="BS284" i="5" s="1"/>
  <c r="BM284" i="5"/>
  <c r="BG284" i="5"/>
  <c r="AW284" i="5"/>
  <c r="AY284" i="5" s="1"/>
  <c r="AQ284" i="5"/>
  <c r="AO284" i="5"/>
  <c r="AI284" i="5"/>
  <c r="Y284" i="5"/>
  <c r="AA284" i="5" s="1"/>
  <c r="R284" i="5"/>
  <c r="T284" i="5" s="1"/>
  <c r="N284" i="5"/>
  <c r="CK283" i="5"/>
  <c r="CE283" i="5"/>
  <c r="BW283" i="5"/>
  <c r="BY283" i="5" s="1"/>
  <c r="CQ283" i="5" s="1"/>
  <c r="CR283" i="5" s="1"/>
  <c r="BQ283" i="5"/>
  <c r="BS283" i="5" s="1"/>
  <c r="BM283" i="5"/>
  <c r="BG283" i="5"/>
  <c r="AY283" i="5"/>
  <c r="AW283" i="5"/>
  <c r="AO283" i="5"/>
  <c r="AQ283" i="5" s="1"/>
  <c r="AI283" i="5"/>
  <c r="AA283" i="5"/>
  <c r="Y283" i="5"/>
  <c r="R283" i="5"/>
  <c r="T283" i="5" s="1"/>
  <c r="CO283" i="5" s="1"/>
  <c r="CT283" i="5" s="1"/>
  <c r="N283" i="5"/>
  <c r="CK282" i="5"/>
  <c r="CE282" i="5"/>
  <c r="BY282" i="5"/>
  <c r="BW282" i="5"/>
  <c r="BS282" i="5"/>
  <c r="BQ282" i="5"/>
  <c r="BM282" i="5"/>
  <c r="BG282" i="5"/>
  <c r="AY282" i="5"/>
  <c r="AW282" i="5"/>
  <c r="AQ282" i="5"/>
  <c r="AO282" i="5"/>
  <c r="AI282" i="5"/>
  <c r="AA282" i="5"/>
  <c r="Y282" i="5"/>
  <c r="R282" i="5"/>
  <c r="T282" i="5" s="1"/>
  <c r="N282" i="5"/>
  <c r="CK281" i="5"/>
  <c r="CE281" i="5"/>
  <c r="BW281" i="5"/>
  <c r="BY281" i="5" s="1"/>
  <c r="BS281" i="5"/>
  <c r="BQ281" i="5"/>
  <c r="BM281" i="5"/>
  <c r="CQ281" i="5" s="1"/>
  <c r="CR281" i="5" s="1"/>
  <c r="BG281" i="5"/>
  <c r="AW281" i="5"/>
  <c r="AY281" i="5" s="1"/>
  <c r="AO281" i="5"/>
  <c r="AQ281" i="5" s="1"/>
  <c r="AI281" i="5"/>
  <c r="Y281" i="5"/>
  <c r="AA281" i="5" s="1"/>
  <c r="T281" i="5"/>
  <c r="R281" i="5"/>
  <c r="N281" i="5"/>
  <c r="CK280" i="5"/>
  <c r="CE280" i="5"/>
  <c r="BW280" i="5"/>
  <c r="BY280" i="5" s="1"/>
  <c r="BS280" i="5"/>
  <c r="BQ280" i="5"/>
  <c r="BM280" i="5"/>
  <c r="BG280" i="5"/>
  <c r="AW280" i="5"/>
  <c r="AY280" i="5" s="1"/>
  <c r="AO280" i="5"/>
  <c r="AQ280" i="5" s="1"/>
  <c r="AI280" i="5"/>
  <c r="AA280" i="5"/>
  <c r="Y280" i="5"/>
  <c r="R280" i="5"/>
  <c r="T280" i="5" s="1"/>
  <c r="N280" i="5"/>
  <c r="CK279" i="5"/>
  <c r="CE279" i="5"/>
  <c r="BY279" i="5"/>
  <c r="BW279" i="5"/>
  <c r="BQ279" i="5"/>
  <c r="BS279" i="5" s="1"/>
  <c r="BM279" i="5"/>
  <c r="BG279" i="5"/>
  <c r="CQ279" i="5" s="1"/>
  <c r="CR279" i="5" s="1"/>
  <c r="AY279" i="5"/>
  <c r="CO279" i="5" s="1"/>
  <c r="CT279" i="5" s="1"/>
  <c r="AW279" i="5"/>
  <c r="AQ279" i="5"/>
  <c r="AO279" i="5"/>
  <c r="AI279" i="5"/>
  <c r="Y279" i="5"/>
  <c r="AA279" i="5" s="1"/>
  <c r="R279" i="5"/>
  <c r="T279" i="5" s="1"/>
  <c r="N279" i="5"/>
  <c r="CK278" i="5"/>
  <c r="CE278" i="5"/>
  <c r="BY278" i="5"/>
  <c r="BW278" i="5"/>
  <c r="BQ278" i="5"/>
  <c r="BS278" i="5" s="1"/>
  <c r="BM278" i="5"/>
  <c r="BG278" i="5"/>
  <c r="AW278" i="5"/>
  <c r="AY278" i="5" s="1"/>
  <c r="AQ278" i="5"/>
  <c r="AO278" i="5"/>
  <c r="AI278" i="5"/>
  <c r="AA278" i="5"/>
  <c r="Y278" i="5"/>
  <c r="R278" i="5"/>
  <c r="T278" i="5" s="1"/>
  <c r="N278" i="5"/>
  <c r="CT277" i="5"/>
  <c r="CK277" i="5"/>
  <c r="CE277" i="5"/>
  <c r="BW277" i="5"/>
  <c r="BY277" i="5" s="1"/>
  <c r="BS277" i="5"/>
  <c r="BQ277" i="5"/>
  <c r="BM277" i="5"/>
  <c r="BG277" i="5"/>
  <c r="CQ277" i="5" s="1"/>
  <c r="CR277" i="5" s="1"/>
  <c r="AW277" i="5"/>
  <c r="AY277" i="5" s="1"/>
  <c r="AQ277" i="5"/>
  <c r="AO277" i="5"/>
  <c r="AI277" i="5"/>
  <c r="Y277" i="5"/>
  <c r="AA277" i="5" s="1"/>
  <c r="T277" i="5"/>
  <c r="CO277" i="5" s="1"/>
  <c r="R277" i="5"/>
  <c r="N277" i="5"/>
  <c r="CK276" i="5"/>
  <c r="CE276" i="5"/>
  <c r="BW276" i="5"/>
  <c r="BY276" i="5" s="1"/>
  <c r="BQ276" i="5"/>
  <c r="BS276" i="5" s="1"/>
  <c r="BM276" i="5"/>
  <c r="BG276" i="5"/>
  <c r="AW276" i="5"/>
  <c r="AY276" i="5" s="1"/>
  <c r="AO276" i="5"/>
  <c r="AQ276" i="5" s="1"/>
  <c r="AI276" i="5"/>
  <c r="Y276" i="5"/>
  <c r="AA276" i="5" s="1"/>
  <c r="R276" i="5"/>
  <c r="T276" i="5" s="1"/>
  <c r="CO276" i="5" s="1"/>
  <c r="N276" i="5"/>
  <c r="CK275" i="5"/>
  <c r="CE275" i="5"/>
  <c r="BW275" i="5"/>
  <c r="BY275" i="5" s="1"/>
  <c r="BQ275" i="5"/>
  <c r="BS275" i="5" s="1"/>
  <c r="BM275" i="5"/>
  <c r="BG275" i="5"/>
  <c r="AY275" i="5"/>
  <c r="AW275" i="5"/>
  <c r="AQ275" i="5"/>
  <c r="AO275" i="5"/>
  <c r="AI275" i="5"/>
  <c r="AA275" i="5"/>
  <c r="Y275" i="5"/>
  <c r="R275" i="5"/>
  <c r="T275" i="5" s="1"/>
  <c r="CO275" i="5" s="1"/>
  <c r="N275" i="5"/>
  <c r="CK274" i="5"/>
  <c r="CE274" i="5"/>
  <c r="BY274" i="5"/>
  <c r="BW274" i="5"/>
  <c r="BQ274" i="5"/>
  <c r="BS274" i="5" s="1"/>
  <c r="BM274" i="5"/>
  <c r="BG274" i="5"/>
  <c r="AY274" i="5"/>
  <c r="AW274" i="5"/>
  <c r="AQ274" i="5"/>
  <c r="AO274" i="5"/>
  <c r="AI274" i="5"/>
  <c r="AA274" i="5"/>
  <c r="Y274" i="5"/>
  <c r="T274" i="5"/>
  <c r="CO274" i="5" s="1"/>
  <c r="R274" i="5"/>
  <c r="N274" i="5"/>
  <c r="CK273" i="5"/>
  <c r="CE273" i="5"/>
  <c r="BY273" i="5"/>
  <c r="BW273" i="5"/>
  <c r="BS273" i="5"/>
  <c r="BQ273" i="5"/>
  <c r="BM273" i="5"/>
  <c r="BG273" i="5"/>
  <c r="CQ273" i="5" s="1"/>
  <c r="CR273" i="5" s="1"/>
  <c r="AW273" i="5"/>
  <c r="AY273" i="5" s="1"/>
  <c r="AO273" i="5"/>
  <c r="AQ273" i="5" s="1"/>
  <c r="CO273" i="5" s="1"/>
  <c r="CT273" i="5" s="1"/>
  <c r="AI273" i="5"/>
  <c r="Y273" i="5"/>
  <c r="AA273" i="5" s="1"/>
  <c r="T273" i="5"/>
  <c r="R273" i="5"/>
  <c r="N273" i="5"/>
  <c r="CK272" i="5"/>
  <c r="CE272" i="5"/>
  <c r="BW272" i="5"/>
  <c r="BY272" i="5" s="1"/>
  <c r="BQ272" i="5"/>
  <c r="BS272" i="5" s="1"/>
  <c r="BM272" i="5"/>
  <c r="CQ272" i="5" s="1"/>
  <c r="CR272" i="5" s="1"/>
  <c r="BG272" i="5"/>
  <c r="AY272" i="5"/>
  <c r="AW272" i="5"/>
  <c r="AO272" i="5"/>
  <c r="AQ272" i="5" s="1"/>
  <c r="AI272" i="5"/>
  <c r="Y272" i="5"/>
  <c r="AA272" i="5" s="1"/>
  <c r="R272" i="5"/>
  <c r="T272" i="5" s="1"/>
  <c r="N272" i="5"/>
  <c r="CR271" i="5"/>
  <c r="CK271" i="5"/>
  <c r="CE271" i="5"/>
  <c r="BY271" i="5"/>
  <c r="BS271" i="5"/>
  <c r="BM271" i="5"/>
  <c r="BG271" i="5"/>
  <c r="CQ271" i="5" s="1"/>
  <c r="AY271" i="5"/>
  <c r="AW271" i="5"/>
  <c r="AQ271" i="5"/>
  <c r="AI271" i="5"/>
  <c r="AA271" i="5"/>
  <c r="Y271" i="5"/>
  <c r="R271" i="5"/>
  <c r="T271" i="5" s="1"/>
  <c r="N271" i="5"/>
  <c r="CO271" i="5" s="1"/>
  <c r="CK270" i="5"/>
  <c r="CE270" i="5"/>
  <c r="BW270" i="5"/>
  <c r="BY270" i="5" s="1"/>
  <c r="BS270" i="5"/>
  <c r="BQ270" i="5"/>
  <c r="BM270" i="5"/>
  <c r="BG270" i="5"/>
  <c r="AY270" i="5"/>
  <c r="AW270" i="5"/>
  <c r="AO270" i="5"/>
  <c r="AQ270" i="5" s="1"/>
  <c r="AI270" i="5"/>
  <c r="AA270" i="5"/>
  <c r="Y270" i="5"/>
  <c r="R270" i="5"/>
  <c r="T270" i="5" s="1"/>
  <c r="N270" i="5"/>
  <c r="CK269" i="5"/>
  <c r="CE269" i="5"/>
  <c r="BY269" i="5"/>
  <c r="BW269" i="5"/>
  <c r="BS269" i="5"/>
  <c r="CQ269" i="5" s="1"/>
  <c r="CR269" i="5" s="1"/>
  <c r="BQ269" i="5"/>
  <c r="BM269" i="5"/>
  <c r="BG269" i="5"/>
  <c r="AW269" i="5"/>
  <c r="AY269" i="5" s="1"/>
  <c r="AQ269" i="5"/>
  <c r="AO269" i="5"/>
  <c r="AI269" i="5"/>
  <c r="AA269" i="5"/>
  <c r="Y269" i="5"/>
  <c r="T269" i="5"/>
  <c r="R269" i="5"/>
  <c r="N269" i="5"/>
  <c r="CK268" i="5"/>
  <c r="CE268" i="5"/>
  <c r="BW268" i="5"/>
  <c r="BY268" i="5" s="1"/>
  <c r="BS268" i="5"/>
  <c r="BQ268" i="5"/>
  <c r="BM268" i="5"/>
  <c r="BG268" i="5"/>
  <c r="AW268" i="5"/>
  <c r="AY268" i="5" s="1"/>
  <c r="AO268" i="5"/>
  <c r="AQ268" i="5" s="1"/>
  <c r="AI268" i="5"/>
  <c r="Y268" i="5"/>
  <c r="AA268" i="5" s="1"/>
  <c r="R268" i="5"/>
  <c r="T268" i="5" s="1"/>
  <c r="N268" i="5"/>
  <c r="CK267" i="5"/>
  <c r="CE267" i="5"/>
  <c r="CQ267" i="5" s="1"/>
  <c r="CR267" i="5" s="1"/>
  <c r="BY267" i="5"/>
  <c r="BW267" i="5"/>
  <c r="BQ267" i="5"/>
  <c r="BS267" i="5" s="1"/>
  <c r="BM267" i="5"/>
  <c r="BG267" i="5"/>
  <c r="AW267" i="5"/>
  <c r="AY267" i="5" s="1"/>
  <c r="AQ267" i="5"/>
  <c r="AO267" i="5"/>
  <c r="AI267" i="5"/>
  <c r="Y267" i="5"/>
  <c r="AA267" i="5" s="1"/>
  <c r="R267" i="5"/>
  <c r="T267" i="5" s="1"/>
  <c r="N267" i="5"/>
  <c r="CK266" i="5"/>
  <c r="CE266" i="5"/>
  <c r="BW266" i="5"/>
  <c r="BY266" i="5" s="1"/>
  <c r="BS266" i="5"/>
  <c r="BQ266" i="5"/>
  <c r="BM266" i="5"/>
  <c r="BG266" i="5"/>
  <c r="AY266" i="5"/>
  <c r="AW266" i="5"/>
  <c r="AO266" i="5"/>
  <c r="AQ266" i="5" s="1"/>
  <c r="AI266" i="5"/>
  <c r="AA266" i="5"/>
  <c r="Y266" i="5"/>
  <c r="T266" i="5"/>
  <c r="R266" i="5"/>
  <c r="N266" i="5"/>
  <c r="CK265" i="5"/>
  <c r="CE265" i="5"/>
  <c r="BY265" i="5"/>
  <c r="BW265" i="5"/>
  <c r="BQ265" i="5"/>
  <c r="BS265" i="5" s="1"/>
  <c r="BM265" i="5"/>
  <c r="BG265" i="5"/>
  <c r="CQ265" i="5" s="1"/>
  <c r="CR265" i="5" s="1"/>
  <c r="AW265" i="5"/>
  <c r="AY265" i="5" s="1"/>
  <c r="CO265" i="5" s="1"/>
  <c r="AQ265" i="5"/>
  <c r="AO265" i="5"/>
  <c r="AI265" i="5"/>
  <c r="Y265" i="5"/>
  <c r="AA265" i="5" s="1"/>
  <c r="T265" i="5"/>
  <c r="R265" i="5"/>
  <c r="N265" i="5"/>
  <c r="CK264" i="5"/>
  <c r="CE264" i="5"/>
  <c r="BW264" i="5"/>
  <c r="BY264" i="5" s="1"/>
  <c r="BS264" i="5"/>
  <c r="BQ264" i="5"/>
  <c r="BM264" i="5"/>
  <c r="BG264" i="5"/>
  <c r="AW264" i="5"/>
  <c r="AY264" i="5" s="1"/>
  <c r="AO264" i="5"/>
  <c r="AQ264" i="5" s="1"/>
  <c r="AI264" i="5"/>
  <c r="Y264" i="5"/>
  <c r="AA264" i="5" s="1"/>
  <c r="T264" i="5"/>
  <c r="R264" i="5"/>
  <c r="N264" i="5"/>
  <c r="CK263" i="5"/>
  <c r="CE263" i="5"/>
  <c r="BY263" i="5"/>
  <c r="BW263" i="5"/>
  <c r="BQ263" i="5"/>
  <c r="BS263" i="5" s="1"/>
  <c r="BM263" i="5"/>
  <c r="BG263" i="5"/>
  <c r="AW263" i="5"/>
  <c r="AY263" i="5" s="1"/>
  <c r="AO263" i="5"/>
  <c r="AQ263" i="5" s="1"/>
  <c r="AI263" i="5"/>
  <c r="AA263" i="5"/>
  <c r="Y263" i="5"/>
  <c r="R263" i="5"/>
  <c r="T263" i="5" s="1"/>
  <c r="N263" i="5"/>
  <c r="CR262" i="5"/>
  <c r="CO262" i="5"/>
  <c r="CT262" i="5" s="1"/>
  <c r="CK262" i="5"/>
  <c r="CE262" i="5"/>
  <c r="BY262" i="5"/>
  <c r="BS262" i="5"/>
  <c r="BM262" i="5"/>
  <c r="BG262" i="5"/>
  <c r="CQ262" i="5" s="1"/>
  <c r="AW262" i="5"/>
  <c r="AY262" i="5" s="1"/>
  <c r="AQ262" i="5"/>
  <c r="AI262" i="5"/>
  <c r="AA262" i="5"/>
  <c r="Y262" i="5"/>
  <c r="R262" i="5"/>
  <c r="T262" i="5" s="1"/>
  <c r="N262" i="5"/>
  <c r="CR261" i="5"/>
  <c r="CO261" i="5"/>
  <c r="CT261" i="5" s="1"/>
  <c r="CK261" i="5"/>
  <c r="CE261" i="5"/>
  <c r="BY261" i="5"/>
  <c r="BS261" i="5"/>
  <c r="BM261" i="5"/>
  <c r="BG261" i="5"/>
  <c r="CQ261" i="5" s="1"/>
  <c r="AW261" i="5"/>
  <c r="AY261" i="5" s="1"/>
  <c r="AQ261" i="5"/>
  <c r="AI261" i="5"/>
  <c r="AA261" i="5"/>
  <c r="Y261" i="5"/>
  <c r="R261" i="5"/>
  <c r="T261" i="5" s="1"/>
  <c r="N261" i="5"/>
  <c r="CK260" i="5"/>
  <c r="CE260" i="5"/>
  <c r="BY260" i="5"/>
  <c r="BW260" i="5"/>
  <c r="BS260" i="5"/>
  <c r="BQ260" i="5"/>
  <c r="BM260" i="5"/>
  <c r="BG260" i="5"/>
  <c r="AW260" i="5"/>
  <c r="AY260" i="5" s="1"/>
  <c r="AQ260" i="5"/>
  <c r="AO260" i="5"/>
  <c r="AI260" i="5"/>
  <c r="AA260" i="5"/>
  <c r="Y260" i="5"/>
  <c r="T260" i="5"/>
  <c r="R260" i="5"/>
  <c r="N260" i="5"/>
  <c r="CK259" i="5"/>
  <c r="CE259" i="5"/>
  <c r="BW259" i="5"/>
  <c r="BY259" i="5" s="1"/>
  <c r="BS259" i="5"/>
  <c r="BQ259" i="5"/>
  <c r="BM259" i="5"/>
  <c r="BG259" i="5"/>
  <c r="AW259" i="5"/>
  <c r="AY259" i="5" s="1"/>
  <c r="CO259" i="5" s="1"/>
  <c r="AO259" i="5"/>
  <c r="AQ259" i="5" s="1"/>
  <c r="AI259" i="5"/>
  <c r="Y259" i="5"/>
  <c r="AA259" i="5" s="1"/>
  <c r="R259" i="5"/>
  <c r="T259" i="5" s="1"/>
  <c r="N259" i="5"/>
  <c r="CK258" i="5"/>
  <c r="CQ258" i="5" s="1"/>
  <c r="CR258" i="5" s="1"/>
  <c r="CE258" i="5"/>
  <c r="BY258" i="5"/>
  <c r="BW258" i="5"/>
  <c r="BQ258" i="5"/>
  <c r="BS258" i="5" s="1"/>
  <c r="BM258" i="5"/>
  <c r="BG258" i="5"/>
  <c r="AW258" i="5"/>
  <c r="AY258" i="5" s="1"/>
  <c r="AQ258" i="5"/>
  <c r="AO258" i="5"/>
  <c r="AI258" i="5"/>
  <c r="Y258" i="5"/>
  <c r="AA258" i="5" s="1"/>
  <c r="R258" i="5"/>
  <c r="T258" i="5" s="1"/>
  <c r="N258" i="5"/>
  <c r="CK257" i="5"/>
  <c r="CE257" i="5"/>
  <c r="BW257" i="5"/>
  <c r="BY257" i="5" s="1"/>
  <c r="BQ257" i="5"/>
  <c r="BS257" i="5" s="1"/>
  <c r="BM257" i="5"/>
  <c r="BG257" i="5"/>
  <c r="AY257" i="5"/>
  <c r="AW257" i="5"/>
  <c r="AO257" i="5"/>
  <c r="AQ257" i="5" s="1"/>
  <c r="AI257" i="5"/>
  <c r="AA257" i="5"/>
  <c r="Y257" i="5"/>
  <c r="T257" i="5"/>
  <c r="R257" i="5"/>
  <c r="N257" i="5"/>
  <c r="CO256" i="5"/>
  <c r="CT256" i="5" s="1"/>
  <c r="CK256" i="5"/>
  <c r="CE256" i="5"/>
  <c r="BY256" i="5"/>
  <c r="BW256" i="5"/>
  <c r="BQ256" i="5"/>
  <c r="BS256" i="5" s="1"/>
  <c r="BM256" i="5"/>
  <c r="BG256" i="5"/>
  <c r="CQ256" i="5" s="1"/>
  <c r="CR256" i="5" s="1"/>
  <c r="AW256" i="5"/>
  <c r="AY256" i="5" s="1"/>
  <c r="AQ256" i="5"/>
  <c r="AO256" i="5"/>
  <c r="AI256" i="5"/>
  <c r="Y256" i="5"/>
  <c r="AA256" i="5" s="1"/>
  <c r="T256" i="5"/>
  <c r="R256" i="5"/>
  <c r="N256" i="5"/>
  <c r="CK255" i="5"/>
  <c r="CE255" i="5"/>
  <c r="BW255" i="5"/>
  <c r="BY255" i="5" s="1"/>
  <c r="BS255" i="5"/>
  <c r="BQ255" i="5"/>
  <c r="BM255" i="5"/>
  <c r="BG255" i="5"/>
  <c r="AW255" i="5"/>
  <c r="AY255" i="5" s="1"/>
  <c r="AO255" i="5"/>
  <c r="AQ255" i="5" s="1"/>
  <c r="AI255" i="5"/>
  <c r="Y255" i="5"/>
  <c r="AA255" i="5" s="1"/>
  <c r="T255" i="5"/>
  <c r="R255" i="5"/>
  <c r="N255" i="5"/>
  <c r="CK254" i="5"/>
  <c r="CE254" i="5"/>
  <c r="BY254" i="5"/>
  <c r="CQ254" i="5" s="1"/>
  <c r="CR254" i="5" s="1"/>
  <c r="BW254" i="5"/>
  <c r="BQ254" i="5"/>
  <c r="BS254" i="5" s="1"/>
  <c r="BM254" i="5"/>
  <c r="BG254" i="5"/>
  <c r="AY254" i="5"/>
  <c r="AW254" i="5"/>
  <c r="AO254" i="5"/>
  <c r="AQ254" i="5" s="1"/>
  <c r="AI254" i="5"/>
  <c r="AA254" i="5"/>
  <c r="Y254" i="5"/>
  <c r="R254" i="5"/>
  <c r="T254" i="5" s="1"/>
  <c r="N254" i="5"/>
  <c r="CR253" i="5"/>
  <c r="CO253" i="5"/>
  <c r="CK253" i="5"/>
  <c r="CE253" i="5"/>
  <c r="BW253" i="5"/>
  <c r="BY253" i="5" s="1"/>
  <c r="BQ253" i="5"/>
  <c r="BS253" i="5" s="1"/>
  <c r="BM253" i="5"/>
  <c r="BG253" i="5"/>
  <c r="CQ253" i="5" s="1"/>
  <c r="AY253" i="5"/>
  <c r="AW253" i="5"/>
  <c r="AO253" i="5"/>
  <c r="AQ253" i="5" s="1"/>
  <c r="AI253" i="5"/>
  <c r="AA253" i="5"/>
  <c r="Y253" i="5"/>
  <c r="T253" i="5"/>
  <c r="R253" i="5"/>
  <c r="N253" i="5"/>
  <c r="CK252" i="5"/>
  <c r="CE252" i="5"/>
  <c r="BY252" i="5"/>
  <c r="BW252" i="5"/>
  <c r="BQ252" i="5"/>
  <c r="BS252" i="5" s="1"/>
  <c r="BM252" i="5"/>
  <c r="BG252" i="5"/>
  <c r="AW252" i="5"/>
  <c r="AY252" i="5" s="1"/>
  <c r="AQ252" i="5"/>
  <c r="AO252" i="5"/>
  <c r="AI252" i="5"/>
  <c r="Y252" i="5"/>
  <c r="AA252" i="5" s="1"/>
  <c r="T252" i="5"/>
  <c r="R252" i="5"/>
  <c r="N252" i="5"/>
  <c r="CK251" i="5"/>
  <c r="CE251" i="5"/>
  <c r="BW251" i="5"/>
  <c r="BY251" i="5" s="1"/>
  <c r="BS251" i="5"/>
  <c r="BQ251" i="5"/>
  <c r="BM251" i="5"/>
  <c r="BG251" i="5"/>
  <c r="AY251" i="5"/>
  <c r="AW251" i="5"/>
  <c r="AO251" i="5"/>
  <c r="AQ251" i="5" s="1"/>
  <c r="AI251" i="5"/>
  <c r="Y251" i="5"/>
  <c r="AA251" i="5" s="1"/>
  <c r="T251" i="5"/>
  <c r="R251" i="5"/>
  <c r="N251" i="5"/>
  <c r="CK250" i="5"/>
  <c r="CE250" i="5"/>
  <c r="BY250" i="5"/>
  <c r="BS250" i="5"/>
  <c r="BM250" i="5"/>
  <c r="BG250" i="5"/>
  <c r="CQ250" i="5" s="1"/>
  <c r="CR250" i="5" s="1"/>
  <c r="AY250" i="5"/>
  <c r="AW250" i="5"/>
  <c r="AQ250" i="5"/>
  <c r="AI250" i="5"/>
  <c r="Y250" i="5"/>
  <c r="AA250" i="5" s="1"/>
  <c r="R250" i="5"/>
  <c r="T250" i="5" s="1"/>
  <c r="N250" i="5"/>
  <c r="CK249" i="5"/>
  <c r="CE249" i="5"/>
  <c r="BW249" i="5"/>
  <c r="BY249" i="5" s="1"/>
  <c r="BQ249" i="5"/>
  <c r="BS249" i="5" s="1"/>
  <c r="BM249" i="5"/>
  <c r="BG249" i="5"/>
  <c r="AY249" i="5"/>
  <c r="AW249" i="5"/>
  <c r="AO249" i="5"/>
  <c r="AQ249" i="5" s="1"/>
  <c r="AI249" i="5"/>
  <c r="AA249" i="5"/>
  <c r="Y249" i="5"/>
  <c r="R249" i="5"/>
  <c r="T249" i="5" s="1"/>
  <c r="N249" i="5"/>
  <c r="CK248" i="5"/>
  <c r="CE248" i="5"/>
  <c r="BY248" i="5"/>
  <c r="BW248" i="5"/>
  <c r="BS248" i="5"/>
  <c r="BQ248" i="5"/>
  <c r="BM248" i="5"/>
  <c r="BG248" i="5"/>
  <c r="AY248" i="5"/>
  <c r="AW248" i="5"/>
  <c r="AQ248" i="5"/>
  <c r="AO248" i="5"/>
  <c r="AI248" i="5"/>
  <c r="AA248" i="5"/>
  <c r="Y248" i="5"/>
  <c r="R248" i="5"/>
  <c r="T248" i="5" s="1"/>
  <c r="CO248" i="5" s="1"/>
  <c r="N248" i="5"/>
  <c r="CQ247" i="5"/>
  <c r="CR247" i="5" s="1"/>
  <c r="CK247" i="5"/>
  <c r="CE247" i="5"/>
  <c r="BY247" i="5"/>
  <c r="BS247" i="5"/>
  <c r="BM247" i="5"/>
  <c r="BG247" i="5"/>
  <c r="AY247" i="5"/>
  <c r="AW247" i="5"/>
  <c r="AQ247" i="5"/>
  <c r="AI247" i="5"/>
  <c r="Y247" i="5"/>
  <c r="AA247" i="5" s="1"/>
  <c r="T247" i="5"/>
  <c r="R247" i="5"/>
  <c r="N247" i="5"/>
  <c r="CO247" i="5" s="1"/>
  <c r="CT247" i="5" s="1"/>
  <c r="CK246" i="5"/>
  <c r="CE246" i="5"/>
  <c r="BW246" i="5"/>
  <c r="BY246" i="5" s="1"/>
  <c r="BS246" i="5"/>
  <c r="BQ246" i="5"/>
  <c r="BM246" i="5"/>
  <c r="BG246" i="5"/>
  <c r="AY246" i="5"/>
  <c r="AW246" i="5"/>
  <c r="AO246" i="5"/>
  <c r="AQ246" i="5" s="1"/>
  <c r="AI246" i="5"/>
  <c r="Y246" i="5"/>
  <c r="AA246" i="5" s="1"/>
  <c r="R246" i="5"/>
  <c r="T246" i="5" s="1"/>
  <c r="CO246" i="5" s="1"/>
  <c r="N246" i="5"/>
  <c r="CK245" i="5"/>
  <c r="CE245" i="5"/>
  <c r="BW245" i="5"/>
  <c r="BY245" i="5" s="1"/>
  <c r="BQ245" i="5"/>
  <c r="BS245" i="5" s="1"/>
  <c r="BM245" i="5"/>
  <c r="BG245" i="5"/>
  <c r="AY245" i="5"/>
  <c r="AW245" i="5"/>
  <c r="AQ245" i="5"/>
  <c r="AO245" i="5"/>
  <c r="AI245" i="5"/>
  <c r="AA245" i="5"/>
  <c r="Y245" i="5"/>
  <c r="R245" i="5"/>
  <c r="T245" i="5" s="1"/>
  <c r="N245" i="5"/>
  <c r="CK244" i="5"/>
  <c r="CE244" i="5"/>
  <c r="BY244" i="5"/>
  <c r="BS244" i="5"/>
  <c r="BM244" i="5"/>
  <c r="BG244" i="5"/>
  <c r="CQ244" i="5" s="1"/>
  <c r="CR244" i="5" s="1"/>
  <c r="AW244" i="5"/>
  <c r="AY244" i="5" s="1"/>
  <c r="AQ244" i="5"/>
  <c r="AI244" i="5"/>
  <c r="Y244" i="5"/>
  <c r="AA244" i="5" s="1"/>
  <c r="T244" i="5"/>
  <c r="CO244" i="5" s="1"/>
  <c r="R244" i="5"/>
  <c r="N244" i="5"/>
  <c r="CK243" i="5"/>
  <c r="CE243" i="5"/>
  <c r="BY243" i="5"/>
  <c r="BW243" i="5"/>
  <c r="BS243" i="5"/>
  <c r="BQ243" i="5"/>
  <c r="BM243" i="5"/>
  <c r="BG243" i="5"/>
  <c r="AW243" i="5"/>
  <c r="AY243" i="5" s="1"/>
  <c r="AQ243" i="5"/>
  <c r="AO243" i="5"/>
  <c r="AI243" i="5"/>
  <c r="AA243" i="5"/>
  <c r="Y243" i="5"/>
  <c r="T243" i="5"/>
  <c r="R243" i="5"/>
  <c r="N243" i="5"/>
  <c r="CO242" i="5"/>
  <c r="CK242" i="5"/>
  <c r="CE242" i="5"/>
  <c r="BY242" i="5"/>
  <c r="BW242" i="5"/>
  <c r="BS242" i="5"/>
  <c r="BQ242" i="5"/>
  <c r="BM242" i="5"/>
  <c r="BG242" i="5"/>
  <c r="CQ242" i="5" s="1"/>
  <c r="CR242" i="5" s="1"/>
  <c r="AW242" i="5"/>
  <c r="AY242" i="5" s="1"/>
  <c r="AO242" i="5"/>
  <c r="AQ242" i="5" s="1"/>
  <c r="AI242" i="5"/>
  <c r="Y242" i="5"/>
  <c r="AA242" i="5" s="1"/>
  <c r="T242" i="5"/>
  <c r="R242" i="5"/>
  <c r="N242" i="5"/>
  <c r="CQ241" i="5"/>
  <c r="CR241" i="5" s="1"/>
  <c r="CK241" i="5"/>
  <c r="CE241" i="5"/>
  <c r="BW241" i="5"/>
  <c r="BY241" i="5" s="1"/>
  <c r="BQ241" i="5"/>
  <c r="BS241" i="5" s="1"/>
  <c r="BM241" i="5"/>
  <c r="BG241" i="5"/>
  <c r="AW241" i="5"/>
  <c r="AY241" i="5" s="1"/>
  <c r="AO241" i="5"/>
  <c r="AQ241" i="5" s="1"/>
  <c r="AI241" i="5"/>
  <c r="Y241" i="5"/>
  <c r="AA241" i="5" s="1"/>
  <c r="R241" i="5"/>
  <c r="T241" i="5" s="1"/>
  <c r="N241" i="5"/>
  <c r="CK240" i="5"/>
  <c r="CE240" i="5"/>
  <c r="BY240" i="5"/>
  <c r="BW240" i="5"/>
  <c r="BQ240" i="5"/>
  <c r="BS240" i="5" s="1"/>
  <c r="BM240" i="5"/>
  <c r="BG240" i="5"/>
  <c r="AY240" i="5"/>
  <c r="AW240" i="5"/>
  <c r="AO240" i="5"/>
  <c r="AQ240" i="5" s="1"/>
  <c r="AI240" i="5"/>
  <c r="Y240" i="5"/>
  <c r="AA240" i="5" s="1"/>
  <c r="R240" i="5"/>
  <c r="T240" i="5" s="1"/>
  <c r="CO240" i="5" s="1"/>
  <c r="N240" i="5"/>
  <c r="CK239" i="5"/>
  <c r="CE239" i="5"/>
  <c r="BY239" i="5"/>
  <c r="BW239" i="5"/>
  <c r="BQ239" i="5"/>
  <c r="BS239" i="5" s="1"/>
  <c r="BM239" i="5"/>
  <c r="BG239" i="5"/>
  <c r="AW239" i="5"/>
  <c r="AY239" i="5" s="1"/>
  <c r="AQ239" i="5"/>
  <c r="AO239" i="5"/>
  <c r="AI239" i="5"/>
  <c r="AA239" i="5"/>
  <c r="Y239" i="5"/>
  <c r="T239" i="5"/>
  <c r="R239" i="5"/>
  <c r="N239" i="5"/>
  <c r="CQ238" i="5"/>
  <c r="CR238" i="5" s="1"/>
  <c r="CK238" i="5"/>
  <c r="CE238" i="5"/>
  <c r="BY238" i="5"/>
  <c r="BQ238" i="5"/>
  <c r="BS238" i="5" s="1"/>
  <c r="BM238" i="5"/>
  <c r="BG238" i="5"/>
  <c r="AY238" i="5"/>
  <c r="AW238" i="5"/>
  <c r="AQ238" i="5"/>
  <c r="CO238" i="5" s="1"/>
  <c r="CT238" i="5" s="1"/>
  <c r="AI238" i="5"/>
  <c r="Y238" i="5"/>
  <c r="AA238" i="5" s="1"/>
  <c r="R238" i="5"/>
  <c r="T238" i="5" s="1"/>
  <c r="N238" i="5"/>
  <c r="CQ237" i="5"/>
  <c r="CR237" i="5" s="1"/>
  <c r="CK237" i="5"/>
  <c r="CE237" i="5"/>
  <c r="BY237" i="5"/>
  <c r="BW237" i="5"/>
  <c r="BQ237" i="5"/>
  <c r="BS237" i="5" s="1"/>
  <c r="BM237" i="5"/>
  <c r="BG237" i="5"/>
  <c r="AY237" i="5"/>
  <c r="AW237" i="5"/>
  <c r="AO237" i="5"/>
  <c r="AQ237" i="5" s="1"/>
  <c r="AI237" i="5"/>
  <c r="Y237" i="5"/>
  <c r="AA237" i="5" s="1"/>
  <c r="R237" i="5"/>
  <c r="T237" i="5" s="1"/>
  <c r="CO237" i="5" s="1"/>
  <c r="N237" i="5"/>
  <c r="CR236" i="5"/>
  <c r="CK236" i="5"/>
  <c r="CE236" i="5"/>
  <c r="BY236" i="5"/>
  <c r="BW236" i="5"/>
  <c r="BS236" i="5"/>
  <c r="BQ236" i="5"/>
  <c r="BM236" i="5"/>
  <c r="BG236" i="5"/>
  <c r="CQ236" i="5" s="1"/>
  <c r="AY236" i="5"/>
  <c r="AW236" i="5"/>
  <c r="AQ236" i="5"/>
  <c r="AO236" i="5"/>
  <c r="AI236" i="5"/>
  <c r="AA236" i="5"/>
  <c r="Y236" i="5"/>
  <c r="T236" i="5"/>
  <c r="CO236" i="5" s="1"/>
  <c r="CT236" i="5" s="1"/>
  <c r="R236" i="5"/>
  <c r="N236" i="5"/>
  <c r="CK235" i="5"/>
  <c r="CE235" i="5"/>
  <c r="BW235" i="5"/>
  <c r="BY235" i="5" s="1"/>
  <c r="BS235" i="5"/>
  <c r="BQ235" i="5"/>
  <c r="BM235" i="5"/>
  <c r="BG235" i="5"/>
  <c r="AW235" i="5"/>
  <c r="AY235" i="5" s="1"/>
  <c r="AQ235" i="5"/>
  <c r="AO235" i="5"/>
  <c r="AI235" i="5"/>
  <c r="Y235" i="5"/>
  <c r="AA235" i="5" s="1"/>
  <c r="T235" i="5"/>
  <c r="R235" i="5"/>
  <c r="N235" i="5"/>
  <c r="CQ234" i="5"/>
  <c r="CR234" i="5" s="1"/>
  <c r="CK234" i="5"/>
  <c r="CE234" i="5"/>
  <c r="BY234" i="5"/>
  <c r="BS234" i="5"/>
  <c r="BM234" i="5"/>
  <c r="BG234" i="5"/>
  <c r="AY234" i="5"/>
  <c r="AW234" i="5"/>
  <c r="AQ234" i="5"/>
  <c r="AI234" i="5"/>
  <c r="Y234" i="5"/>
  <c r="AA234" i="5" s="1"/>
  <c r="T234" i="5"/>
  <c r="R234" i="5"/>
  <c r="N234" i="5"/>
  <c r="CK233" i="5"/>
  <c r="CE233" i="5"/>
  <c r="CQ233" i="5" s="1"/>
  <c r="CR233" i="5" s="1"/>
  <c r="BY233" i="5"/>
  <c r="BW233" i="5"/>
  <c r="BQ233" i="5"/>
  <c r="BS233" i="5" s="1"/>
  <c r="BM233" i="5"/>
  <c r="BG233" i="5"/>
  <c r="AW233" i="5"/>
  <c r="AY233" i="5" s="1"/>
  <c r="AQ233" i="5"/>
  <c r="AO233" i="5"/>
  <c r="AI233" i="5"/>
  <c r="AA233" i="5"/>
  <c r="Y233" i="5"/>
  <c r="R233" i="5"/>
  <c r="T233" i="5" s="1"/>
  <c r="N233" i="5"/>
  <c r="CR232" i="5"/>
  <c r="CK232" i="5"/>
  <c r="CE232" i="5"/>
  <c r="BW232" i="5"/>
  <c r="BY232" i="5" s="1"/>
  <c r="BS232" i="5"/>
  <c r="BQ232" i="5"/>
  <c r="BM232" i="5"/>
  <c r="BG232" i="5"/>
  <c r="CQ232" i="5" s="1"/>
  <c r="AY232" i="5"/>
  <c r="AW232" i="5"/>
  <c r="AO232" i="5"/>
  <c r="AQ232" i="5" s="1"/>
  <c r="AI232" i="5"/>
  <c r="AA232" i="5"/>
  <c r="Y232" i="5"/>
  <c r="R232" i="5"/>
  <c r="T232" i="5" s="1"/>
  <c r="CO232" i="5" s="1"/>
  <c r="N232" i="5"/>
  <c r="CK231" i="5"/>
  <c r="CE231" i="5"/>
  <c r="BY231" i="5"/>
  <c r="BW231" i="5"/>
  <c r="BQ231" i="5"/>
  <c r="BS231" i="5" s="1"/>
  <c r="BM231" i="5"/>
  <c r="BG231" i="5"/>
  <c r="CQ231" i="5" s="1"/>
  <c r="CR231" i="5" s="1"/>
  <c r="AW231" i="5"/>
  <c r="AY231" i="5" s="1"/>
  <c r="AQ231" i="5"/>
  <c r="AO231" i="5"/>
  <c r="AI231" i="5"/>
  <c r="Y231" i="5"/>
  <c r="AA231" i="5" s="1"/>
  <c r="T231" i="5"/>
  <c r="R231" i="5"/>
  <c r="N231" i="5"/>
  <c r="CQ230" i="5"/>
  <c r="CR230" i="5" s="1"/>
  <c r="CK230" i="5"/>
  <c r="CE230" i="5"/>
  <c r="BW230" i="5"/>
  <c r="BY230" i="5" s="1"/>
  <c r="BS230" i="5"/>
  <c r="BQ230" i="5"/>
  <c r="BM230" i="5"/>
  <c r="BG230" i="5"/>
  <c r="AY230" i="5"/>
  <c r="AW230" i="5"/>
  <c r="AO230" i="5"/>
  <c r="AQ230" i="5" s="1"/>
  <c r="AI230" i="5"/>
  <c r="Y230" i="5"/>
  <c r="AA230" i="5" s="1"/>
  <c r="R230" i="5"/>
  <c r="T230" i="5" s="1"/>
  <c r="N230" i="5"/>
  <c r="CK229" i="5"/>
  <c r="CE229" i="5"/>
  <c r="BY229" i="5"/>
  <c r="BW229" i="5"/>
  <c r="BQ229" i="5"/>
  <c r="BS229" i="5" s="1"/>
  <c r="BM229" i="5"/>
  <c r="BG229" i="5"/>
  <c r="AW229" i="5"/>
  <c r="AY229" i="5" s="1"/>
  <c r="AO229" i="5"/>
  <c r="AQ229" i="5" s="1"/>
  <c r="AI229" i="5"/>
  <c r="AA229" i="5"/>
  <c r="Y229" i="5"/>
  <c r="R229" i="5"/>
  <c r="T229" i="5" s="1"/>
  <c r="N229" i="5"/>
  <c r="CK228" i="5"/>
  <c r="CE228" i="5"/>
  <c r="BY228" i="5"/>
  <c r="BW228" i="5"/>
  <c r="BQ228" i="5"/>
  <c r="BS228" i="5" s="1"/>
  <c r="BM228" i="5"/>
  <c r="BG228" i="5"/>
  <c r="AY228" i="5"/>
  <c r="AW228" i="5"/>
  <c r="AQ228" i="5"/>
  <c r="AO228" i="5"/>
  <c r="AI228" i="5"/>
  <c r="AA228" i="5"/>
  <c r="Y228" i="5"/>
  <c r="R228" i="5"/>
  <c r="T228" i="5" s="1"/>
  <c r="CO228" i="5" s="1"/>
  <c r="N228" i="5"/>
  <c r="CK227" i="5"/>
  <c r="CE227" i="5"/>
  <c r="BY227" i="5"/>
  <c r="BS227" i="5"/>
  <c r="BM227" i="5"/>
  <c r="BG227" i="5"/>
  <c r="CQ227" i="5" s="1"/>
  <c r="CR227" i="5" s="1"/>
  <c r="CT227" i="5" s="1"/>
  <c r="AW227" i="5"/>
  <c r="AY227" i="5" s="1"/>
  <c r="AQ227" i="5"/>
  <c r="AI227" i="5"/>
  <c r="AA227" i="5"/>
  <c r="Y227" i="5"/>
  <c r="T227" i="5"/>
  <c r="CO227" i="5" s="1"/>
  <c r="R227" i="5"/>
  <c r="N227" i="5"/>
  <c r="CK226" i="5"/>
  <c r="CE226" i="5"/>
  <c r="BY226" i="5"/>
  <c r="BW226" i="5"/>
  <c r="BS226" i="5"/>
  <c r="BQ226" i="5"/>
  <c r="BM226" i="5"/>
  <c r="CQ226" i="5" s="1"/>
  <c r="CR226" i="5" s="1"/>
  <c r="BG226" i="5"/>
  <c r="AW226" i="5"/>
  <c r="AY226" i="5" s="1"/>
  <c r="AO226" i="5"/>
  <c r="AQ226" i="5" s="1"/>
  <c r="AI226" i="5"/>
  <c r="Y226" i="5"/>
  <c r="AA226" i="5" s="1"/>
  <c r="T226" i="5"/>
  <c r="R226" i="5"/>
  <c r="N226" i="5"/>
  <c r="CQ225" i="5"/>
  <c r="CR225" i="5" s="1"/>
  <c r="CK225" i="5"/>
  <c r="CE225" i="5"/>
  <c r="BW225" i="5"/>
  <c r="BY225" i="5" s="1"/>
  <c r="BS225" i="5"/>
  <c r="BQ225" i="5"/>
  <c r="BM225" i="5"/>
  <c r="BG225" i="5"/>
  <c r="AY225" i="5"/>
  <c r="AW225" i="5"/>
  <c r="AO225" i="5"/>
  <c r="AQ225" i="5" s="1"/>
  <c r="AI225" i="5"/>
  <c r="AA225" i="5"/>
  <c r="Y225" i="5"/>
  <c r="R225" i="5"/>
  <c r="T225" i="5" s="1"/>
  <c r="N225" i="5"/>
  <c r="CK224" i="5"/>
  <c r="CE224" i="5"/>
  <c r="BY224" i="5"/>
  <c r="BW224" i="5"/>
  <c r="BQ224" i="5"/>
  <c r="BS224" i="5" s="1"/>
  <c r="BM224" i="5"/>
  <c r="BG224" i="5"/>
  <c r="AY224" i="5"/>
  <c r="AW224" i="5"/>
  <c r="AQ224" i="5"/>
  <c r="AO224" i="5"/>
  <c r="AI224" i="5"/>
  <c r="Y224" i="5"/>
  <c r="AA224" i="5" s="1"/>
  <c r="T224" i="5"/>
  <c r="R224" i="5"/>
  <c r="N224" i="5"/>
  <c r="CK223" i="5"/>
  <c r="CE223" i="5"/>
  <c r="BY223" i="5"/>
  <c r="BW223" i="5"/>
  <c r="BQ223" i="5"/>
  <c r="BS223" i="5" s="1"/>
  <c r="BM223" i="5"/>
  <c r="BG223" i="5"/>
  <c r="AW223" i="5"/>
  <c r="AY223" i="5" s="1"/>
  <c r="AQ223" i="5"/>
  <c r="AO223" i="5"/>
  <c r="AI223" i="5"/>
  <c r="AA223" i="5"/>
  <c r="Y223" i="5"/>
  <c r="T223" i="5"/>
  <c r="CO223" i="5" s="1"/>
  <c r="R223" i="5"/>
  <c r="N223" i="5"/>
  <c r="CK222" i="5"/>
  <c r="CE222" i="5"/>
  <c r="BY222" i="5"/>
  <c r="BW222" i="5"/>
  <c r="BS222" i="5"/>
  <c r="BQ222" i="5"/>
  <c r="BM222" i="5"/>
  <c r="BG222" i="5"/>
  <c r="AW222" i="5"/>
  <c r="AY222" i="5" s="1"/>
  <c r="AO222" i="5"/>
  <c r="AQ222" i="5" s="1"/>
  <c r="AI222" i="5"/>
  <c r="Y222" i="5"/>
  <c r="AA222" i="5" s="1"/>
  <c r="T222" i="5"/>
  <c r="R222" i="5"/>
  <c r="N222" i="5"/>
  <c r="CQ221" i="5"/>
  <c r="CR221" i="5" s="1"/>
  <c r="CK221" i="5"/>
  <c r="CE221" i="5"/>
  <c r="BW221" i="5"/>
  <c r="BY221" i="5" s="1"/>
  <c r="BQ221" i="5"/>
  <c r="BS221" i="5" s="1"/>
  <c r="BM221" i="5"/>
  <c r="BG221" i="5"/>
  <c r="AW221" i="5"/>
  <c r="AY221" i="5" s="1"/>
  <c r="AO221" i="5"/>
  <c r="AQ221" i="5" s="1"/>
  <c r="AI221" i="5"/>
  <c r="Y221" i="5"/>
  <c r="AA221" i="5" s="1"/>
  <c r="R221" i="5"/>
  <c r="T221" i="5" s="1"/>
  <c r="N221" i="5"/>
  <c r="CK220" i="5"/>
  <c r="CE220" i="5"/>
  <c r="BW220" i="5"/>
  <c r="BY220" i="5" s="1"/>
  <c r="CQ220" i="5" s="1"/>
  <c r="CR220" i="5" s="1"/>
  <c r="BQ220" i="5"/>
  <c r="BS220" i="5" s="1"/>
  <c r="BM220" i="5"/>
  <c r="BG220" i="5"/>
  <c r="AY220" i="5"/>
  <c r="AW220" i="5"/>
  <c r="AO220" i="5"/>
  <c r="AQ220" i="5" s="1"/>
  <c r="AI220" i="5"/>
  <c r="Y220" i="5"/>
  <c r="AA220" i="5" s="1"/>
  <c r="CO220" i="5" s="1"/>
  <c r="CT220" i="5" s="1"/>
  <c r="T220" i="5"/>
  <c r="R220" i="5"/>
  <c r="N220" i="5"/>
  <c r="CK219" i="5"/>
  <c r="CE219" i="5"/>
  <c r="BY219" i="5"/>
  <c r="BW219" i="5"/>
  <c r="BS219" i="5"/>
  <c r="BQ219" i="5"/>
  <c r="BM219" i="5"/>
  <c r="BG219" i="5"/>
  <c r="AW219" i="5"/>
  <c r="AY219" i="5" s="1"/>
  <c r="AQ219" i="5"/>
  <c r="AO219" i="5"/>
  <c r="AI219" i="5"/>
  <c r="AA219" i="5"/>
  <c r="Y219" i="5"/>
  <c r="T219" i="5"/>
  <c r="R219" i="5"/>
  <c r="N219" i="5"/>
  <c r="CQ218" i="5"/>
  <c r="CR218" i="5" s="1"/>
  <c r="CK218" i="5"/>
  <c r="CE218" i="5"/>
  <c r="BY218" i="5"/>
  <c r="BW218" i="5"/>
  <c r="BS218" i="5"/>
  <c r="BQ218" i="5"/>
  <c r="BM218" i="5"/>
  <c r="BG218" i="5"/>
  <c r="AW218" i="5"/>
  <c r="AY218" i="5" s="1"/>
  <c r="AQ218" i="5"/>
  <c r="AO218" i="5"/>
  <c r="AI218" i="5"/>
  <c r="Y218" i="5"/>
  <c r="AA218" i="5" s="1"/>
  <c r="T218" i="5"/>
  <c r="R218" i="5"/>
  <c r="N218" i="5"/>
  <c r="CR217" i="5"/>
  <c r="CQ217" i="5"/>
  <c r="CK217" i="5"/>
  <c r="CE217" i="5"/>
  <c r="BW217" i="5"/>
  <c r="BY217" i="5" s="1"/>
  <c r="BS217" i="5"/>
  <c r="BQ217" i="5"/>
  <c r="BM217" i="5"/>
  <c r="BG217" i="5"/>
  <c r="AY217" i="5"/>
  <c r="AW217" i="5"/>
  <c r="AO217" i="5"/>
  <c r="AQ217" i="5" s="1"/>
  <c r="AI217" i="5"/>
  <c r="AA217" i="5"/>
  <c r="Y217" i="5"/>
  <c r="R217" i="5"/>
  <c r="T217" i="5" s="1"/>
  <c r="N217" i="5"/>
  <c r="CK216" i="5"/>
  <c r="CE216" i="5"/>
  <c r="BY216" i="5"/>
  <c r="BW216" i="5"/>
  <c r="BQ216" i="5"/>
  <c r="BS216" i="5" s="1"/>
  <c r="BM216" i="5"/>
  <c r="BG216" i="5"/>
  <c r="CQ216" i="5" s="1"/>
  <c r="CR216" i="5" s="1"/>
  <c r="AY216" i="5"/>
  <c r="AW216" i="5"/>
  <c r="AQ216" i="5"/>
  <c r="AO216" i="5"/>
  <c r="AI216" i="5"/>
  <c r="Y216" i="5"/>
  <c r="AA216" i="5" s="1"/>
  <c r="T216" i="5"/>
  <c r="R216" i="5"/>
  <c r="N216" i="5"/>
  <c r="CK215" i="5"/>
  <c r="CE215" i="5"/>
  <c r="BY215" i="5"/>
  <c r="BW215" i="5"/>
  <c r="BS215" i="5"/>
  <c r="BQ215" i="5"/>
  <c r="BM215" i="5"/>
  <c r="BG215" i="5"/>
  <c r="AW215" i="5"/>
  <c r="AY215" i="5" s="1"/>
  <c r="AQ215" i="5"/>
  <c r="AO215" i="5"/>
  <c r="AI215" i="5"/>
  <c r="AA215" i="5"/>
  <c r="Y215" i="5"/>
  <c r="R215" i="5"/>
  <c r="T215" i="5" s="1"/>
  <c r="N215" i="5"/>
  <c r="CK214" i="5"/>
  <c r="CE214" i="5"/>
  <c r="BW214" i="5"/>
  <c r="BY214" i="5" s="1"/>
  <c r="BQ214" i="5"/>
  <c r="BS214" i="5" s="1"/>
  <c r="CQ214" i="5" s="1"/>
  <c r="CR214" i="5" s="1"/>
  <c r="BM214" i="5"/>
  <c r="BG214" i="5"/>
  <c r="AW214" i="5"/>
  <c r="AY214" i="5" s="1"/>
  <c r="AQ214" i="5"/>
  <c r="AO214" i="5"/>
  <c r="AI214" i="5"/>
  <c r="Y214" i="5"/>
  <c r="AA214" i="5" s="1"/>
  <c r="CO214" i="5" s="1"/>
  <c r="CT214" i="5" s="1"/>
  <c r="T214" i="5"/>
  <c r="R214" i="5"/>
  <c r="N214" i="5"/>
  <c r="CK213" i="5"/>
  <c r="CE213" i="5"/>
  <c r="BW213" i="5"/>
  <c r="BY213" i="5" s="1"/>
  <c r="CQ213" i="5" s="1"/>
  <c r="CR213" i="5" s="1"/>
  <c r="BS213" i="5"/>
  <c r="BQ213" i="5"/>
  <c r="BM213" i="5"/>
  <c r="BG213" i="5"/>
  <c r="AW213" i="5"/>
  <c r="AY213" i="5" s="1"/>
  <c r="AO213" i="5"/>
  <c r="AQ213" i="5" s="1"/>
  <c r="AI213" i="5"/>
  <c r="Y213" i="5"/>
  <c r="AA213" i="5" s="1"/>
  <c r="T213" i="5"/>
  <c r="CO213" i="5" s="1"/>
  <c r="CT213" i="5" s="1"/>
  <c r="R213" i="5"/>
  <c r="N213" i="5"/>
  <c r="CK212" i="5"/>
  <c r="CE212" i="5"/>
  <c r="BY212" i="5"/>
  <c r="BW212" i="5"/>
  <c r="BS212" i="5"/>
  <c r="BQ212" i="5"/>
  <c r="BM212" i="5"/>
  <c r="BG212" i="5"/>
  <c r="AW212" i="5"/>
  <c r="AY212" i="5" s="1"/>
  <c r="AO212" i="5"/>
  <c r="AQ212" i="5" s="1"/>
  <c r="AI212" i="5"/>
  <c r="AA212" i="5"/>
  <c r="Y212" i="5"/>
  <c r="R212" i="5"/>
  <c r="T212" i="5" s="1"/>
  <c r="N212" i="5"/>
  <c r="CR211" i="5"/>
  <c r="CK211" i="5"/>
  <c r="CE211" i="5"/>
  <c r="BW211" i="5"/>
  <c r="BY211" i="5" s="1"/>
  <c r="BQ211" i="5"/>
  <c r="BS211" i="5" s="1"/>
  <c r="CQ211" i="5" s="1"/>
  <c r="BM211" i="5"/>
  <c r="BG211" i="5"/>
  <c r="AY211" i="5"/>
  <c r="AW211" i="5"/>
  <c r="AO211" i="5"/>
  <c r="AQ211" i="5" s="1"/>
  <c r="AI211" i="5"/>
  <c r="Y211" i="5"/>
  <c r="AA211" i="5" s="1"/>
  <c r="T211" i="5"/>
  <c r="R211" i="5"/>
  <c r="N211" i="5"/>
  <c r="CR210" i="5"/>
  <c r="CK210" i="5"/>
  <c r="CE210" i="5"/>
  <c r="BY210" i="5"/>
  <c r="BS210" i="5"/>
  <c r="BM210" i="5"/>
  <c r="BG210" i="5"/>
  <c r="CQ210" i="5" s="1"/>
  <c r="AY210" i="5"/>
  <c r="AW210" i="5"/>
  <c r="AQ210" i="5"/>
  <c r="AI210" i="5"/>
  <c r="AA210" i="5"/>
  <c r="Y210" i="5"/>
  <c r="R210" i="5"/>
  <c r="T210" i="5" s="1"/>
  <c r="N210" i="5"/>
  <c r="CO210" i="5" s="1"/>
  <c r="CK209" i="5"/>
  <c r="CE209" i="5"/>
  <c r="BW209" i="5"/>
  <c r="BY209" i="5" s="1"/>
  <c r="BS209" i="5"/>
  <c r="BQ209" i="5"/>
  <c r="BM209" i="5"/>
  <c r="BG209" i="5"/>
  <c r="AW209" i="5"/>
  <c r="AY209" i="5" s="1"/>
  <c r="AO209" i="5"/>
  <c r="AQ209" i="5" s="1"/>
  <c r="AI209" i="5"/>
  <c r="Y209" i="5"/>
  <c r="AA209" i="5" s="1"/>
  <c r="T209" i="5"/>
  <c r="CO209" i="5" s="1"/>
  <c r="R209" i="5"/>
  <c r="N209" i="5"/>
  <c r="CK208" i="5"/>
  <c r="CE208" i="5"/>
  <c r="BW208" i="5"/>
  <c r="BY208" i="5" s="1"/>
  <c r="BQ208" i="5"/>
  <c r="BS208" i="5" s="1"/>
  <c r="BM208" i="5"/>
  <c r="BG208" i="5"/>
  <c r="CQ208" i="5" s="1"/>
  <c r="CR208" i="5" s="1"/>
  <c r="AY208" i="5"/>
  <c r="AW208" i="5"/>
  <c r="AO208" i="5"/>
  <c r="AQ208" i="5" s="1"/>
  <c r="AI208" i="5"/>
  <c r="Y208" i="5"/>
  <c r="AA208" i="5" s="1"/>
  <c r="T208" i="5"/>
  <c r="CO208" i="5" s="1"/>
  <c r="R208" i="5"/>
  <c r="N208" i="5"/>
  <c r="CK207" i="5"/>
  <c r="CE207" i="5"/>
  <c r="BW207" i="5"/>
  <c r="BY207" i="5" s="1"/>
  <c r="BQ207" i="5"/>
  <c r="BS207" i="5" s="1"/>
  <c r="BM207" i="5"/>
  <c r="BG207" i="5"/>
  <c r="AY207" i="5"/>
  <c r="AW207" i="5"/>
  <c r="AO207" i="5"/>
  <c r="AQ207" i="5" s="1"/>
  <c r="AI207" i="5"/>
  <c r="AA207" i="5"/>
  <c r="Y207" i="5"/>
  <c r="T207" i="5"/>
  <c r="R207" i="5"/>
  <c r="N207" i="5"/>
  <c r="CK206" i="5"/>
  <c r="CE206" i="5"/>
  <c r="BY206" i="5"/>
  <c r="BW206" i="5"/>
  <c r="BQ206" i="5"/>
  <c r="BS206" i="5" s="1"/>
  <c r="BM206" i="5"/>
  <c r="BG206" i="5"/>
  <c r="AY206" i="5"/>
  <c r="AW206" i="5"/>
  <c r="AO206" i="5"/>
  <c r="AQ206" i="5" s="1"/>
  <c r="AI206" i="5"/>
  <c r="AA206" i="5"/>
  <c r="Y206" i="5"/>
  <c r="R206" i="5"/>
  <c r="T206" i="5" s="1"/>
  <c r="CO206" i="5" s="1"/>
  <c r="N206" i="5"/>
  <c r="CK205" i="5"/>
  <c r="CE205" i="5"/>
  <c r="BW205" i="5"/>
  <c r="BY205" i="5" s="1"/>
  <c r="BQ205" i="5"/>
  <c r="BS205" i="5" s="1"/>
  <c r="BM205" i="5"/>
  <c r="BG205" i="5"/>
  <c r="AW205" i="5"/>
  <c r="AY205" i="5" s="1"/>
  <c r="AO205" i="5"/>
  <c r="AQ205" i="5" s="1"/>
  <c r="AI205" i="5"/>
  <c r="AA205" i="5"/>
  <c r="Y205" i="5"/>
  <c r="T205" i="5"/>
  <c r="R205" i="5"/>
  <c r="N205" i="5"/>
  <c r="CK204" i="5"/>
  <c r="CE204" i="5"/>
  <c r="BW204" i="5"/>
  <c r="BY204" i="5" s="1"/>
  <c r="BS204" i="5"/>
  <c r="BQ204" i="5"/>
  <c r="BM204" i="5"/>
  <c r="BG204" i="5"/>
  <c r="AW204" i="5"/>
  <c r="AY204" i="5" s="1"/>
  <c r="AO204" i="5"/>
  <c r="AQ204" i="5" s="1"/>
  <c r="AI204" i="5"/>
  <c r="AA204" i="5"/>
  <c r="Y204" i="5"/>
  <c r="R204" i="5"/>
  <c r="T204" i="5" s="1"/>
  <c r="N204" i="5"/>
  <c r="CK203" i="5"/>
  <c r="CE203" i="5"/>
  <c r="BY203" i="5"/>
  <c r="BW203" i="5"/>
  <c r="BQ203" i="5"/>
  <c r="BS203" i="5" s="1"/>
  <c r="BM203" i="5"/>
  <c r="BG203" i="5"/>
  <c r="AW203" i="5"/>
  <c r="AY203" i="5" s="1"/>
  <c r="AQ203" i="5"/>
  <c r="AO203" i="5"/>
  <c r="AI203" i="5"/>
  <c r="Y203" i="5"/>
  <c r="AA203" i="5" s="1"/>
  <c r="R203" i="5"/>
  <c r="T203" i="5" s="1"/>
  <c r="N203" i="5"/>
  <c r="CK202" i="5"/>
  <c r="CE202" i="5"/>
  <c r="BW202" i="5"/>
  <c r="BY202" i="5" s="1"/>
  <c r="BQ202" i="5"/>
  <c r="BS202" i="5" s="1"/>
  <c r="BM202" i="5"/>
  <c r="BG202" i="5"/>
  <c r="AY202" i="5"/>
  <c r="AW202" i="5"/>
  <c r="AO202" i="5"/>
  <c r="AQ202" i="5" s="1"/>
  <c r="AI202" i="5"/>
  <c r="AA202" i="5"/>
  <c r="Y202" i="5"/>
  <c r="T202" i="5"/>
  <c r="CO202" i="5" s="1"/>
  <c r="R202" i="5"/>
  <c r="N202" i="5"/>
  <c r="CK201" i="5"/>
  <c r="CE201" i="5"/>
  <c r="BY201" i="5"/>
  <c r="BW201" i="5"/>
  <c r="BQ201" i="5"/>
  <c r="BS201" i="5" s="1"/>
  <c r="BM201" i="5"/>
  <c r="BG201" i="5"/>
  <c r="AW201" i="5"/>
  <c r="AY201" i="5" s="1"/>
  <c r="AO201" i="5"/>
  <c r="AQ201" i="5" s="1"/>
  <c r="AI201" i="5"/>
  <c r="Y201" i="5"/>
  <c r="AA201" i="5" s="1"/>
  <c r="T201" i="5"/>
  <c r="R201" i="5"/>
  <c r="N201" i="5"/>
  <c r="CK200" i="5"/>
  <c r="CE200" i="5"/>
  <c r="BW200" i="5"/>
  <c r="BY200" i="5" s="1"/>
  <c r="BS200" i="5"/>
  <c r="BQ200" i="5"/>
  <c r="BM200" i="5"/>
  <c r="BG200" i="5"/>
  <c r="AW200" i="5"/>
  <c r="AY200" i="5" s="1"/>
  <c r="AO200" i="5"/>
  <c r="AQ200" i="5" s="1"/>
  <c r="AI200" i="5"/>
  <c r="AA200" i="5"/>
  <c r="Y200" i="5"/>
  <c r="T200" i="5"/>
  <c r="R200" i="5"/>
  <c r="N200" i="5"/>
  <c r="CK199" i="5"/>
  <c r="CE199" i="5"/>
  <c r="BY199" i="5"/>
  <c r="BW199" i="5"/>
  <c r="BQ199" i="5"/>
  <c r="BS199" i="5" s="1"/>
  <c r="BM199" i="5"/>
  <c r="BG199" i="5"/>
  <c r="CQ199" i="5" s="1"/>
  <c r="CR199" i="5" s="1"/>
  <c r="AW199" i="5"/>
  <c r="AY199" i="5" s="1"/>
  <c r="AQ199" i="5"/>
  <c r="AO199" i="5"/>
  <c r="AI199" i="5"/>
  <c r="Y199" i="5"/>
  <c r="AA199" i="5" s="1"/>
  <c r="R199" i="5"/>
  <c r="T199" i="5" s="1"/>
  <c r="CO199" i="5" s="1"/>
  <c r="N199" i="5"/>
  <c r="CK198" i="5"/>
  <c r="CE198" i="5"/>
  <c r="BW198" i="5"/>
  <c r="BY198" i="5" s="1"/>
  <c r="BS198" i="5"/>
  <c r="BQ198" i="5"/>
  <c r="BM198" i="5"/>
  <c r="BG198" i="5"/>
  <c r="AW198" i="5"/>
  <c r="AY198" i="5" s="1"/>
  <c r="AO198" i="5"/>
  <c r="AQ198" i="5" s="1"/>
  <c r="AI198" i="5"/>
  <c r="Y198" i="5"/>
  <c r="AA198" i="5" s="1"/>
  <c r="T198" i="5"/>
  <c r="R198" i="5"/>
  <c r="N198" i="5"/>
  <c r="CQ197" i="5"/>
  <c r="CR197" i="5" s="1"/>
  <c r="CK197" i="5"/>
  <c r="CE197" i="5"/>
  <c r="BY197" i="5"/>
  <c r="BS197" i="5"/>
  <c r="BM197" i="5"/>
  <c r="BG197" i="5"/>
  <c r="AY197" i="5"/>
  <c r="AW197" i="5"/>
  <c r="AQ197" i="5"/>
  <c r="AI197" i="5"/>
  <c r="AA197" i="5"/>
  <c r="Y197" i="5"/>
  <c r="R197" i="5"/>
  <c r="T197" i="5" s="1"/>
  <c r="N197" i="5"/>
  <c r="CK196" i="5"/>
  <c r="CE196" i="5"/>
  <c r="CQ196" i="5" s="1"/>
  <c r="CR196" i="5" s="1"/>
  <c r="BY196" i="5"/>
  <c r="BW196" i="5"/>
  <c r="BQ196" i="5"/>
  <c r="BS196" i="5" s="1"/>
  <c r="BM196" i="5"/>
  <c r="BG196" i="5"/>
  <c r="AW196" i="5"/>
  <c r="AY196" i="5" s="1"/>
  <c r="AQ196" i="5"/>
  <c r="AO196" i="5"/>
  <c r="AI196" i="5"/>
  <c r="Y196" i="5"/>
  <c r="AA196" i="5" s="1"/>
  <c r="R196" i="5"/>
  <c r="T196" i="5" s="1"/>
  <c r="N196" i="5"/>
  <c r="CK195" i="5"/>
  <c r="CE195" i="5"/>
  <c r="BY195" i="5"/>
  <c r="BW195" i="5"/>
  <c r="BS195" i="5"/>
  <c r="BQ195" i="5"/>
  <c r="BM195" i="5"/>
  <c r="BG195" i="5"/>
  <c r="AY195" i="5"/>
  <c r="AW195" i="5"/>
  <c r="AQ195" i="5"/>
  <c r="AO195" i="5"/>
  <c r="AI195" i="5"/>
  <c r="AA195" i="5"/>
  <c r="Y195" i="5"/>
  <c r="T195" i="5"/>
  <c r="R195" i="5"/>
  <c r="N195" i="5"/>
  <c r="CQ194" i="5"/>
  <c r="CR194" i="5" s="1"/>
  <c r="CK194" i="5"/>
  <c r="CE194" i="5"/>
  <c r="BY194" i="5"/>
  <c r="BW194" i="5"/>
  <c r="BS194" i="5"/>
  <c r="BQ194" i="5"/>
  <c r="BM194" i="5"/>
  <c r="BG194" i="5"/>
  <c r="AW194" i="5"/>
  <c r="AY194" i="5" s="1"/>
  <c r="AQ194" i="5"/>
  <c r="AO194" i="5"/>
  <c r="AI194" i="5"/>
  <c r="AA194" i="5"/>
  <c r="Y194" i="5"/>
  <c r="T194" i="5"/>
  <c r="R194" i="5"/>
  <c r="N194" i="5"/>
  <c r="CK193" i="5"/>
  <c r="CE193" i="5"/>
  <c r="BW193" i="5"/>
  <c r="BY193" i="5" s="1"/>
  <c r="BQ193" i="5"/>
  <c r="BS193" i="5" s="1"/>
  <c r="BM193" i="5"/>
  <c r="BG193" i="5"/>
  <c r="AW193" i="5"/>
  <c r="AY193" i="5" s="1"/>
  <c r="AO193" i="5"/>
  <c r="AQ193" i="5" s="1"/>
  <c r="AI193" i="5"/>
  <c r="AA193" i="5"/>
  <c r="Y193" i="5"/>
  <c r="T193" i="5"/>
  <c r="CO193" i="5" s="1"/>
  <c r="R193" i="5"/>
  <c r="N193" i="5"/>
  <c r="CK192" i="5"/>
  <c r="CE192" i="5"/>
  <c r="BY192" i="5"/>
  <c r="BW192" i="5"/>
  <c r="BQ192" i="5"/>
  <c r="BS192" i="5" s="1"/>
  <c r="BM192" i="5"/>
  <c r="BG192" i="5"/>
  <c r="CQ192" i="5" s="1"/>
  <c r="CR192" i="5" s="1"/>
  <c r="AW192" i="5"/>
  <c r="AY192" i="5" s="1"/>
  <c r="AQ192" i="5"/>
  <c r="AO192" i="5"/>
  <c r="AI192" i="5"/>
  <c r="Y192" i="5"/>
  <c r="AA192" i="5" s="1"/>
  <c r="T192" i="5"/>
  <c r="CO192" i="5" s="1"/>
  <c r="R192" i="5"/>
  <c r="N192" i="5"/>
  <c r="CK191" i="5"/>
  <c r="CE191" i="5"/>
  <c r="BY191" i="5"/>
  <c r="BW191" i="5"/>
  <c r="BQ191" i="5"/>
  <c r="BS191" i="5" s="1"/>
  <c r="BM191" i="5"/>
  <c r="BG191" i="5"/>
  <c r="AW191" i="5"/>
  <c r="AY191" i="5" s="1"/>
  <c r="AO191" i="5"/>
  <c r="AQ191" i="5" s="1"/>
  <c r="AI191" i="5"/>
  <c r="AA191" i="5"/>
  <c r="Y191" i="5"/>
  <c r="R191" i="5"/>
  <c r="T191" i="5" s="1"/>
  <c r="N191" i="5"/>
  <c r="CK190" i="5"/>
  <c r="CE190" i="5"/>
  <c r="BY190" i="5"/>
  <c r="BW190" i="5"/>
  <c r="BS190" i="5"/>
  <c r="CQ190" i="5" s="1"/>
  <c r="CR190" i="5" s="1"/>
  <c r="BQ190" i="5"/>
  <c r="BM190" i="5"/>
  <c r="BG190" i="5"/>
  <c r="AW190" i="5"/>
  <c r="AY190" i="5" s="1"/>
  <c r="AO190" i="5"/>
  <c r="AQ190" i="5" s="1"/>
  <c r="AI190" i="5"/>
  <c r="Y190" i="5"/>
  <c r="AA190" i="5" s="1"/>
  <c r="T190" i="5"/>
  <c r="CO190" i="5" s="1"/>
  <c r="CT190" i="5" s="1"/>
  <c r="R190" i="5"/>
  <c r="N190" i="5"/>
  <c r="CK189" i="5"/>
  <c r="CE189" i="5"/>
  <c r="BW189" i="5"/>
  <c r="BY189" i="5" s="1"/>
  <c r="BS189" i="5"/>
  <c r="BQ189" i="5"/>
  <c r="BM189" i="5"/>
  <c r="BG189" i="5"/>
  <c r="AY189" i="5"/>
  <c r="CO189" i="5" s="1"/>
  <c r="AW189" i="5"/>
  <c r="AO189" i="5"/>
  <c r="AQ189" i="5" s="1"/>
  <c r="AI189" i="5"/>
  <c r="AA189" i="5"/>
  <c r="Y189" i="5"/>
  <c r="T189" i="5"/>
  <c r="R189" i="5"/>
  <c r="N189" i="5"/>
  <c r="CK188" i="5"/>
  <c r="CE188" i="5"/>
  <c r="BY188" i="5"/>
  <c r="BS188" i="5"/>
  <c r="BM188" i="5"/>
  <c r="BG188" i="5"/>
  <c r="CQ188" i="5" s="1"/>
  <c r="CR188" i="5" s="1"/>
  <c r="AW188" i="5"/>
  <c r="AY188" i="5" s="1"/>
  <c r="AQ188" i="5"/>
  <c r="AI188" i="5"/>
  <c r="AA188" i="5"/>
  <c r="Y188" i="5"/>
  <c r="R188" i="5"/>
  <c r="T188" i="5" s="1"/>
  <c r="N188" i="5"/>
  <c r="CK187" i="5"/>
  <c r="CE187" i="5"/>
  <c r="BY187" i="5"/>
  <c r="BW187" i="5"/>
  <c r="BQ187" i="5"/>
  <c r="BS187" i="5" s="1"/>
  <c r="BM187" i="5"/>
  <c r="BG187" i="5"/>
  <c r="AY187" i="5"/>
  <c r="AW187" i="5"/>
  <c r="AQ187" i="5"/>
  <c r="AO187" i="5"/>
  <c r="AI187" i="5"/>
  <c r="AA187" i="5"/>
  <c r="Y187" i="5"/>
  <c r="R187" i="5"/>
  <c r="T187" i="5" s="1"/>
  <c r="N187" i="5"/>
  <c r="CK186" i="5"/>
  <c r="CE186" i="5"/>
  <c r="BY186" i="5"/>
  <c r="BW186" i="5"/>
  <c r="BQ186" i="5"/>
  <c r="BS186" i="5" s="1"/>
  <c r="BM186" i="5"/>
  <c r="BG186" i="5"/>
  <c r="AY186" i="5"/>
  <c r="AW186" i="5"/>
  <c r="AQ186" i="5"/>
  <c r="AO186" i="5"/>
  <c r="AI186" i="5"/>
  <c r="AA186" i="5"/>
  <c r="Y186" i="5"/>
  <c r="T186" i="5"/>
  <c r="R186" i="5"/>
  <c r="N186" i="5"/>
  <c r="CQ185" i="5"/>
  <c r="CR185" i="5" s="1"/>
  <c r="CO185" i="5"/>
  <c r="CT185" i="5" s="1"/>
  <c r="CK185" i="5"/>
  <c r="CE185" i="5"/>
  <c r="BY185" i="5"/>
  <c r="BS185" i="5"/>
  <c r="BM185" i="5"/>
  <c r="BG185" i="5"/>
  <c r="AW185" i="5"/>
  <c r="AY185" i="5" s="1"/>
  <c r="AQ185" i="5"/>
  <c r="AI185" i="5"/>
  <c r="AA185" i="5"/>
  <c r="Y185" i="5"/>
  <c r="T185" i="5"/>
  <c r="R185" i="5"/>
  <c r="N185" i="5"/>
  <c r="CK184" i="5"/>
  <c r="CE184" i="5"/>
  <c r="BW184" i="5"/>
  <c r="BY184" i="5" s="1"/>
  <c r="BQ184" i="5"/>
  <c r="BS184" i="5" s="1"/>
  <c r="BM184" i="5"/>
  <c r="BG184" i="5"/>
  <c r="CQ184" i="5" s="1"/>
  <c r="CR184" i="5" s="1"/>
  <c r="AY184" i="5"/>
  <c r="AW184" i="5"/>
  <c r="AO184" i="5"/>
  <c r="AQ184" i="5" s="1"/>
  <c r="AI184" i="5"/>
  <c r="Y184" i="5"/>
  <c r="AA184" i="5" s="1"/>
  <c r="R184" i="5"/>
  <c r="T184" i="5" s="1"/>
  <c r="CO184" i="5" s="1"/>
  <c r="CT184" i="5" s="1"/>
  <c r="N184" i="5"/>
  <c r="CK183" i="5"/>
  <c r="CE183" i="5"/>
  <c r="BW183" i="5"/>
  <c r="BY183" i="5" s="1"/>
  <c r="BQ183" i="5"/>
  <c r="BS183" i="5" s="1"/>
  <c r="BM183" i="5"/>
  <c r="BG183" i="5"/>
  <c r="AW183" i="5"/>
  <c r="AY183" i="5" s="1"/>
  <c r="AO183" i="5"/>
  <c r="AQ183" i="5" s="1"/>
  <c r="AI183" i="5"/>
  <c r="AA183" i="5"/>
  <c r="Y183" i="5"/>
  <c r="R183" i="5"/>
  <c r="T183" i="5" s="1"/>
  <c r="N183" i="5"/>
  <c r="CO182" i="5"/>
  <c r="CT182" i="5" s="1"/>
  <c r="CK182" i="5"/>
  <c r="CE182" i="5"/>
  <c r="BY182" i="5"/>
  <c r="BQ182" i="5"/>
  <c r="BS182" i="5" s="1"/>
  <c r="BM182" i="5"/>
  <c r="BG182" i="5"/>
  <c r="CQ182" i="5" s="1"/>
  <c r="CR182" i="5" s="1"/>
  <c r="AW182" i="5"/>
  <c r="AY182" i="5" s="1"/>
  <c r="AQ182" i="5"/>
  <c r="AI182" i="5"/>
  <c r="Y182" i="5"/>
  <c r="AA182" i="5" s="1"/>
  <c r="T182" i="5"/>
  <c r="R182" i="5"/>
  <c r="N182" i="5"/>
  <c r="CK181" i="5"/>
  <c r="CE181" i="5"/>
  <c r="BW181" i="5"/>
  <c r="BY181" i="5" s="1"/>
  <c r="BS181" i="5"/>
  <c r="BQ181" i="5"/>
  <c r="BM181" i="5"/>
  <c r="BG181" i="5"/>
  <c r="AW181" i="5"/>
  <c r="AY181" i="5" s="1"/>
  <c r="AO181" i="5"/>
  <c r="AQ181" i="5" s="1"/>
  <c r="AI181" i="5"/>
  <c r="AA181" i="5"/>
  <c r="Y181" i="5"/>
  <c r="T181" i="5"/>
  <c r="R181" i="5"/>
  <c r="N181" i="5"/>
  <c r="CK180" i="5"/>
  <c r="CE180" i="5"/>
  <c r="BY180" i="5"/>
  <c r="BW180" i="5"/>
  <c r="BQ180" i="5"/>
  <c r="BS180" i="5" s="1"/>
  <c r="BM180" i="5"/>
  <c r="BG180" i="5"/>
  <c r="AY180" i="5"/>
  <c r="AW180" i="5"/>
  <c r="AQ180" i="5"/>
  <c r="CO180" i="5" s="1"/>
  <c r="AO180" i="5"/>
  <c r="AI180" i="5"/>
  <c r="Y180" i="5"/>
  <c r="AA180" i="5" s="1"/>
  <c r="T180" i="5"/>
  <c r="R180" i="5"/>
  <c r="N180" i="5"/>
  <c r="CK179" i="5"/>
  <c r="CE179" i="5"/>
  <c r="BW179" i="5"/>
  <c r="BY179" i="5" s="1"/>
  <c r="BS179" i="5"/>
  <c r="BQ179" i="5"/>
  <c r="BM179" i="5"/>
  <c r="BG179" i="5"/>
  <c r="AW179" i="5"/>
  <c r="AY179" i="5" s="1"/>
  <c r="AQ179" i="5"/>
  <c r="AO179" i="5"/>
  <c r="AI179" i="5"/>
  <c r="AA179" i="5"/>
  <c r="Y179" i="5"/>
  <c r="R179" i="5"/>
  <c r="T179" i="5" s="1"/>
  <c r="N179" i="5"/>
  <c r="CK178" i="5"/>
  <c r="CE178" i="5"/>
  <c r="BW178" i="5"/>
  <c r="BY178" i="5" s="1"/>
  <c r="BQ178" i="5"/>
  <c r="BS178" i="5" s="1"/>
  <c r="BM178" i="5"/>
  <c r="BG178" i="5"/>
  <c r="AW178" i="5"/>
  <c r="AY178" i="5" s="1"/>
  <c r="AO178" i="5"/>
  <c r="AQ178" i="5" s="1"/>
  <c r="AI178" i="5"/>
  <c r="AA178" i="5"/>
  <c r="Y178" i="5"/>
  <c r="T178" i="5"/>
  <c r="R178" i="5"/>
  <c r="N178" i="5"/>
  <c r="CK177" i="5"/>
  <c r="CE177" i="5"/>
  <c r="BW177" i="5"/>
  <c r="BY177" i="5" s="1"/>
  <c r="BS177" i="5"/>
  <c r="BQ177" i="5"/>
  <c r="BM177" i="5"/>
  <c r="BG177" i="5"/>
  <c r="AW177" i="5"/>
  <c r="AY177" i="5" s="1"/>
  <c r="AO177" i="5"/>
  <c r="AQ177" i="5" s="1"/>
  <c r="AI177" i="5"/>
  <c r="AA177" i="5"/>
  <c r="Y177" i="5"/>
  <c r="R177" i="5"/>
  <c r="T177" i="5" s="1"/>
  <c r="N177" i="5"/>
  <c r="CQ176" i="5"/>
  <c r="CR176" i="5" s="1"/>
  <c r="CK176" i="5"/>
  <c r="CE176" i="5"/>
  <c r="BW176" i="5"/>
  <c r="BY176" i="5" s="1"/>
  <c r="BQ176" i="5"/>
  <c r="BS176" i="5" s="1"/>
  <c r="BM176" i="5"/>
  <c r="BG176" i="5"/>
  <c r="AY176" i="5"/>
  <c r="AW176" i="5"/>
  <c r="AO176" i="5"/>
  <c r="AQ176" i="5" s="1"/>
  <c r="AI176" i="5"/>
  <c r="AA176" i="5"/>
  <c r="Y176" i="5"/>
  <c r="R176" i="5"/>
  <c r="T176" i="5" s="1"/>
  <c r="N176" i="5"/>
  <c r="CK175" i="5"/>
  <c r="CE175" i="5"/>
  <c r="BY175" i="5"/>
  <c r="BW175" i="5"/>
  <c r="BQ175" i="5"/>
  <c r="BS175" i="5" s="1"/>
  <c r="BM175" i="5"/>
  <c r="BG175" i="5"/>
  <c r="AW175" i="5"/>
  <c r="AY175" i="5" s="1"/>
  <c r="AQ175" i="5"/>
  <c r="AO175" i="5"/>
  <c r="AI175" i="5"/>
  <c r="Y175" i="5"/>
  <c r="AA175" i="5" s="1"/>
  <c r="T175" i="5"/>
  <c r="CO175" i="5" s="1"/>
  <c r="R175" i="5"/>
  <c r="N175" i="5"/>
  <c r="CK174" i="5"/>
  <c r="CE174" i="5"/>
  <c r="BY174" i="5"/>
  <c r="BW174" i="5"/>
  <c r="BS174" i="5"/>
  <c r="BQ174" i="5"/>
  <c r="BM174" i="5"/>
  <c r="BG174" i="5"/>
  <c r="AW174" i="5"/>
  <c r="AY174" i="5" s="1"/>
  <c r="AO174" i="5"/>
  <c r="AQ174" i="5" s="1"/>
  <c r="AI174" i="5"/>
  <c r="AA174" i="5"/>
  <c r="Y174" i="5"/>
  <c r="R174" i="5"/>
  <c r="T174" i="5" s="1"/>
  <c r="N174" i="5"/>
  <c r="CQ173" i="5"/>
  <c r="CR173" i="5" s="1"/>
  <c r="CK173" i="5"/>
  <c r="CE173" i="5"/>
  <c r="BW173" i="5"/>
  <c r="BY173" i="5" s="1"/>
  <c r="BQ173" i="5"/>
  <c r="BS173" i="5" s="1"/>
  <c r="BM173" i="5"/>
  <c r="BG173" i="5"/>
  <c r="AW173" i="5"/>
  <c r="AY173" i="5" s="1"/>
  <c r="AO173" i="5"/>
  <c r="AQ173" i="5" s="1"/>
  <c r="AI173" i="5"/>
  <c r="AA173" i="5"/>
  <c r="Y173" i="5"/>
  <c r="T173" i="5"/>
  <c r="R173" i="5"/>
  <c r="N173" i="5"/>
  <c r="CK172" i="5"/>
  <c r="CE172" i="5"/>
  <c r="BW172" i="5"/>
  <c r="BY172" i="5" s="1"/>
  <c r="BQ172" i="5"/>
  <c r="BS172" i="5" s="1"/>
  <c r="BM172" i="5"/>
  <c r="BG172" i="5"/>
  <c r="AY172" i="5"/>
  <c r="AW172" i="5"/>
  <c r="AO172" i="5"/>
  <c r="AQ172" i="5" s="1"/>
  <c r="AI172" i="5"/>
  <c r="AA172" i="5"/>
  <c r="Y172" i="5"/>
  <c r="R172" i="5"/>
  <c r="T172" i="5" s="1"/>
  <c r="CO172" i="5" s="1"/>
  <c r="N172" i="5"/>
  <c r="CK171" i="5"/>
  <c r="CE171" i="5"/>
  <c r="BY171" i="5"/>
  <c r="BW171" i="5"/>
  <c r="BQ171" i="5"/>
  <c r="BS171" i="5" s="1"/>
  <c r="BM171" i="5"/>
  <c r="BG171" i="5"/>
  <c r="AW171" i="5"/>
  <c r="AY171" i="5" s="1"/>
  <c r="CO171" i="5" s="1"/>
  <c r="AQ171" i="5"/>
  <c r="AO171" i="5"/>
  <c r="AI171" i="5"/>
  <c r="Y171" i="5"/>
  <c r="AA171" i="5" s="1"/>
  <c r="T171" i="5"/>
  <c r="R171" i="5"/>
  <c r="N171" i="5"/>
  <c r="CK170" i="5"/>
  <c r="CE170" i="5"/>
  <c r="BW170" i="5"/>
  <c r="BY170" i="5" s="1"/>
  <c r="BS170" i="5"/>
  <c r="BQ170" i="5"/>
  <c r="BM170" i="5"/>
  <c r="BG170" i="5"/>
  <c r="CQ170" i="5" s="1"/>
  <c r="CR170" i="5" s="1"/>
  <c r="AW170" i="5"/>
  <c r="AY170" i="5" s="1"/>
  <c r="AQ170" i="5"/>
  <c r="AO170" i="5"/>
  <c r="AI170" i="5"/>
  <c r="AA170" i="5"/>
  <c r="Y170" i="5"/>
  <c r="R170" i="5"/>
  <c r="T170" i="5" s="1"/>
  <c r="CO170" i="5" s="1"/>
  <c r="CT170" i="5" s="1"/>
  <c r="N170" i="5"/>
  <c r="CK169" i="5"/>
  <c r="CE169" i="5"/>
  <c r="BW169" i="5"/>
  <c r="BY169" i="5" s="1"/>
  <c r="BQ169" i="5"/>
  <c r="BS169" i="5" s="1"/>
  <c r="BM169" i="5"/>
  <c r="BG169" i="5"/>
  <c r="AW169" i="5"/>
  <c r="AY169" i="5" s="1"/>
  <c r="AO169" i="5"/>
  <c r="AQ169" i="5" s="1"/>
  <c r="AI169" i="5"/>
  <c r="Y169" i="5"/>
  <c r="AA169" i="5" s="1"/>
  <c r="T169" i="5"/>
  <c r="R169" i="5"/>
  <c r="N169" i="5"/>
  <c r="CQ168" i="5"/>
  <c r="CR168" i="5" s="1"/>
  <c r="CK168" i="5"/>
  <c r="CE168" i="5"/>
  <c r="BW168" i="5"/>
  <c r="BY168" i="5" s="1"/>
  <c r="BQ168" i="5"/>
  <c r="BS168" i="5" s="1"/>
  <c r="BM168" i="5"/>
  <c r="BG168" i="5"/>
  <c r="AY168" i="5"/>
  <c r="CO168" i="5" s="1"/>
  <c r="CT168" i="5" s="1"/>
  <c r="AW168" i="5"/>
  <c r="AO168" i="5"/>
  <c r="AQ168" i="5" s="1"/>
  <c r="AI168" i="5"/>
  <c r="AA168" i="5"/>
  <c r="Y168" i="5"/>
  <c r="T168" i="5"/>
  <c r="R168" i="5"/>
  <c r="N168" i="5"/>
  <c r="CK167" i="5"/>
  <c r="CE167" i="5"/>
  <c r="BY167" i="5"/>
  <c r="BW167" i="5"/>
  <c r="BQ167" i="5"/>
  <c r="BS167" i="5" s="1"/>
  <c r="BM167" i="5"/>
  <c r="BG167" i="5"/>
  <c r="CQ167" i="5" s="1"/>
  <c r="CR167" i="5" s="1"/>
  <c r="AY167" i="5"/>
  <c r="AW167" i="5"/>
  <c r="AQ167" i="5"/>
  <c r="AO167" i="5"/>
  <c r="AI167" i="5"/>
  <c r="Y167" i="5"/>
  <c r="AA167" i="5" s="1"/>
  <c r="R167" i="5"/>
  <c r="T167" i="5" s="1"/>
  <c r="CO167" i="5" s="1"/>
  <c r="CT167" i="5" s="1"/>
  <c r="N167" i="5"/>
  <c r="CK166" i="5"/>
  <c r="CE166" i="5"/>
  <c r="BW166" i="5"/>
  <c r="BY166" i="5" s="1"/>
  <c r="BS166" i="5"/>
  <c r="BQ166" i="5"/>
  <c r="BM166" i="5"/>
  <c r="BG166" i="5"/>
  <c r="AW166" i="5"/>
  <c r="AY166" i="5" s="1"/>
  <c r="AQ166" i="5"/>
  <c r="AO166" i="5"/>
  <c r="AI166" i="5"/>
  <c r="AA166" i="5"/>
  <c r="Y166" i="5"/>
  <c r="R166" i="5"/>
  <c r="T166" i="5" s="1"/>
  <c r="N166" i="5"/>
  <c r="CK165" i="5"/>
  <c r="CE165" i="5"/>
  <c r="BW165" i="5"/>
  <c r="BY165" i="5" s="1"/>
  <c r="BS165" i="5"/>
  <c r="BQ165" i="5"/>
  <c r="BM165" i="5"/>
  <c r="CQ165" i="5" s="1"/>
  <c r="CR165" i="5" s="1"/>
  <c r="BG165" i="5"/>
  <c r="AW165" i="5"/>
  <c r="AY165" i="5" s="1"/>
  <c r="AO165" i="5"/>
  <c r="AQ165" i="5" s="1"/>
  <c r="AI165" i="5"/>
  <c r="AA165" i="5"/>
  <c r="Y165" i="5"/>
  <c r="T165" i="5"/>
  <c r="R165" i="5"/>
  <c r="N165" i="5"/>
  <c r="CK164" i="5"/>
  <c r="CQ164" i="5" s="1"/>
  <c r="CR164" i="5" s="1"/>
  <c r="CE164" i="5"/>
  <c r="BW164" i="5"/>
  <c r="BY164" i="5" s="1"/>
  <c r="BQ164" i="5"/>
  <c r="BS164" i="5" s="1"/>
  <c r="BM164" i="5"/>
  <c r="BG164" i="5"/>
  <c r="AY164" i="5"/>
  <c r="AW164" i="5"/>
  <c r="AO164" i="5"/>
  <c r="AQ164" i="5" s="1"/>
  <c r="AI164" i="5"/>
  <c r="Y164" i="5"/>
  <c r="AA164" i="5" s="1"/>
  <c r="T164" i="5"/>
  <c r="R164" i="5"/>
  <c r="N164" i="5"/>
  <c r="CK163" i="5"/>
  <c r="CE163" i="5"/>
  <c r="BY163" i="5"/>
  <c r="BW163" i="5"/>
  <c r="BQ163" i="5"/>
  <c r="BS163" i="5" s="1"/>
  <c r="BM163" i="5"/>
  <c r="BG163" i="5"/>
  <c r="AW163" i="5"/>
  <c r="AY163" i="5" s="1"/>
  <c r="AQ163" i="5"/>
  <c r="AO163" i="5"/>
  <c r="AI163" i="5"/>
  <c r="Y163" i="5"/>
  <c r="AA163" i="5" s="1"/>
  <c r="R163" i="5"/>
  <c r="T163" i="5" s="1"/>
  <c r="N163" i="5"/>
  <c r="CK162" i="5"/>
  <c r="CE162" i="5"/>
  <c r="BY162" i="5"/>
  <c r="BW162" i="5"/>
  <c r="BS162" i="5"/>
  <c r="BQ162" i="5"/>
  <c r="BM162" i="5"/>
  <c r="BG162" i="5"/>
  <c r="AW162" i="5"/>
  <c r="AY162" i="5" s="1"/>
  <c r="AO162" i="5"/>
  <c r="AQ162" i="5" s="1"/>
  <c r="AI162" i="5"/>
  <c r="AA162" i="5"/>
  <c r="Y162" i="5"/>
  <c r="R162" i="5"/>
  <c r="T162" i="5" s="1"/>
  <c r="N162" i="5"/>
  <c r="CQ161" i="5"/>
  <c r="CR161" i="5" s="1"/>
  <c r="CK161" i="5"/>
  <c r="CE161" i="5"/>
  <c r="BW161" i="5"/>
  <c r="BY161" i="5" s="1"/>
  <c r="BQ161" i="5"/>
  <c r="BS161" i="5" s="1"/>
  <c r="BM161" i="5"/>
  <c r="BG161" i="5"/>
  <c r="AW161" i="5"/>
  <c r="AY161" i="5" s="1"/>
  <c r="AO161" i="5"/>
  <c r="AQ161" i="5" s="1"/>
  <c r="AI161" i="5"/>
  <c r="AA161" i="5"/>
  <c r="Y161" i="5"/>
  <c r="T161" i="5"/>
  <c r="R161" i="5"/>
  <c r="N161" i="5"/>
  <c r="CQ160" i="5"/>
  <c r="CR160" i="5" s="1"/>
  <c r="CK160" i="5"/>
  <c r="CE160" i="5"/>
  <c r="BY160" i="5"/>
  <c r="BQ160" i="5"/>
  <c r="BS160" i="5" s="1"/>
  <c r="BM160" i="5"/>
  <c r="BG160" i="5"/>
  <c r="AY160" i="5"/>
  <c r="AW160" i="5"/>
  <c r="AQ160" i="5"/>
  <c r="AI160" i="5"/>
  <c r="Y160" i="5"/>
  <c r="AA160" i="5" s="1"/>
  <c r="T160" i="5"/>
  <c r="R160" i="5"/>
  <c r="N160" i="5"/>
  <c r="CK159" i="5"/>
  <c r="CE159" i="5"/>
  <c r="BW159" i="5"/>
  <c r="BY159" i="5" s="1"/>
  <c r="BS159" i="5"/>
  <c r="BQ159" i="5"/>
  <c r="BM159" i="5"/>
  <c r="BG159" i="5"/>
  <c r="AW159" i="5"/>
  <c r="AY159" i="5" s="1"/>
  <c r="AQ159" i="5"/>
  <c r="AO159" i="5"/>
  <c r="AI159" i="5"/>
  <c r="AA159" i="5"/>
  <c r="Y159" i="5"/>
  <c r="R159" i="5"/>
  <c r="T159" i="5" s="1"/>
  <c r="N159" i="5"/>
  <c r="CK158" i="5"/>
  <c r="CE158" i="5"/>
  <c r="BW158" i="5"/>
  <c r="BY158" i="5" s="1"/>
  <c r="BS158" i="5"/>
  <c r="BQ158" i="5"/>
  <c r="BM158" i="5"/>
  <c r="BG158" i="5"/>
  <c r="AW158" i="5"/>
  <c r="AY158" i="5" s="1"/>
  <c r="AO158" i="5"/>
  <c r="AQ158" i="5" s="1"/>
  <c r="AI158" i="5"/>
  <c r="Y158" i="5"/>
  <c r="AA158" i="5" s="1"/>
  <c r="T158" i="5"/>
  <c r="R158" i="5"/>
  <c r="N158" i="5"/>
  <c r="CQ157" i="5"/>
  <c r="CR157" i="5" s="1"/>
  <c r="CK157" i="5"/>
  <c r="CE157" i="5"/>
  <c r="BY157" i="5"/>
  <c r="BS157" i="5"/>
  <c r="BM157" i="5"/>
  <c r="BG157" i="5"/>
  <c r="AW157" i="5"/>
  <c r="AY157" i="5" s="1"/>
  <c r="AQ157" i="5"/>
  <c r="AI157" i="5"/>
  <c r="Y157" i="5"/>
  <c r="AA157" i="5" s="1"/>
  <c r="R157" i="5"/>
  <c r="T157" i="5" s="1"/>
  <c r="N157" i="5"/>
  <c r="CO157" i="5" s="1"/>
  <c r="CT157" i="5" s="1"/>
  <c r="CK156" i="5"/>
  <c r="CE156" i="5"/>
  <c r="BY156" i="5"/>
  <c r="BW156" i="5"/>
  <c r="BQ156" i="5"/>
  <c r="BS156" i="5" s="1"/>
  <c r="BM156" i="5"/>
  <c r="BG156" i="5"/>
  <c r="AY156" i="5"/>
  <c r="AW156" i="5"/>
  <c r="AO156" i="5"/>
  <c r="AQ156" i="5" s="1"/>
  <c r="AI156" i="5"/>
  <c r="AA156" i="5"/>
  <c r="Y156" i="5"/>
  <c r="R156" i="5"/>
  <c r="T156" i="5" s="1"/>
  <c r="N156" i="5"/>
  <c r="CK155" i="5"/>
  <c r="CE155" i="5"/>
  <c r="BY155" i="5"/>
  <c r="BW155" i="5"/>
  <c r="BQ155" i="5"/>
  <c r="BS155" i="5" s="1"/>
  <c r="CQ155" i="5" s="1"/>
  <c r="CR155" i="5" s="1"/>
  <c r="BM155" i="5"/>
  <c r="BG155" i="5"/>
  <c r="AY155" i="5"/>
  <c r="AW155" i="5"/>
  <c r="AO155" i="5"/>
  <c r="AQ155" i="5" s="1"/>
  <c r="AI155" i="5"/>
  <c r="Y155" i="5"/>
  <c r="AA155" i="5" s="1"/>
  <c r="T155" i="5"/>
  <c r="R155" i="5"/>
  <c r="N155" i="5"/>
  <c r="CK154" i="5"/>
  <c r="CE154" i="5"/>
  <c r="BY154" i="5"/>
  <c r="BW154" i="5"/>
  <c r="BQ154" i="5"/>
  <c r="BS154" i="5" s="1"/>
  <c r="BM154" i="5"/>
  <c r="BG154" i="5"/>
  <c r="AW154" i="5"/>
  <c r="AY154" i="5" s="1"/>
  <c r="CO154" i="5" s="1"/>
  <c r="AQ154" i="5"/>
  <c r="AO154" i="5"/>
  <c r="AI154" i="5"/>
  <c r="Y154" i="5"/>
  <c r="AA154" i="5" s="1"/>
  <c r="T154" i="5"/>
  <c r="R154" i="5"/>
  <c r="N154" i="5"/>
  <c r="CK153" i="5"/>
  <c r="CE153" i="5"/>
  <c r="BY153" i="5"/>
  <c r="BW153" i="5"/>
  <c r="BS153" i="5"/>
  <c r="BQ153" i="5"/>
  <c r="BM153" i="5"/>
  <c r="BG153" i="5"/>
  <c r="AY153" i="5"/>
  <c r="AW153" i="5"/>
  <c r="AQ153" i="5"/>
  <c r="AO153" i="5"/>
  <c r="AI153" i="5"/>
  <c r="Y153" i="5"/>
  <c r="AA153" i="5" s="1"/>
  <c r="R153" i="5"/>
  <c r="T153" i="5" s="1"/>
  <c r="N153" i="5"/>
  <c r="CK152" i="5"/>
  <c r="CE152" i="5"/>
  <c r="BW152" i="5"/>
  <c r="BY152" i="5" s="1"/>
  <c r="BQ152" i="5"/>
  <c r="BS152" i="5" s="1"/>
  <c r="BM152" i="5"/>
  <c r="BG152" i="5"/>
  <c r="AW152" i="5"/>
  <c r="AY152" i="5" s="1"/>
  <c r="AQ152" i="5"/>
  <c r="AO152" i="5"/>
  <c r="AI152" i="5"/>
  <c r="AA152" i="5"/>
  <c r="Y152" i="5"/>
  <c r="R152" i="5"/>
  <c r="T152" i="5" s="1"/>
  <c r="N152" i="5"/>
  <c r="CK151" i="5"/>
  <c r="CE151" i="5"/>
  <c r="BW151" i="5"/>
  <c r="BY151" i="5" s="1"/>
  <c r="BQ151" i="5"/>
  <c r="BS151" i="5" s="1"/>
  <c r="BM151" i="5"/>
  <c r="BG151" i="5"/>
  <c r="AY151" i="5"/>
  <c r="AW151" i="5"/>
  <c r="AO151" i="5"/>
  <c r="AQ151" i="5" s="1"/>
  <c r="AI151" i="5"/>
  <c r="CO151" i="5" s="1"/>
  <c r="Y151" i="5"/>
  <c r="AA151" i="5" s="1"/>
  <c r="T151" i="5"/>
  <c r="R151" i="5"/>
  <c r="N151" i="5"/>
  <c r="CK150" i="5"/>
  <c r="CE150" i="5"/>
  <c r="BY150" i="5"/>
  <c r="BW150" i="5"/>
  <c r="BQ150" i="5"/>
  <c r="BS150" i="5" s="1"/>
  <c r="BM150" i="5"/>
  <c r="BG150" i="5"/>
  <c r="AW150" i="5"/>
  <c r="AY150" i="5" s="1"/>
  <c r="CO150" i="5" s="1"/>
  <c r="AQ150" i="5"/>
  <c r="AO150" i="5"/>
  <c r="AI150" i="5"/>
  <c r="Y150" i="5"/>
  <c r="AA150" i="5" s="1"/>
  <c r="T150" i="5"/>
  <c r="R150" i="5"/>
  <c r="N150" i="5"/>
  <c r="CK149" i="5"/>
  <c r="CE149" i="5"/>
  <c r="BY149" i="5"/>
  <c r="BW149" i="5"/>
  <c r="BS149" i="5"/>
  <c r="BQ149" i="5"/>
  <c r="BM149" i="5"/>
  <c r="BG149" i="5"/>
  <c r="AY149" i="5"/>
  <c r="AW149" i="5"/>
  <c r="AQ149" i="5"/>
  <c r="AO149" i="5"/>
  <c r="AI149" i="5"/>
  <c r="Y149" i="5"/>
  <c r="AA149" i="5" s="1"/>
  <c r="R149" i="5"/>
  <c r="T149" i="5" s="1"/>
  <c r="N149" i="5"/>
  <c r="CK148" i="5"/>
  <c r="CE148" i="5"/>
  <c r="BW148" i="5"/>
  <c r="BY148" i="5" s="1"/>
  <c r="BQ148" i="5"/>
  <c r="BS148" i="5" s="1"/>
  <c r="BM148" i="5"/>
  <c r="BG148" i="5"/>
  <c r="AW148" i="5"/>
  <c r="AY148" i="5" s="1"/>
  <c r="AQ148" i="5"/>
  <c r="AO148" i="5"/>
  <c r="AI148" i="5"/>
  <c r="AA148" i="5"/>
  <c r="Y148" i="5"/>
  <c r="R148" i="5"/>
  <c r="T148" i="5" s="1"/>
  <c r="N148" i="5"/>
  <c r="CR147" i="5"/>
  <c r="CK147" i="5"/>
  <c r="CE147" i="5"/>
  <c r="BW147" i="5"/>
  <c r="BY147" i="5" s="1"/>
  <c r="BQ147" i="5"/>
  <c r="BS147" i="5" s="1"/>
  <c r="BM147" i="5"/>
  <c r="BG147" i="5"/>
  <c r="CQ147" i="5" s="1"/>
  <c r="AY147" i="5"/>
  <c r="AW147" i="5"/>
  <c r="AO147" i="5"/>
  <c r="AQ147" i="5" s="1"/>
  <c r="CO147" i="5" s="1"/>
  <c r="CT147" i="5" s="1"/>
  <c r="AI147" i="5"/>
  <c r="Y147" i="5"/>
  <c r="AA147" i="5" s="1"/>
  <c r="T147" i="5"/>
  <c r="R147" i="5"/>
  <c r="N147" i="5"/>
  <c r="CK146" i="5"/>
  <c r="CE146" i="5"/>
  <c r="BY146" i="5"/>
  <c r="BW146" i="5"/>
  <c r="BQ146" i="5"/>
  <c r="BS146" i="5" s="1"/>
  <c r="BM146" i="5"/>
  <c r="BG146" i="5"/>
  <c r="AY146" i="5"/>
  <c r="CO146" i="5" s="1"/>
  <c r="AW146" i="5"/>
  <c r="AQ146" i="5"/>
  <c r="AO146" i="5"/>
  <c r="AI146" i="5"/>
  <c r="Y146" i="5"/>
  <c r="AA146" i="5" s="1"/>
  <c r="T146" i="5"/>
  <c r="R146" i="5"/>
  <c r="N146" i="5"/>
  <c r="CK145" i="5"/>
  <c r="CE145" i="5"/>
  <c r="BY145" i="5"/>
  <c r="BW145" i="5"/>
  <c r="BS145" i="5"/>
  <c r="BQ145" i="5"/>
  <c r="BM145" i="5"/>
  <c r="BG145" i="5"/>
  <c r="CQ145" i="5" s="1"/>
  <c r="CR145" i="5" s="1"/>
  <c r="AY145" i="5"/>
  <c r="AW145" i="5"/>
  <c r="AQ145" i="5"/>
  <c r="AO145" i="5"/>
  <c r="AI145" i="5"/>
  <c r="Y145" i="5"/>
  <c r="AA145" i="5" s="1"/>
  <c r="R145" i="5"/>
  <c r="T145" i="5" s="1"/>
  <c r="N145" i="5"/>
  <c r="CK144" i="5"/>
  <c r="CE144" i="5"/>
  <c r="BW144" i="5"/>
  <c r="BY144" i="5" s="1"/>
  <c r="BQ144" i="5"/>
  <c r="BS144" i="5" s="1"/>
  <c r="BM144" i="5"/>
  <c r="CQ144" i="5" s="1"/>
  <c r="CR144" i="5" s="1"/>
  <c r="BG144" i="5"/>
  <c r="AW144" i="5"/>
  <c r="AY144" i="5" s="1"/>
  <c r="AQ144" i="5"/>
  <c r="AO144" i="5"/>
  <c r="AI144" i="5"/>
  <c r="AA144" i="5"/>
  <c r="Y144" i="5"/>
  <c r="R144" i="5"/>
  <c r="T144" i="5" s="1"/>
  <c r="N144" i="5"/>
  <c r="CO143" i="5"/>
  <c r="CT143" i="5" s="1"/>
  <c r="CK143" i="5"/>
  <c r="CE143" i="5"/>
  <c r="BW143" i="5"/>
  <c r="BY143" i="5" s="1"/>
  <c r="BQ143" i="5"/>
  <c r="BS143" i="5" s="1"/>
  <c r="BM143" i="5"/>
  <c r="BG143" i="5"/>
  <c r="CQ143" i="5" s="1"/>
  <c r="CR143" i="5" s="1"/>
  <c r="AY143" i="5"/>
  <c r="AW143" i="5"/>
  <c r="AO143" i="5"/>
  <c r="AQ143" i="5" s="1"/>
  <c r="AI143" i="5"/>
  <c r="Y143" i="5"/>
  <c r="AA143" i="5" s="1"/>
  <c r="T143" i="5"/>
  <c r="R143" i="5"/>
  <c r="N143" i="5"/>
  <c r="CK142" i="5"/>
  <c r="CE142" i="5"/>
  <c r="BY142" i="5"/>
  <c r="BW142" i="5"/>
  <c r="BQ142" i="5"/>
  <c r="BS142" i="5" s="1"/>
  <c r="BM142" i="5"/>
  <c r="BG142" i="5"/>
  <c r="AW142" i="5"/>
  <c r="AY142" i="5" s="1"/>
  <c r="CO142" i="5" s="1"/>
  <c r="AQ142" i="5"/>
  <c r="AO142" i="5"/>
  <c r="AI142" i="5"/>
  <c r="Y142" i="5"/>
  <c r="AA142" i="5" s="1"/>
  <c r="R142" i="5"/>
  <c r="T142" i="5" s="1"/>
  <c r="N142" i="5"/>
  <c r="CQ141" i="5"/>
  <c r="CR141" i="5" s="1"/>
  <c r="CO141" i="5"/>
  <c r="CT141" i="5" s="1"/>
  <c r="CK141" i="5"/>
  <c r="CE141" i="5"/>
  <c r="BY141" i="5"/>
  <c r="BS141" i="5"/>
  <c r="BM141" i="5"/>
  <c r="BG141" i="5"/>
  <c r="AW141" i="5"/>
  <c r="AY141" i="5" s="1"/>
  <c r="AQ141" i="5"/>
  <c r="AI141" i="5"/>
  <c r="Y141" i="5"/>
  <c r="AA141" i="5" s="1"/>
  <c r="T141" i="5"/>
  <c r="R141" i="5"/>
  <c r="N141" i="5"/>
  <c r="CQ140" i="5"/>
  <c r="CR140" i="5" s="1"/>
  <c r="CK140" i="5"/>
  <c r="CE140" i="5"/>
  <c r="BW140" i="5"/>
  <c r="BY140" i="5" s="1"/>
  <c r="BQ140" i="5"/>
  <c r="BS140" i="5" s="1"/>
  <c r="BM140" i="5"/>
  <c r="BG140" i="5"/>
  <c r="AY140" i="5"/>
  <c r="AW140" i="5"/>
  <c r="AO140" i="5"/>
  <c r="AQ140" i="5" s="1"/>
  <c r="AI140" i="5"/>
  <c r="Y140" i="5"/>
  <c r="AA140" i="5" s="1"/>
  <c r="R140" i="5"/>
  <c r="T140" i="5" s="1"/>
  <c r="N140" i="5"/>
  <c r="CR139" i="5"/>
  <c r="CK139" i="5"/>
  <c r="CE139" i="5"/>
  <c r="BY139" i="5"/>
  <c r="BS139" i="5"/>
  <c r="BM139" i="5"/>
  <c r="BG139" i="5"/>
  <c r="CQ139" i="5" s="1"/>
  <c r="AY139" i="5"/>
  <c r="AW139" i="5"/>
  <c r="AQ139" i="5"/>
  <c r="AI139" i="5"/>
  <c r="Y139" i="5"/>
  <c r="AA139" i="5" s="1"/>
  <c r="R139" i="5"/>
  <c r="T139" i="5" s="1"/>
  <c r="N139" i="5"/>
  <c r="CO139" i="5" s="1"/>
  <c r="CT139" i="5" s="1"/>
  <c r="CK138" i="5"/>
  <c r="CE138" i="5"/>
  <c r="BW138" i="5"/>
  <c r="BY138" i="5" s="1"/>
  <c r="BS138" i="5"/>
  <c r="BQ138" i="5"/>
  <c r="BM138" i="5"/>
  <c r="BG138" i="5"/>
  <c r="AY138" i="5"/>
  <c r="AW138" i="5"/>
  <c r="AO138" i="5"/>
  <c r="AQ138" i="5" s="1"/>
  <c r="AI138" i="5"/>
  <c r="Y138" i="5"/>
  <c r="AA138" i="5" s="1"/>
  <c r="T138" i="5"/>
  <c r="R138" i="5"/>
  <c r="N138" i="5"/>
  <c r="CK137" i="5"/>
  <c r="CE137" i="5"/>
  <c r="CQ137" i="5" s="1"/>
  <c r="CR137" i="5" s="1"/>
  <c r="BY137" i="5"/>
  <c r="BW137" i="5"/>
  <c r="BS137" i="5"/>
  <c r="BQ137" i="5"/>
  <c r="BM137" i="5"/>
  <c r="BG137" i="5"/>
  <c r="AY137" i="5"/>
  <c r="AW137" i="5"/>
  <c r="AQ137" i="5"/>
  <c r="AO137" i="5"/>
  <c r="AI137" i="5"/>
  <c r="Y137" i="5"/>
  <c r="AA137" i="5" s="1"/>
  <c r="R137" i="5"/>
  <c r="T137" i="5" s="1"/>
  <c r="N137" i="5"/>
  <c r="CK136" i="5"/>
  <c r="CE136" i="5"/>
  <c r="BW136" i="5"/>
  <c r="BY136" i="5" s="1"/>
  <c r="BS136" i="5"/>
  <c r="BQ136" i="5"/>
  <c r="BM136" i="5"/>
  <c r="BG136" i="5"/>
  <c r="CQ136" i="5" s="1"/>
  <c r="CR136" i="5" s="1"/>
  <c r="AY136" i="5"/>
  <c r="AW136" i="5"/>
  <c r="AO136" i="5"/>
  <c r="AQ136" i="5" s="1"/>
  <c r="AI136" i="5"/>
  <c r="Y136" i="5"/>
  <c r="AA136" i="5" s="1"/>
  <c r="T136" i="5"/>
  <c r="CO136" i="5" s="1"/>
  <c r="CT136" i="5" s="1"/>
  <c r="R136" i="5"/>
  <c r="N136" i="5"/>
  <c r="CK135" i="5"/>
  <c r="CE135" i="5"/>
  <c r="BW135" i="5"/>
  <c r="BY135" i="5" s="1"/>
  <c r="BS135" i="5"/>
  <c r="BQ135" i="5"/>
  <c r="BM135" i="5"/>
  <c r="BG135" i="5"/>
  <c r="AY135" i="5"/>
  <c r="AW135" i="5"/>
  <c r="AO135" i="5"/>
  <c r="AQ135" i="5" s="1"/>
  <c r="AI135" i="5"/>
  <c r="AA135" i="5"/>
  <c r="Y135" i="5"/>
  <c r="R135" i="5"/>
  <c r="T135" i="5" s="1"/>
  <c r="N135" i="5"/>
  <c r="CK134" i="5"/>
  <c r="CE134" i="5"/>
  <c r="BY134" i="5"/>
  <c r="BW134" i="5"/>
  <c r="BQ134" i="5"/>
  <c r="BS134" i="5" s="1"/>
  <c r="BM134" i="5"/>
  <c r="BG134" i="5"/>
  <c r="AY134" i="5"/>
  <c r="AW134" i="5"/>
  <c r="AO134" i="5"/>
  <c r="AQ134" i="5" s="1"/>
  <c r="AI134" i="5"/>
  <c r="AA134" i="5"/>
  <c r="Y134" i="5"/>
  <c r="R134" i="5"/>
  <c r="T134" i="5" s="1"/>
  <c r="N134" i="5"/>
  <c r="CK133" i="5"/>
  <c r="CE133" i="5"/>
  <c r="BY133" i="5"/>
  <c r="BW133" i="5"/>
  <c r="BS133" i="5"/>
  <c r="BQ133" i="5"/>
  <c r="BM133" i="5"/>
  <c r="BG133" i="5"/>
  <c r="AY133" i="5"/>
  <c r="AW133" i="5"/>
  <c r="AQ133" i="5"/>
  <c r="AO133" i="5"/>
  <c r="AI133" i="5"/>
  <c r="AA133" i="5"/>
  <c r="Y133" i="5"/>
  <c r="T133" i="5"/>
  <c r="CO133" i="5" s="1"/>
  <c r="R133" i="5"/>
  <c r="N133" i="5"/>
  <c r="CO132" i="5"/>
  <c r="CK132" i="5"/>
  <c r="CE132" i="5"/>
  <c r="BY132" i="5"/>
  <c r="BW132" i="5"/>
  <c r="BS132" i="5"/>
  <c r="BQ132" i="5"/>
  <c r="BM132" i="5"/>
  <c r="BG132" i="5"/>
  <c r="CQ132" i="5" s="1"/>
  <c r="CR132" i="5" s="1"/>
  <c r="AY132" i="5"/>
  <c r="AW132" i="5"/>
  <c r="AQ132" i="5"/>
  <c r="AO132" i="5"/>
  <c r="AI132" i="5"/>
  <c r="Y132" i="5"/>
  <c r="AA132" i="5" s="1"/>
  <c r="R132" i="5"/>
  <c r="T132" i="5" s="1"/>
  <c r="N132" i="5"/>
  <c r="CK131" i="5"/>
  <c r="CE131" i="5"/>
  <c r="BW131" i="5"/>
  <c r="BY131" i="5" s="1"/>
  <c r="BS131" i="5"/>
  <c r="BQ131" i="5"/>
  <c r="BM131" i="5"/>
  <c r="CQ131" i="5" s="1"/>
  <c r="CR131" i="5" s="1"/>
  <c r="BG131" i="5"/>
  <c r="AY131" i="5"/>
  <c r="AW131" i="5"/>
  <c r="AO131" i="5"/>
  <c r="AQ131" i="5" s="1"/>
  <c r="AI131" i="5"/>
  <c r="Y131" i="5"/>
  <c r="AA131" i="5" s="1"/>
  <c r="R131" i="5"/>
  <c r="T131" i="5" s="1"/>
  <c r="N131" i="5"/>
  <c r="CK130" i="5"/>
  <c r="CE130" i="5"/>
  <c r="BW130" i="5"/>
  <c r="BY130" i="5" s="1"/>
  <c r="BS130" i="5"/>
  <c r="BQ130" i="5"/>
  <c r="BM130" i="5"/>
  <c r="BG130" i="5"/>
  <c r="AY130" i="5"/>
  <c r="AW130" i="5"/>
  <c r="AO130" i="5"/>
  <c r="AQ130" i="5" s="1"/>
  <c r="AI130" i="5"/>
  <c r="Y130" i="5"/>
  <c r="AA130" i="5" s="1"/>
  <c r="T130" i="5"/>
  <c r="R130" i="5"/>
  <c r="N130" i="5"/>
  <c r="CK129" i="5"/>
  <c r="CE129" i="5"/>
  <c r="CQ129" i="5" s="1"/>
  <c r="CR129" i="5" s="1"/>
  <c r="BY129" i="5"/>
  <c r="BW129" i="5"/>
  <c r="BS129" i="5"/>
  <c r="BQ129" i="5"/>
  <c r="BM129" i="5"/>
  <c r="BG129" i="5"/>
  <c r="AW129" i="5"/>
  <c r="AY129" i="5" s="1"/>
  <c r="AQ129" i="5"/>
  <c r="AO129" i="5"/>
  <c r="AI129" i="5"/>
  <c r="AA129" i="5"/>
  <c r="Y129" i="5"/>
  <c r="R129" i="5"/>
  <c r="T129" i="5" s="1"/>
  <c r="N129" i="5"/>
  <c r="CK128" i="5"/>
  <c r="CE128" i="5"/>
  <c r="BW128" i="5"/>
  <c r="BY128" i="5" s="1"/>
  <c r="BS128" i="5"/>
  <c r="BQ128" i="5"/>
  <c r="BM128" i="5"/>
  <c r="BG128" i="5"/>
  <c r="CQ128" i="5" s="1"/>
  <c r="CR128" i="5" s="1"/>
  <c r="AW128" i="5"/>
  <c r="AY128" i="5" s="1"/>
  <c r="CO128" i="5" s="1"/>
  <c r="AO128" i="5"/>
  <c r="AQ128" i="5" s="1"/>
  <c r="AI128" i="5"/>
  <c r="Y128" i="5"/>
  <c r="AA128" i="5" s="1"/>
  <c r="R128" i="5"/>
  <c r="T128" i="5" s="1"/>
  <c r="N128" i="5"/>
  <c r="CQ127" i="5"/>
  <c r="CR127" i="5" s="1"/>
  <c r="CK127" i="5"/>
  <c r="CE127" i="5"/>
  <c r="BW127" i="5"/>
  <c r="BY127" i="5" s="1"/>
  <c r="BQ127" i="5"/>
  <c r="BS127" i="5" s="1"/>
  <c r="BM127" i="5"/>
  <c r="BG127" i="5"/>
  <c r="AY127" i="5"/>
  <c r="AW127" i="5"/>
  <c r="AO127" i="5"/>
  <c r="AQ127" i="5" s="1"/>
  <c r="AI127" i="5"/>
  <c r="AA127" i="5"/>
  <c r="Y127" i="5"/>
  <c r="R127" i="5"/>
  <c r="T127" i="5" s="1"/>
  <c r="N127" i="5"/>
  <c r="CK126" i="5"/>
  <c r="CE126" i="5"/>
  <c r="BY126" i="5"/>
  <c r="BW126" i="5"/>
  <c r="BQ126" i="5"/>
  <c r="BS126" i="5" s="1"/>
  <c r="BM126" i="5"/>
  <c r="BG126" i="5"/>
  <c r="AY126" i="5"/>
  <c r="AW126" i="5"/>
  <c r="AO126" i="5"/>
  <c r="AQ126" i="5" s="1"/>
  <c r="AI126" i="5"/>
  <c r="AA126" i="5"/>
  <c r="Y126" i="5"/>
  <c r="R126" i="5"/>
  <c r="T126" i="5" s="1"/>
  <c r="N126" i="5"/>
  <c r="CK125" i="5"/>
  <c r="CE125" i="5"/>
  <c r="BY125" i="5"/>
  <c r="BW125" i="5"/>
  <c r="BQ125" i="5"/>
  <c r="BS125" i="5" s="1"/>
  <c r="BM125" i="5"/>
  <c r="BG125" i="5"/>
  <c r="AY125" i="5"/>
  <c r="AW125" i="5"/>
  <c r="AQ125" i="5"/>
  <c r="AO125" i="5"/>
  <c r="AI125" i="5"/>
  <c r="AA125" i="5"/>
  <c r="CO125" i="5" s="1"/>
  <c r="Y125" i="5"/>
  <c r="T125" i="5"/>
  <c r="R125" i="5"/>
  <c r="N125" i="5"/>
  <c r="CK124" i="5"/>
  <c r="CE124" i="5"/>
  <c r="BW124" i="5"/>
  <c r="BY124" i="5" s="1"/>
  <c r="BS124" i="5"/>
  <c r="BQ124" i="5"/>
  <c r="BM124" i="5"/>
  <c r="BG124" i="5"/>
  <c r="AY124" i="5"/>
  <c r="AW124" i="5"/>
  <c r="AO124" i="5"/>
  <c r="AQ124" i="5" s="1"/>
  <c r="CO124" i="5" s="1"/>
  <c r="AI124" i="5"/>
  <c r="Y124" i="5"/>
  <c r="AA124" i="5" s="1"/>
  <c r="R124" i="5"/>
  <c r="T124" i="5" s="1"/>
  <c r="N124" i="5"/>
  <c r="CK123" i="5"/>
  <c r="CE123" i="5"/>
  <c r="BW123" i="5"/>
  <c r="BY123" i="5" s="1"/>
  <c r="BS123" i="5"/>
  <c r="BQ123" i="5"/>
  <c r="BM123" i="5"/>
  <c r="BG123" i="5"/>
  <c r="AW123" i="5"/>
  <c r="AY123" i="5" s="1"/>
  <c r="AQ123" i="5"/>
  <c r="AO123" i="5"/>
  <c r="AI123" i="5"/>
  <c r="Y123" i="5"/>
  <c r="AA123" i="5" s="1"/>
  <c r="R123" i="5"/>
  <c r="T123" i="5" s="1"/>
  <c r="N123" i="5"/>
  <c r="CK122" i="5"/>
  <c r="CE122" i="5"/>
  <c r="BW122" i="5"/>
  <c r="BY122" i="5" s="1"/>
  <c r="BQ122" i="5"/>
  <c r="BS122" i="5" s="1"/>
  <c r="CQ122" i="5" s="1"/>
  <c r="CR122" i="5" s="1"/>
  <c r="BM122" i="5"/>
  <c r="BG122" i="5"/>
  <c r="AY122" i="5"/>
  <c r="AW122" i="5"/>
  <c r="AO122" i="5"/>
  <c r="AQ122" i="5" s="1"/>
  <c r="AI122" i="5"/>
  <c r="Y122" i="5"/>
  <c r="AA122" i="5" s="1"/>
  <c r="T122" i="5"/>
  <c r="R122" i="5"/>
  <c r="N122" i="5"/>
  <c r="CK121" i="5"/>
  <c r="CE121" i="5"/>
  <c r="BY121" i="5"/>
  <c r="BW121" i="5"/>
  <c r="BQ121" i="5"/>
  <c r="BS121" i="5" s="1"/>
  <c r="BM121" i="5"/>
  <c r="BG121" i="5"/>
  <c r="AY121" i="5"/>
  <c r="AW121" i="5"/>
  <c r="AQ121" i="5"/>
  <c r="AO121" i="5"/>
  <c r="AI121" i="5"/>
  <c r="AA121" i="5"/>
  <c r="Y121" i="5"/>
  <c r="T121" i="5"/>
  <c r="R121" i="5"/>
  <c r="N121" i="5"/>
  <c r="CK120" i="5"/>
  <c r="CE120" i="5"/>
  <c r="BW120" i="5"/>
  <c r="BY120" i="5" s="1"/>
  <c r="BS120" i="5"/>
  <c r="BQ120" i="5"/>
  <c r="BM120" i="5"/>
  <c r="BG120" i="5"/>
  <c r="AW120" i="5"/>
  <c r="AY120" i="5" s="1"/>
  <c r="AO120" i="5"/>
  <c r="AQ120" i="5" s="1"/>
  <c r="AI120" i="5"/>
  <c r="Y120" i="5"/>
  <c r="AA120" i="5" s="1"/>
  <c r="T120" i="5"/>
  <c r="CO120" i="5" s="1"/>
  <c r="R120" i="5"/>
  <c r="N120" i="5"/>
  <c r="CQ119" i="5"/>
  <c r="CR119" i="5" s="1"/>
  <c r="CK119" i="5"/>
  <c r="CE119" i="5"/>
  <c r="BY119" i="5"/>
  <c r="BW119" i="5"/>
  <c r="BQ119" i="5"/>
  <c r="BS119" i="5" s="1"/>
  <c r="BM119" i="5"/>
  <c r="BG119" i="5"/>
  <c r="AY119" i="5"/>
  <c r="AW119" i="5"/>
  <c r="AQ119" i="5"/>
  <c r="AO119" i="5"/>
  <c r="AI119" i="5"/>
  <c r="Y119" i="5"/>
  <c r="AA119" i="5" s="1"/>
  <c r="R119" i="5"/>
  <c r="T119" i="5" s="1"/>
  <c r="N119" i="5"/>
  <c r="CK118" i="5"/>
  <c r="CE118" i="5"/>
  <c r="BY118" i="5"/>
  <c r="BW118" i="5"/>
  <c r="BQ118" i="5"/>
  <c r="BS118" i="5" s="1"/>
  <c r="BM118" i="5"/>
  <c r="BG118" i="5"/>
  <c r="AY118" i="5"/>
  <c r="AW118" i="5"/>
  <c r="AO118" i="5"/>
  <c r="AQ118" i="5" s="1"/>
  <c r="AI118" i="5"/>
  <c r="AA118" i="5"/>
  <c r="Y118" i="5"/>
  <c r="T118" i="5"/>
  <c r="R118" i="5"/>
  <c r="N118" i="5"/>
  <c r="CK117" i="5"/>
  <c r="CE117" i="5"/>
  <c r="BY117" i="5"/>
  <c r="BW117" i="5"/>
  <c r="BQ117" i="5"/>
  <c r="BS117" i="5" s="1"/>
  <c r="BM117" i="5"/>
  <c r="BG117" i="5"/>
  <c r="AY117" i="5"/>
  <c r="AW117" i="5"/>
  <c r="AQ117" i="5"/>
  <c r="AO117" i="5"/>
  <c r="AI117" i="5"/>
  <c r="AA117" i="5"/>
  <c r="Y117" i="5"/>
  <c r="T117" i="5"/>
  <c r="R117" i="5"/>
  <c r="N117" i="5"/>
  <c r="CK116" i="5"/>
  <c r="CE116" i="5"/>
  <c r="BY116" i="5"/>
  <c r="BW116" i="5"/>
  <c r="BS116" i="5"/>
  <c r="BQ116" i="5"/>
  <c r="BM116" i="5"/>
  <c r="BG116" i="5"/>
  <c r="AY116" i="5"/>
  <c r="AW116" i="5"/>
  <c r="AQ116" i="5"/>
  <c r="AO116" i="5"/>
  <c r="AI116" i="5"/>
  <c r="Y116" i="5"/>
  <c r="AA116" i="5" s="1"/>
  <c r="R116" i="5"/>
  <c r="T116" i="5" s="1"/>
  <c r="N116" i="5"/>
  <c r="CK115" i="5"/>
  <c r="CE115" i="5"/>
  <c r="BY115" i="5"/>
  <c r="BW115" i="5"/>
  <c r="BS115" i="5"/>
  <c r="BQ115" i="5"/>
  <c r="BM115" i="5"/>
  <c r="BG115" i="5"/>
  <c r="AY115" i="5"/>
  <c r="AW115" i="5"/>
  <c r="AQ115" i="5"/>
  <c r="AO115" i="5"/>
  <c r="AI115" i="5"/>
  <c r="Y115" i="5"/>
  <c r="AA115" i="5" s="1"/>
  <c r="R115" i="5"/>
  <c r="T115" i="5" s="1"/>
  <c r="N115" i="5"/>
  <c r="CK114" i="5"/>
  <c r="CE114" i="5"/>
  <c r="BY114" i="5"/>
  <c r="BW114" i="5"/>
  <c r="BS114" i="5"/>
  <c r="BQ114" i="5"/>
  <c r="BM114" i="5"/>
  <c r="BG114" i="5"/>
  <c r="AY114" i="5"/>
  <c r="AW114" i="5"/>
  <c r="AQ114" i="5"/>
  <c r="AO114" i="5"/>
  <c r="AI114" i="5"/>
  <c r="AA114" i="5"/>
  <c r="Y114" i="5"/>
  <c r="T114" i="5"/>
  <c r="CO114" i="5" s="1"/>
  <c r="R114" i="5"/>
  <c r="N114" i="5"/>
  <c r="CK113" i="5"/>
  <c r="CE113" i="5"/>
  <c r="BY113" i="5"/>
  <c r="BW113" i="5"/>
  <c r="BS113" i="5"/>
  <c r="BQ113" i="5"/>
  <c r="BM113" i="5"/>
  <c r="BG113" i="5"/>
  <c r="AY113" i="5"/>
  <c r="AW113" i="5"/>
  <c r="AQ113" i="5"/>
  <c r="AO113" i="5"/>
  <c r="AI113" i="5"/>
  <c r="AA113" i="5"/>
  <c r="Y113" i="5"/>
  <c r="T113" i="5"/>
  <c r="R113" i="5"/>
  <c r="N113" i="5"/>
  <c r="CK112" i="5"/>
  <c r="CE112" i="5"/>
  <c r="BY112" i="5"/>
  <c r="BW112" i="5"/>
  <c r="BS112" i="5"/>
  <c r="BQ112" i="5"/>
  <c r="BM112" i="5"/>
  <c r="BG112" i="5"/>
  <c r="AY112" i="5"/>
  <c r="AW112" i="5"/>
  <c r="AQ112" i="5"/>
  <c r="AO112" i="5"/>
  <c r="AI112" i="5"/>
  <c r="Y112" i="5"/>
  <c r="AA112" i="5" s="1"/>
  <c r="R112" i="5"/>
  <c r="T112" i="5" s="1"/>
  <c r="N112" i="5"/>
  <c r="CR111" i="5"/>
  <c r="CK111" i="5"/>
  <c r="CE111" i="5"/>
  <c r="BW111" i="5"/>
  <c r="BY111" i="5" s="1"/>
  <c r="BS111" i="5"/>
  <c r="BQ111" i="5"/>
  <c r="BM111" i="5"/>
  <c r="CQ111" i="5" s="1"/>
  <c r="BG111" i="5"/>
  <c r="AY111" i="5"/>
  <c r="AW111" i="5"/>
  <c r="AO111" i="5"/>
  <c r="AQ111" i="5" s="1"/>
  <c r="AI111" i="5"/>
  <c r="AA111" i="5"/>
  <c r="Y111" i="5"/>
  <c r="R111" i="5"/>
  <c r="T111" i="5" s="1"/>
  <c r="N111" i="5"/>
  <c r="CK110" i="5"/>
  <c r="CE110" i="5"/>
  <c r="BY110" i="5"/>
  <c r="BW110" i="5"/>
  <c r="BQ110" i="5"/>
  <c r="BS110" i="5" s="1"/>
  <c r="BM110" i="5"/>
  <c r="BG110" i="5"/>
  <c r="CQ110" i="5" s="1"/>
  <c r="CR110" i="5" s="1"/>
  <c r="AY110" i="5"/>
  <c r="AW110" i="5"/>
  <c r="AQ110" i="5"/>
  <c r="AO110" i="5"/>
  <c r="AI110" i="5"/>
  <c r="AA110" i="5"/>
  <c r="Y110" i="5"/>
  <c r="R110" i="5"/>
  <c r="T110" i="5" s="1"/>
  <c r="CO110" i="5" s="1"/>
  <c r="CT110" i="5" s="1"/>
  <c r="N110" i="5"/>
  <c r="CK109" i="5"/>
  <c r="CE109" i="5"/>
  <c r="BW109" i="5"/>
  <c r="BY109" i="5" s="1"/>
  <c r="BQ109" i="5"/>
  <c r="BS109" i="5" s="1"/>
  <c r="BM109" i="5"/>
  <c r="BG109" i="5"/>
  <c r="AY109" i="5"/>
  <c r="AW109" i="5"/>
  <c r="AO109" i="5"/>
  <c r="AQ109" i="5" s="1"/>
  <c r="AI109" i="5"/>
  <c r="AA109" i="5"/>
  <c r="Y109" i="5"/>
  <c r="T109" i="5"/>
  <c r="CO109" i="5" s="1"/>
  <c r="R109" i="5"/>
  <c r="N109" i="5"/>
  <c r="CK108" i="5"/>
  <c r="CE108" i="5"/>
  <c r="BY108" i="5"/>
  <c r="BW108" i="5"/>
  <c r="BQ108" i="5"/>
  <c r="BS108" i="5" s="1"/>
  <c r="BM108" i="5"/>
  <c r="BG108" i="5"/>
  <c r="CQ108" i="5" s="1"/>
  <c r="CR108" i="5" s="1"/>
  <c r="AW108" i="5"/>
  <c r="AY108" i="5" s="1"/>
  <c r="AQ108" i="5"/>
  <c r="AO108" i="5"/>
  <c r="AI108" i="5"/>
  <c r="Y108" i="5"/>
  <c r="AA108" i="5" s="1"/>
  <c r="T108" i="5"/>
  <c r="CO108" i="5" s="1"/>
  <c r="R108" i="5"/>
  <c r="N108" i="5"/>
  <c r="CK107" i="5"/>
  <c r="CE107" i="5"/>
  <c r="BW107" i="5"/>
  <c r="BY107" i="5" s="1"/>
  <c r="BS107" i="5"/>
  <c r="BQ107" i="5"/>
  <c r="BM107" i="5"/>
  <c r="BG107" i="5"/>
  <c r="AW107" i="5"/>
  <c r="AY107" i="5" s="1"/>
  <c r="AO107" i="5"/>
  <c r="AQ107" i="5" s="1"/>
  <c r="AI107" i="5"/>
  <c r="AA107" i="5"/>
  <c r="Y107" i="5"/>
  <c r="T107" i="5"/>
  <c r="R107" i="5"/>
  <c r="N107" i="5"/>
  <c r="CK106" i="5"/>
  <c r="CE106" i="5"/>
  <c r="BY106" i="5"/>
  <c r="BW106" i="5"/>
  <c r="BQ106" i="5"/>
  <c r="BS106" i="5" s="1"/>
  <c r="BM106" i="5"/>
  <c r="BG106" i="5"/>
  <c r="AW106" i="5"/>
  <c r="AY106" i="5" s="1"/>
  <c r="CO106" i="5" s="1"/>
  <c r="AQ106" i="5"/>
  <c r="AO106" i="5"/>
  <c r="AI106" i="5"/>
  <c r="Y106" i="5"/>
  <c r="AA106" i="5" s="1"/>
  <c r="T106" i="5"/>
  <c r="R106" i="5"/>
  <c r="N106" i="5"/>
  <c r="CK105" i="5"/>
  <c r="CE105" i="5"/>
  <c r="BY105" i="5"/>
  <c r="BW105" i="5"/>
  <c r="BS105" i="5"/>
  <c r="BQ105" i="5"/>
  <c r="BM105" i="5"/>
  <c r="BG105" i="5"/>
  <c r="AW105" i="5"/>
  <c r="AY105" i="5" s="1"/>
  <c r="AQ105" i="5"/>
  <c r="AO105" i="5"/>
  <c r="AI105" i="5"/>
  <c r="AA105" i="5"/>
  <c r="Y105" i="5"/>
  <c r="R105" i="5"/>
  <c r="T105" i="5" s="1"/>
  <c r="N105" i="5"/>
  <c r="CT104" i="5"/>
  <c r="CK104" i="5"/>
  <c r="CE104" i="5"/>
  <c r="BY104" i="5"/>
  <c r="BS104" i="5"/>
  <c r="BM104" i="5"/>
  <c r="BG104" i="5"/>
  <c r="CQ104" i="5" s="1"/>
  <c r="CR104" i="5" s="1"/>
  <c r="AY104" i="5"/>
  <c r="AW104" i="5"/>
  <c r="AQ104" i="5"/>
  <c r="AI104" i="5"/>
  <c r="Y104" i="5"/>
  <c r="AA104" i="5" s="1"/>
  <c r="R104" i="5"/>
  <c r="T104" i="5" s="1"/>
  <c r="N104" i="5"/>
  <c r="CO104" i="5" s="1"/>
  <c r="CK103" i="5"/>
  <c r="CE103" i="5"/>
  <c r="BY103" i="5"/>
  <c r="BW103" i="5"/>
  <c r="BS103" i="5"/>
  <c r="BQ103" i="5"/>
  <c r="BM103" i="5"/>
  <c r="BG103" i="5"/>
  <c r="AW103" i="5"/>
  <c r="AY103" i="5" s="1"/>
  <c r="AQ103" i="5"/>
  <c r="AO103" i="5"/>
  <c r="AI103" i="5"/>
  <c r="Y103" i="5"/>
  <c r="AA103" i="5" s="1"/>
  <c r="T103" i="5"/>
  <c r="R103" i="5"/>
  <c r="N103" i="5"/>
  <c r="CR102" i="5"/>
  <c r="CK102" i="5"/>
  <c r="CE102" i="5"/>
  <c r="BY102" i="5"/>
  <c r="BW102" i="5"/>
  <c r="BQ102" i="5"/>
  <c r="BS102" i="5" s="1"/>
  <c r="BM102" i="5"/>
  <c r="CQ102" i="5" s="1"/>
  <c r="BG102" i="5"/>
  <c r="AY102" i="5"/>
  <c r="AW102" i="5"/>
  <c r="AQ102" i="5"/>
  <c r="AO102" i="5"/>
  <c r="AI102" i="5"/>
  <c r="Y102" i="5"/>
  <c r="AA102" i="5" s="1"/>
  <c r="R102" i="5"/>
  <c r="T102" i="5" s="1"/>
  <c r="N102" i="5"/>
  <c r="CK101" i="5"/>
  <c r="CE101" i="5"/>
  <c r="BW101" i="5"/>
  <c r="BY101" i="5" s="1"/>
  <c r="BS101" i="5"/>
  <c r="BQ101" i="5"/>
  <c r="BM101" i="5"/>
  <c r="BG101" i="5"/>
  <c r="AY101" i="5"/>
  <c r="AW101" i="5"/>
  <c r="AO101" i="5"/>
  <c r="AQ101" i="5" s="1"/>
  <c r="AI101" i="5"/>
  <c r="AA101" i="5"/>
  <c r="Y101" i="5"/>
  <c r="R101" i="5"/>
  <c r="T101" i="5" s="1"/>
  <c r="N101" i="5"/>
  <c r="CK100" i="5"/>
  <c r="CE100" i="5"/>
  <c r="BY100" i="5"/>
  <c r="BW100" i="5"/>
  <c r="BS100" i="5"/>
  <c r="BQ100" i="5"/>
  <c r="BM100" i="5"/>
  <c r="BG100" i="5"/>
  <c r="AW100" i="5"/>
  <c r="AY100" i="5" s="1"/>
  <c r="AQ100" i="5"/>
  <c r="AO100" i="5"/>
  <c r="AI100" i="5"/>
  <c r="AA100" i="5"/>
  <c r="Y100" i="5"/>
  <c r="T100" i="5"/>
  <c r="R100" i="5"/>
  <c r="N100" i="5"/>
  <c r="CK99" i="5"/>
  <c r="CE99" i="5"/>
  <c r="BY99" i="5"/>
  <c r="BW99" i="5"/>
  <c r="BS99" i="5"/>
  <c r="BQ99" i="5"/>
  <c r="BM99" i="5"/>
  <c r="CQ99" i="5" s="1"/>
  <c r="CR99" i="5" s="1"/>
  <c r="BG99" i="5"/>
  <c r="AY99" i="5"/>
  <c r="AW99" i="5"/>
  <c r="AQ99" i="5"/>
  <c r="AO99" i="5"/>
  <c r="AI99" i="5"/>
  <c r="Y99" i="5"/>
  <c r="AA99" i="5" s="1"/>
  <c r="T99" i="5"/>
  <c r="CO99" i="5" s="1"/>
  <c r="CT99" i="5" s="1"/>
  <c r="R99" i="5"/>
  <c r="N99" i="5"/>
  <c r="CK98" i="5"/>
  <c r="CE98" i="5"/>
  <c r="BW98" i="5"/>
  <c r="BY98" i="5" s="1"/>
  <c r="BS98" i="5"/>
  <c r="BQ98" i="5"/>
  <c r="BM98" i="5"/>
  <c r="BG98" i="5"/>
  <c r="AW98" i="5"/>
  <c r="AY98" i="5" s="1"/>
  <c r="AQ98" i="5"/>
  <c r="AO98" i="5"/>
  <c r="AI98" i="5"/>
  <c r="AA98" i="5"/>
  <c r="Y98" i="5"/>
  <c r="R98" i="5"/>
  <c r="T98" i="5" s="1"/>
  <c r="N98" i="5"/>
  <c r="CK97" i="5"/>
  <c r="CE97" i="5"/>
  <c r="BW97" i="5"/>
  <c r="BY97" i="5" s="1"/>
  <c r="BS97" i="5"/>
  <c r="BQ97" i="5"/>
  <c r="BM97" i="5"/>
  <c r="BG97" i="5"/>
  <c r="AY97" i="5"/>
  <c r="AW97" i="5"/>
  <c r="AO97" i="5"/>
  <c r="AQ97" i="5" s="1"/>
  <c r="AI97" i="5"/>
  <c r="CO97" i="5" s="1"/>
  <c r="AA97" i="5"/>
  <c r="Y97" i="5"/>
  <c r="T97" i="5"/>
  <c r="R97" i="5"/>
  <c r="N97" i="5"/>
  <c r="CK96" i="5"/>
  <c r="CE96" i="5"/>
  <c r="BY96" i="5"/>
  <c r="BW96" i="5"/>
  <c r="BQ96" i="5"/>
  <c r="BS96" i="5" s="1"/>
  <c r="BM96" i="5"/>
  <c r="BG96" i="5"/>
  <c r="CQ96" i="5" s="1"/>
  <c r="CR96" i="5" s="1"/>
  <c r="AW96" i="5"/>
  <c r="AY96" i="5" s="1"/>
  <c r="AQ96" i="5"/>
  <c r="AO96" i="5"/>
  <c r="AI96" i="5"/>
  <c r="Y96" i="5"/>
  <c r="AA96" i="5" s="1"/>
  <c r="R96" i="5"/>
  <c r="T96" i="5" s="1"/>
  <c r="N96" i="5"/>
  <c r="CK95" i="5"/>
  <c r="CE95" i="5"/>
  <c r="BW95" i="5"/>
  <c r="BY95" i="5" s="1"/>
  <c r="BS95" i="5"/>
  <c r="BQ95" i="5"/>
  <c r="BM95" i="5"/>
  <c r="CQ95" i="5" s="1"/>
  <c r="CR95" i="5" s="1"/>
  <c r="BG95" i="5"/>
  <c r="AW95" i="5"/>
  <c r="AY95" i="5" s="1"/>
  <c r="AQ95" i="5"/>
  <c r="AO95" i="5"/>
  <c r="AI95" i="5"/>
  <c r="Y95" i="5"/>
  <c r="AA95" i="5" s="1"/>
  <c r="T95" i="5"/>
  <c r="R95" i="5"/>
  <c r="N95" i="5"/>
  <c r="CK94" i="5"/>
  <c r="CE94" i="5"/>
  <c r="BY94" i="5"/>
  <c r="BW94" i="5"/>
  <c r="BQ94" i="5"/>
  <c r="BS94" i="5" s="1"/>
  <c r="BM94" i="5"/>
  <c r="CQ94" i="5" s="1"/>
  <c r="CR94" i="5" s="1"/>
  <c r="BG94" i="5"/>
  <c r="AY94" i="5"/>
  <c r="AW94" i="5"/>
  <c r="AQ94" i="5"/>
  <c r="AO94" i="5"/>
  <c r="AI94" i="5"/>
  <c r="Y94" i="5"/>
  <c r="AA94" i="5" s="1"/>
  <c r="R94" i="5"/>
  <c r="T94" i="5" s="1"/>
  <c r="N94" i="5"/>
  <c r="CK93" i="5"/>
  <c r="CE93" i="5"/>
  <c r="BY93" i="5"/>
  <c r="BS93" i="5"/>
  <c r="BM93" i="5"/>
  <c r="BG93" i="5"/>
  <c r="CQ93" i="5" s="1"/>
  <c r="CR93" i="5" s="1"/>
  <c r="AW93" i="5"/>
  <c r="AY93" i="5" s="1"/>
  <c r="AQ93" i="5"/>
  <c r="AI93" i="5"/>
  <c r="Y93" i="5"/>
  <c r="AA93" i="5" s="1"/>
  <c r="T93" i="5"/>
  <c r="CO93" i="5" s="1"/>
  <c r="R93" i="5"/>
  <c r="N93" i="5"/>
  <c r="CR92" i="5"/>
  <c r="CO92" i="5"/>
  <c r="CK92" i="5"/>
  <c r="CE92" i="5"/>
  <c r="BY92" i="5"/>
  <c r="BS92" i="5"/>
  <c r="BM92" i="5"/>
  <c r="BG92" i="5"/>
  <c r="CQ92" i="5" s="1"/>
  <c r="AW92" i="5"/>
  <c r="AY92" i="5" s="1"/>
  <c r="AQ92" i="5"/>
  <c r="AI92" i="5"/>
  <c r="AA92" i="5"/>
  <c r="Y92" i="5"/>
  <c r="T92" i="5"/>
  <c r="R92" i="5"/>
  <c r="N92" i="5"/>
  <c r="CK91" i="5"/>
  <c r="CE91" i="5"/>
  <c r="BY91" i="5"/>
  <c r="BW91" i="5"/>
  <c r="BS91" i="5"/>
  <c r="BQ91" i="5"/>
  <c r="BM91" i="5"/>
  <c r="CQ91" i="5" s="1"/>
  <c r="CR91" i="5" s="1"/>
  <c r="BG91" i="5"/>
  <c r="AY91" i="5"/>
  <c r="AW91" i="5"/>
  <c r="AQ91" i="5"/>
  <c r="AO91" i="5"/>
  <c r="AI91" i="5"/>
  <c r="Y91" i="5"/>
  <c r="AA91" i="5" s="1"/>
  <c r="T91" i="5"/>
  <c r="R91" i="5"/>
  <c r="N91" i="5"/>
  <c r="CO90" i="5"/>
  <c r="CK90" i="5"/>
  <c r="CE90" i="5"/>
  <c r="BY90" i="5"/>
  <c r="BW90" i="5"/>
  <c r="BS90" i="5"/>
  <c r="BQ90" i="5"/>
  <c r="BM90" i="5"/>
  <c r="BG90" i="5"/>
  <c r="CQ90" i="5" s="1"/>
  <c r="CR90" i="5" s="1"/>
  <c r="AY90" i="5"/>
  <c r="AW90" i="5"/>
  <c r="AQ90" i="5"/>
  <c r="AO90" i="5"/>
  <c r="AI90" i="5"/>
  <c r="Y90" i="5"/>
  <c r="AA90" i="5" s="1"/>
  <c r="R90" i="5"/>
  <c r="T90" i="5" s="1"/>
  <c r="N90" i="5"/>
  <c r="CT89" i="5"/>
  <c r="CK89" i="5"/>
  <c r="CE89" i="5"/>
  <c r="BY89" i="5"/>
  <c r="BS89" i="5"/>
  <c r="BM89" i="5"/>
  <c r="BG89" i="5"/>
  <c r="CQ89" i="5" s="1"/>
  <c r="CR89" i="5" s="1"/>
  <c r="AY89" i="5"/>
  <c r="AW89" i="5"/>
  <c r="AQ89" i="5"/>
  <c r="AI89" i="5"/>
  <c r="Y89" i="5"/>
  <c r="AA89" i="5" s="1"/>
  <c r="T89" i="5"/>
  <c r="R89" i="5"/>
  <c r="N89" i="5"/>
  <c r="CO89" i="5" s="1"/>
  <c r="CK88" i="5"/>
  <c r="CE88" i="5"/>
  <c r="BW88" i="5"/>
  <c r="BY88" i="5" s="1"/>
  <c r="BS88" i="5"/>
  <c r="BQ88" i="5"/>
  <c r="BM88" i="5"/>
  <c r="BG88" i="5"/>
  <c r="AY88" i="5"/>
  <c r="AW88" i="5"/>
  <c r="AO88" i="5"/>
  <c r="AQ88" i="5" s="1"/>
  <c r="AI88" i="5"/>
  <c r="AA88" i="5"/>
  <c r="Y88" i="5"/>
  <c r="R88" i="5"/>
  <c r="T88" i="5" s="1"/>
  <c r="N88" i="5"/>
  <c r="CK87" i="5"/>
  <c r="CE87" i="5"/>
  <c r="BY87" i="5"/>
  <c r="BW87" i="5"/>
  <c r="BS87" i="5"/>
  <c r="BQ87" i="5"/>
  <c r="BM87" i="5"/>
  <c r="BG87" i="5"/>
  <c r="AW87" i="5"/>
  <c r="AY87" i="5" s="1"/>
  <c r="AO87" i="5"/>
  <c r="AQ87" i="5" s="1"/>
  <c r="AI87" i="5"/>
  <c r="AA87" i="5"/>
  <c r="Y87" i="5"/>
  <c r="T87" i="5"/>
  <c r="R87" i="5"/>
  <c r="N87" i="5"/>
  <c r="CO86" i="5"/>
  <c r="CK86" i="5"/>
  <c r="CE86" i="5"/>
  <c r="BW86" i="5"/>
  <c r="BY86" i="5" s="1"/>
  <c r="BS86" i="5"/>
  <c r="BQ86" i="5"/>
  <c r="BM86" i="5"/>
  <c r="BG86" i="5"/>
  <c r="CQ86" i="5" s="1"/>
  <c r="CR86" i="5" s="1"/>
  <c r="AY86" i="5"/>
  <c r="AW86" i="5"/>
  <c r="AO86" i="5"/>
  <c r="AQ86" i="5" s="1"/>
  <c r="AI86" i="5"/>
  <c r="AA86" i="5"/>
  <c r="Y86" i="5"/>
  <c r="T86" i="5"/>
  <c r="R86" i="5"/>
  <c r="N86" i="5"/>
  <c r="CK85" i="5"/>
  <c r="CE85" i="5"/>
  <c r="BY85" i="5"/>
  <c r="BW85" i="5"/>
  <c r="BQ85" i="5"/>
  <c r="BS85" i="5" s="1"/>
  <c r="BM85" i="5"/>
  <c r="BG85" i="5"/>
  <c r="CQ85" i="5" s="1"/>
  <c r="CR85" i="5" s="1"/>
  <c r="AY85" i="5"/>
  <c r="AW85" i="5"/>
  <c r="AQ85" i="5"/>
  <c r="AO85" i="5"/>
  <c r="AI85" i="5"/>
  <c r="Y85" i="5"/>
  <c r="AA85" i="5" s="1"/>
  <c r="T85" i="5"/>
  <c r="CO85" i="5" s="1"/>
  <c r="R85" i="5"/>
  <c r="N85" i="5"/>
  <c r="CK84" i="5"/>
  <c r="CE84" i="5"/>
  <c r="BW84" i="5"/>
  <c r="BY84" i="5" s="1"/>
  <c r="BS84" i="5"/>
  <c r="BQ84" i="5"/>
  <c r="BM84" i="5"/>
  <c r="BG84" i="5"/>
  <c r="AW84" i="5"/>
  <c r="AY84" i="5" s="1"/>
  <c r="AO84" i="5"/>
  <c r="AQ84" i="5" s="1"/>
  <c r="AI84" i="5"/>
  <c r="AA84" i="5"/>
  <c r="Y84" i="5"/>
  <c r="R84" i="5"/>
  <c r="T84" i="5" s="1"/>
  <c r="N84" i="5"/>
  <c r="CK83" i="5"/>
  <c r="CE83" i="5"/>
  <c r="BY83" i="5"/>
  <c r="BW83" i="5"/>
  <c r="BS83" i="5"/>
  <c r="BQ83" i="5"/>
  <c r="BM83" i="5"/>
  <c r="BG83" i="5"/>
  <c r="AW83" i="5"/>
  <c r="AY83" i="5" s="1"/>
  <c r="AQ83" i="5"/>
  <c r="AO83" i="5"/>
  <c r="AI83" i="5"/>
  <c r="AA83" i="5"/>
  <c r="Y83" i="5"/>
  <c r="T83" i="5"/>
  <c r="R83" i="5"/>
  <c r="N83" i="5"/>
  <c r="CK82" i="5"/>
  <c r="CE82" i="5"/>
  <c r="BW82" i="5"/>
  <c r="BY82" i="5" s="1"/>
  <c r="BQ82" i="5"/>
  <c r="BS82" i="5" s="1"/>
  <c r="BM82" i="5"/>
  <c r="BG82" i="5"/>
  <c r="AY82" i="5"/>
  <c r="AW82" i="5"/>
  <c r="AO82" i="5"/>
  <c r="AQ82" i="5" s="1"/>
  <c r="AI82" i="5"/>
  <c r="Y82" i="5"/>
  <c r="AA82" i="5" s="1"/>
  <c r="T82" i="5"/>
  <c r="R82" i="5"/>
  <c r="N82" i="5"/>
  <c r="CK81" i="5"/>
  <c r="CE81" i="5"/>
  <c r="BY81" i="5"/>
  <c r="BW81" i="5"/>
  <c r="BQ81" i="5"/>
  <c r="BS81" i="5" s="1"/>
  <c r="BM81" i="5"/>
  <c r="BG81" i="5"/>
  <c r="AY81" i="5"/>
  <c r="AW81" i="5"/>
  <c r="AQ81" i="5"/>
  <c r="AO81" i="5"/>
  <c r="AI81" i="5"/>
  <c r="Y81" i="5"/>
  <c r="AA81" i="5" s="1"/>
  <c r="T81" i="5"/>
  <c r="R81" i="5"/>
  <c r="N81" i="5"/>
  <c r="CK80" i="5"/>
  <c r="CE80" i="5"/>
  <c r="BW80" i="5"/>
  <c r="BY80" i="5" s="1"/>
  <c r="BS80" i="5"/>
  <c r="BQ80" i="5"/>
  <c r="BM80" i="5"/>
  <c r="BG80" i="5"/>
  <c r="AW80" i="5"/>
  <c r="AY80" i="5" s="1"/>
  <c r="AO80" i="5"/>
  <c r="AQ80" i="5" s="1"/>
  <c r="AI80" i="5"/>
  <c r="AA80" i="5"/>
  <c r="Y80" i="5"/>
  <c r="R80" i="5"/>
  <c r="T80" i="5" s="1"/>
  <c r="N80" i="5"/>
  <c r="CR79" i="5"/>
  <c r="CK79" i="5"/>
  <c r="CE79" i="5"/>
  <c r="BY79" i="5"/>
  <c r="BS79" i="5"/>
  <c r="BM79" i="5"/>
  <c r="BG79" i="5"/>
  <c r="CQ79" i="5" s="1"/>
  <c r="AY79" i="5"/>
  <c r="AW79" i="5"/>
  <c r="AQ79" i="5"/>
  <c r="AI79" i="5"/>
  <c r="AA79" i="5"/>
  <c r="Y79" i="5"/>
  <c r="T79" i="5"/>
  <c r="R79" i="5"/>
  <c r="N79" i="5"/>
  <c r="CO79" i="5" s="1"/>
  <c r="CT79" i="5" s="1"/>
  <c r="CK78" i="5"/>
  <c r="CE78" i="5"/>
  <c r="BY78" i="5"/>
  <c r="BW78" i="5"/>
  <c r="BS78" i="5"/>
  <c r="BQ78" i="5"/>
  <c r="BM78" i="5"/>
  <c r="BG78" i="5"/>
  <c r="AW78" i="5"/>
  <c r="AY78" i="5" s="1"/>
  <c r="AQ78" i="5"/>
  <c r="AO78" i="5"/>
  <c r="AI78" i="5"/>
  <c r="Y78" i="5"/>
  <c r="AA78" i="5" s="1"/>
  <c r="T78" i="5"/>
  <c r="CO78" i="5" s="1"/>
  <c r="R78" i="5"/>
  <c r="N78" i="5"/>
  <c r="CK77" i="5"/>
  <c r="CE77" i="5"/>
  <c r="BY77" i="5"/>
  <c r="BW77" i="5"/>
  <c r="BS77" i="5"/>
  <c r="BQ77" i="5"/>
  <c r="BM77" i="5"/>
  <c r="CQ77" i="5" s="1"/>
  <c r="CR77" i="5" s="1"/>
  <c r="BG77" i="5"/>
  <c r="AW77" i="5"/>
  <c r="AY77" i="5" s="1"/>
  <c r="AO77" i="5"/>
  <c r="AQ77" i="5" s="1"/>
  <c r="AI77" i="5"/>
  <c r="AA77" i="5"/>
  <c r="Y77" i="5"/>
  <c r="R77" i="5"/>
  <c r="T77" i="5" s="1"/>
  <c r="N77" i="5"/>
  <c r="CK76" i="5"/>
  <c r="CE76" i="5"/>
  <c r="BW76" i="5"/>
  <c r="BY76" i="5" s="1"/>
  <c r="BS76" i="5"/>
  <c r="BQ76" i="5"/>
  <c r="BM76" i="5"/>
  <c r="BG76" i="5"/>
  <c r="AY76" i="5"/>
  <c r="AW76" i="5"/>
  <c r="AO76" i="5"/>
  <c r="AQ76" i="5" s="1"/>
  <c r="AI76" i="5"/>
  <c r="AA76" i="5"/>
  <c r="Y76" i="5"/>
  <c r="T76" i="5"/>
  <c r="R76" i="5"/>
  <c r="N76" i="5"/>
  <c r="CK75" i="5"/>
  <c r="CE75" i="5"/>
  <c r="BY75" i="5"/>
  <c r="BW75" i="5"/>
  <c r="BQ75" i="5"/>
  <c r="BS75" i="5" s="1"/>
  <c r="BM75" i="5"/>
  <c r="BG75" i="5"/>
  <c r="CQ75" i="5" s="1"/>
  <c r="CR75" i="5" s="1"/>
  <c r="AY75" i="5"/>
  <c r="AW75" i="5"/>
  <c r="AQ75" i="5"/>
  <c r="AO75" i="5"/>
  <c r="AI75" i="5"/>
  <c r="AA75" i="5"/>
  <c r="Y75" i="5"/>
  <c r="T75" i="5"/>
  <c r="CO75" i="5" s="1"/>
  <c r="R75" i="5"/>
  <c r="N75" i="5"/>
  <c r="CK74" i="5"/>
  <c r="CE74" i="5"/>
  <c r="BY74" i="5"/>
  <c r="BW74" i="5"/>
  <c r="BS74" i="5"/>
  <c r="BQ74" i="5"/>
  <c r="BM74" i="5"/>
  <c r="BG74" i="5"/>
  <c r="CQ74" i="5" s="1"/>
  <c r="CR74" i="5" s="1"/>
  <c r="AY74" i="5"/>
  <c r="AW74" i="5"/>
  <c r="AQ74" i="5"/>
  <c r="AO74" i="5"/>
  <c r="AI74" i="5"/>
  <c r="Y74" i="5"/>
  <c r="AA74" i="5" s="1"/>
  <c r="R74" i="5"/>
  <c r="T74" i="5" s="1"/>
  <c r="CO74" i="5" s="1"/>
  <c r="CT74" i="5" s="1"/>
  <c r="N74" i="5"/>
  <c r="CK73" i="5"/>
  <c r="CE73" i="5"/>
  <c r="BW73" i="5"/>
  <c r="BY73" i="5" s="1"/>
  <c r="BS73" i="5"/>
  <c r="BQ73" i="5"/>
  <c r="BM73" i="5"/>
  <c r="BG73" i="5"/>
  <c r="AW73" i="5"/>
  <c r="AY73" i="5" s="1"/>
  <c r="AO73" i="5"/>
  <c r="AQ73" i="5" s="1"/>
  <c r="AI73" i="5"/>
  <c r="AA73" i="5"/>
  <c r="Y73" i="5"/>
  <c r="R73" i="5"/>
  <c r="T73" i="5" s="1"/>
  <c r="N73" i="5"/>
  <c r="CK72" i="5"/>
  <c r="CE72" i="5"/>
  <c r="BW72" i="5"/>
  <c r="BY72" i="5" s="1"/>
  <c r="CQ72" i="5" s="1"/>
  <c r="CR72" i="5" s="1"/>
  <c r="BS72" i="5"/>
  <c r="BQ72" i="5"/>
  <c r="BM72" i="5"/>
  <c r="BG72" i="5"/>
  <c r="AY72" i="5"/>
  <c r="AW72" i="5"/>
  <c r="AO72" i="5"/>
  <c r="AQ72" i="5" s="1"/>
  <c r="AI72" i="5"/>
  <c r="AA72" i="5"/>
  <c r="Y72" i="5"/>
  <c r="T72" i="5"/>
  <c r="R72" i="5"/>
  <c r="N72" i="5"/>
  <c r="CK71" i="5"/>
  <c r="CE71" i="5"/>
  <c r="BY71" i="5"/>
  <c r="BW71" i="5"/>
  <c r="BQ71" i="5"/>
  <c r="BS71" i="5" s="1"/>
  <c r="BM71" i="5"/>
  <c r="BG71" i="5"/>
  <c r="CQ71" i="5" s="1"/>
  <c r="CR71" i="5" s="1"/>
  <c r="AY71" i="5"/>
  <c r="AW71" i="5"/>
  <c r="AQ71" i="5"/>
  <c r="AO71" i="5"/>
  <c r="AI71" i="5"/>
  <c r="Y71" i="5"/>
  <c r="AA71" i="5" s="1"/>
  <c r="R71" i="5"/>
  <c r="T71" i="5" s="1"/>
  <c r="N71" i="5"/>
  <c r="CK70" i="5"/>
  <c r="CE70" i="5"/>
  <c r="BY70" i="5"/>
  <c r="BW70" i="5"/>
  <c r="BS70" i="5"/>
  <c r="BQ70" i="5"/>
  <c r="BM70" i="5"/>
  <c r="BG70" i="5"/>
  <c r="AY70" i="5"/>
  <c r="AW70" i="5"/>
  <c r="AQ70" i="5"/>
  <c r="AO70" i="5"/>
  <c r="AI70" i="5"/>
  <c r="Y70" i="5"/>
  <c r="AA70" i="5" s="1"/>
  <c r="T70" i="5"/>
  <c r="R70" i="5"/>
  <c r="N70" i="5"/>
  <c r="CK69" i="5"/>
  <c r="CE69" i="5"/>
  <c r="BW69" i="5"/>
  <c r="BY69" i="5" s="1"/>
  <c r="BS69" i="5"/>
  <c r="BQ69" i="5"/>
  <c r="BM69" i="5"/>
  <c r="BG69" i="5"/>
  <c r="AW69" i="5"/>
  <c r="AY69" i="5" s="1"/>
  <c r="AQ69" i="5"/>
  <c r="AO69" i="5"/>
  <c r="AI69" i="5"/>
  <c r="AA69" i="5"/>
  <c r="Y69" i="5"/>
  <c r="R69" i="5"/>
  <c r="T69" i="5" s="1"/>
  <c r="N69" i="5"/>
  <c r="CK68" i="5"/>
  <c r="CE68" i="5"/>
  <c r="BW68" i="5"/>
  <c r="BY68" i="5" s="1"/>
  <c r="BS68" i="5"/>
  <c r="BQ68" i="5"/>
  <c r="BM68" i="5"/>
  <c r="CQ68" i="5" s="1"/>
  <c r="CR68" i="5" s="1"/>
  <c r="BG68" i="5"/>
  <c r="AY68" i="5"/>
  <c r="AW68" i="5"/>
  <c r="AO68" i="5"/>
  <c r="AQ68" i="5" s="1"/>
  <c r="AI68" i="5"/>
  <c r="AA68" i="5"/>
  <c r="Y68" i="5"/>
  <c r="T68" i="5"/>
  <c r="CO68" i="5" s="1"/>
  <c r="CT68" i="5" s="1"/>
  <c r="R68" i="5"/>
  <c r="N68" i="5"/>
  <c r="CK67" i="5"/>
  <c r="CE67" i="5"/>
  <c r="BY67" i="5"/>
  <c r="BW67" i="5"/>
  <c r="BQ67" i="5"/>
  <c r="BS67" i="5" s="1"/>
  <c r="BM67" i="5"/>
  <c r="BG67" i="5"/>
  <c r="AY67" i="5"/>
  <c r="AW67" i="5"/>
  <c r="AQ67" i="5"/>
  <c r="AO67" i="5"/>
  <c r="AI67" i="5"/>
  <c r="AA67" i="5"/>
  <c r="Y67" i="5"/>
  <c r="T67" i="5"/>
  <c r="R67" i="5"/>
  <c r="N67" i="5"/>
  <c r="CK66" i="5"/>
  <c r="CE66" i="5"/>
  <c r="BY66" i="5"/>
  <c r="BW66" i="5"/>
  <c r="BS66" i="5"/>
  <c r="BQ66" i="5"/>
  <c r="BM66" i="5"/>
  <c r="BG66" i="5"/>
  <c r="AW66" i="5"/>
  <c r="AY66" i="5" s="1"/>
  <c r="AQ66" i="5"/>
  <c r="AO66" i="5"/>
  <c r="AI66" i="5"/>
  <c r="Y66" i="5"/>
  <c r="AA66" i="5" s="1"/>
  <c r="T66" i="5"/>
  <c r="R66" i="5"/>
  <c r="N66" i="5"/>
  <c r="CK65" i="5"/>
  <c r="CE65" i="5"/>
  <c r="BY65" i="5"/>
  <c r="BW65" i="5"/>
  <c r="BS65" i="5"/>
  <c r="BQ65" i="5"/>
  <c r="BM65" i="5"/>
  <c r="BG65" i="5"/>
  <c r="AW65" i="5"/>
  <c r="AY65" i="5" s="1"/>
  <c r="AQ65" i="5"/>
  <c r="AO65" i="5"/>
  <c r="AI65" i="5"/>
  <c r="AA65" i="5"/>
  <c r="Y65" i="5"/>
  <c r="R65" i="5"/>
  <c r="T65" i="5" s="1"/>
  <c r="N65" i="5"/>
  <c r="CT64" i="5"/>
  <c r="CR64" i="5"/>
  <c r="CK64" i="5"/>
  <c r="CE64" i="5"/>
  <c r="BW64" i="5"/>
  <c r="BY64" i="5" s="1"/>
  <c r="BQ64" i="5"/>
  <c r="BS64" i="5" s="1"/>
  <c r="BM64" i="5"/>
  <c r="CQ64" i="5" s="1"/>
  <c r="BG64" i="5"/>
  <c r="AY64" i="5"/>
  <c r="AW64" i="5"/>
  <c r="AO64" i="5"/>
  <c r="AQ64" i="5" s="1"/>
  <c r="AI64" i="5"/>
  <c r="Y64" i="5"/>
  <c r="AA64" i="5" s="1"/>
  <c r="T64" i="5"/>
  <c r="CO64" i="5" s="1"/>
  <c r="R64" i="5"/>
  <c r="N64" i="5"/>
  <c r="CK63" i="5"/>
  <c r="CE63" i="5"/>
  <c r="BY63" i="5"/>
  <c r="BW63" i="5"/>
  <c r="BQ63" i="5"/>
  <c r="BS63" i="5" s="1"/>
  <c r="BM63" i="5"/>
  <c r="BG63" i="5"/>
  <c r="AY63" i="5"/>
  <c r="AW63" i="5"/>
  <c r="AQ63" i="5"/>
  <c r="AO63" i="5"/>
  <c r="AI63" i="5"/>
  <c r="AA63" i="5"/>
  <c r="Y63" i="5"/>
  <c r="T63" i="5"/>
  <c r="CO63" i="5" s="1"/>
  <c r="R63" i="5"/>
  <c r="N63" i="5"/>
  <c r="CK62" i="5"/>
  <c r="CE62" i="5"/>
  <c r="BY62" i="5"/>
  <c r="BW62" i="5"/>
  <c r="BS62" i="5"/>
  <c r="BQ62" i="5"/>
  <c r="BM62" i="5"/>
  <c r="BG62" i="5"/>
  <c r="CQ62" i="5" s="1"/>
  <c r="CR62" i="5" s="1"/>
  <c r="AY62" i="5"/>
  <c r="AW62" i="5"/>
  <c r="AQ62" i="5"/>
  <c r="AO62" i="5"/>
  <c r="AI62" i="5"/>
  <c r="Y62" i="5"/>
  <c r="AA62" i="5" s="1"/>
  <c r="T62" i="5"/>
  <c r="CO62" i="5" s="1"/>
  <c r="CT62" i="5" s="1"/>
  <c r="R62" i="5"/>
  <c r="N62" i="5"/>
  <c r="CK61" i="5"/>
  <c r="CE61" i="5"/>
  <c r="BY61" i="5"/>
  <c r="BW61" i="5"/>
  <c r="BS61" i="5"/>
  <c r="BQ61" i="5"/>
  <c r="BM61" i="5"/>
  <c r="BG61" i="5"/>
  <c r="AW61" i="5"/>
  <c r="AY61" i="5" s="1"/>
  <c r="AO61" i="5"/>
  <c r="AQ61" i="5" s="1"/>
  <c r="AI61" i="5"/>
  <c r="AA61" i="5"/>
  <c r="Y61" i="5"/>
  <c r="R61" i="5"/>
  <c r="T61" i="5" s="1"/>
  <c r="N61" i="5"/>
  <c r="CK60" i="5"/>
  <c r="CE60" i="5"/>
  <c r="BW60" i="5"/>
  <c r="BY60" i="5" s="1"/>
  <c r="BQ60" i="5"/>
  <c r="BS60" i="5" s="1"/>
  <c r="BM60" i="5"/>
  <c r="BG60" i="5"/>
  <c r="AY60" i="5"/>
  <c r="AW60" i="5"/>
  <c r="AO60" i="5"/>
  <c r="AQ60" i="5" s="1"/>
  <c r="AI60" i="5"/>
  <c r="Y60" i="5"/>
  <c r="AA60" i="5" s="1"/>
  <c r="T60" i="5"/>
  <c r="R60" i="5"/>
  <c r="N60" i="5"/>
  <c r="CQ59" i="5"/>
  <c r="CR59" i="5" s="1"/>
  <c r="CO59" i="5"/>
  <c r="CT59" i="5" s="1"/>
  <c r="CK59" i="5"/>
  <c r="CE59" i="5"/>
  <c r="BY59" i="5"/>
  <c r="BS59" i="5"/>
  <c r="BM59" i="5"/>
  <c r="BG59" i="5"/>
  <c r="AW59" i="5"/>
  <c r="AY59" i="5" s="1"/>
  <c r="AQ59" i="5"/>
  <c r="AI59" i="5"/>
  <c r="AA59" i="5"/>
  <c r="Y59" i="5"/>
  <c r="R59" i="5"/>
  <c r="T59" i="5" s="1"/>
  <c r="N59" i="5"/>
  <c r="CR58" i="5"/>
  <c r="CK58" i="5"/>
  <c r="CE58" i="5"/>
  <c r="BY58" i="5"/>
  <c r="BW58" i="5"/>
  <c r="BS58" i="5"/>
  <c r="BQ58" i="5"/>
  <c r="BM58" i="5"/>
  <c r="CQ58" i="5" s="1"/>
  <c r="BG58" i="5"/>
  <c r="AW58" i="5"/>
  <c r="AY58" i="5" s="1"/>
  <c r="AQ58" i="5"/>
  <c r="AO58" i="5"/>
  <c r="AL58" i="5"/>
  <c r="AI58" i="5"/>
  <c r="AA58" i="5"/>
  <c r="Y58" i="5"/>
  <c r="R58" i="5"/>
  <c r="T58" i="5" s="1"/>
  <c r="N58" i="5"/>
  <c r="CT57" i="5"/>
  <c r="CK57" i="5"/>
  <c r="CE57" i="5"/>
  <c r="BW57" i="5"/>
  <c r="BY57" i="5" s="1"/>
  <c r="BS57" i="5"/>
  <c r="BQ57" i="5"/>
  <c r="BM57" i="5"/>
  <c r="CQ57" i="5" s="1"/>
  <c r="CR57" i="5" s="1"/>
  <c r="BG57" i="5"/>
  <c r="AY57" i="5"/>
  <c r="AW57" i="5"/>
  <c r="AO57" i="5"/>
  <c r="AQ57" i="5" s="1"/>
  <c r="AI57" i="5"/>
  <c r="AA57" i="5"/>
  <c r="Y57" i="5"/>
  <c r="T57" i="5"/>
  <c r="CO57" i="5" s="1"/>
  <c r="R57" i="5"/>
  <c r="N57" i="5"/>
  <c r="CK56" i="5"/>
  <c r="CE56" i="5"/>
  <c r="BY56" i="5"/>
  <c r="BW56" i="5"/>
  <c r="BQ56" i="5"/>
  <c r="BS56" i="5" s="1"/>
  <c r="BM56" i="5"/>
  <c r="BG56" i="5"/>
  <c r="CQ56" i="5" s="1"/>
  <c r="CR56" i="5" s="1"/>
  <c r="AY56" i="5"/>
  <c r="AW56" i="5"/>
  <c r="AQ56" i="5"/>
  <c r="AO56" i="5"/>
  <c r="AI56" i="5"/>
  <c r="Y56" i="5"/>
  <c r="AA56" i="5" s="1"/>
  <c r="R56" i="5"/>
  <c r="T56" i="5" s="1"/>
  <c r="CO56" i="5" s="1"/>
  <c r="CT56" i="5" s="1"/>
  <c r="N56" i="5"/>
  <c r="CQ55" i="5"/>
  <c r="CR55" i="5" s="1"/>
  <c r="CO55" i="5"/>
  <c r="CK55" i="5"/>
  <c r="CE55" i="5"/>
  <c r="BY55" i="5"/>
  <c r="BS55" i="5"/>
  <c r="BM55" i="5"/>
  <c r="BG55" i="5"/>
  <c r="AW55" i="5"/>
  <c r="AY55" i="5" s="1"/>
  <c r="AQ55" i="5"/>
  <c r="AI55" i="5"/>
  <c r="AA55" i="5"/>
  <c r="Y55" i="5"/>
  <c r="T55" i="5"/>
  <c r="R55" i="5"/>
  <c r="N55" i="5"/>
  <c r="CK54" i="5"/>
  <c r="CE54" i="5"/>
  <c r="BW54" i="5"/>
  <c r="BY54" i="5" s="1"/>
  <c r="BQ54" i="5"/>
  <c r="BS54" i="5" s="1"/>
  <c r="BM54" i="5"/>
  <c r="BG54" i="5"/>
  <c r="CQ54" i="5" s="1"/>
  <c r="CR54" i="5" s="1"/>
  <c r="AY54" i="5"/>
  <c r="AW54" i="5"/>
  <c r="AO54" i="5"/>
  <c r="AQ54" i="5" s="1"/>
  <c r="AI54" i="5"/>
  <c r="Y54" i="5"/>
  <c r="AA54" i="5" s="1"/>
  <c r="T54" i="5"/>
  <c r="CO54" i="5" s="1"/>
  <c r="R54" i="5"/>
  <c r="N54" i="5"/>
  <c r="CK53" i="5"/>
  <c r="CE53" i="5"/>
  <c r="BY53" i="5"/>
  <c r="BW53" i="5"/>
  <c r="BQ53" i="5"/>
  <c r="BS53" i="5" s="1"/>
  <c r="BM53" i="5"/>
  <c r="BG53" i="5"/>
  <c r="CQ53" i="5" s="1"/>
  <c r="CR53" i="5" s="1"/>
  <c r="AW53" i="5"/>
  <c r="AY53" i="5" s="1"/>
  <c r="AQ53" i="5"/>
  <c r="AO53" i="5"/>
  <c r="AI53" i="5"/>
  <c r="Y53" i="5"/>
  <c r="AA53" i="5" s="1"/>
  <c r="R53" i="5"/>
  <c r="T53" i="5" s="1"/>
  <c r="N53" i="5"/>
  <c r="CK52" i="5"/>
  <c r="CE52" i="5"/>
  <c r="BY52" i="5"/>
  <c r="BW52" i="5"/>
  <c r="BS52" i="5"/>
  <c r="BQ52" i="5"/>
  <c r="BM52" i="5"/>
  <c r="BG52" i="5"/>
  <c r="AW52" i="5"/>
  <c r="AY52" i="5" s="1"/>
  <c r="AQ52" i="5"/>
  <c r="AO52" i="5"/>
  <c r="AI52" i="5"/>
  <c r="AA52" i="5"/>
  <c r="Y52" i="5"/>
  <c r="R52" i="5"/>
  <c r="T52" i="5" s="1"/>
  <c r="N52" i="5"/>
  <c r="CK51" i="5"/>
  <c r="CE51" i="5"/>
  <c r="BW51" i="5"/>
  <c r="BY51" i="5" s="1"/>
  <c r="BQ51" i="5"/>
  <c r="BS51" i="5" s="1"/>
  <c r="BM51" i="5"/>
  <c r="CQ51" i="5" s="1"/>
  <c r="CR51" i="5" s="1"/>
  <c r="BG51" i="5"/>
  <c r="AW51" i="5"/>
  <c r="AY51" i="5" s="1"/>
  <c r="AQ51" i="5"/>
  <c r="AO51" i="5"/>
  <c r="AI51" i="5"/>
  <c r="AA51" i="5"/>
  <c r="Y51" i="5"/>
  <c r="T51" i="5"/>
  <c r="R51" i="5"/>
  <c r="N51" i="5"/>
  <c r="CK50" i="5"/>
  <c r="CE50" i="5"/>
  <c r="BW50" i="5"/>
  <c r="BY50" i="5" s="1"/>
  <c r="BS50" i="5"/>
  <c r="BQ50" i="5"/>
  <c r="BM50" i="5"/>
  <c r="BG50" i="5"/>
  <c r="CQ50" i="5" s="1"/>
  <c r="CR50" i="5" s="1"/>
  <c r="AY50" i="5"/>
  <c r="AW50" i="5"/>
  <c r="AO50" i="5"/>
  <c r="AQ50" i="5" s="1"/>
  <c r="AI50" i="5"/>
  <c r="AA50" i="5"/>
  <c r="CO50" i="5" s="1"/>
  <c r="Y50" i="5"/>
  <c r="T50" i="5"/>
  <c r="R50" i="5"/>
  <c r="N50" i="5"/>
  <c r="CK49" i="5"/>
  <c r="CE49" i="5"/>
  <c r="BY49" i="5"/>
  <c r="BW49" i="5"/>
  <c r="BQ49" i="5"/>
  <c r="BS49" i="5" s="1"/>
  <c r="BM49" i="5"/>
  <c r="BG49" i="5"/>
  <c r="CQ49" i="5" s="1"/>
  <c r="CR49" i="5" s="1"/>
  <c r="AY49" i="5"/>
  <c r="AW49" i="5"/>
  <c r="AQ49" i="5"/>
  <c r="AO49" i="5"/>
  <c r="AI49" i="5"/>
  <c r="Y49" i="5"/>
  <c r="AA49" i="5" s="1"/>
  <c r="R49" i="5"/>
  <c r="T49" i="5" s="1"/>
  <c r="CO49" i="5" s="1"/>
  <c r="N49" i="5"/>
  <c r="CK48" i="5"/>
  <c r="CE48" i="5"/>
  <c r="BY48" i="5"/>
  <c r="BW48" i="5"/>
  <c r="BS48" i="5"/>
  <c r="BQ48" i="5"/>
  <c r="BM48" i="5"/>
  <c r="BG48" i="5"/>
  <c r="CQ48" i="5" s="1"/>
  <c r="CR48" i="5" s="1"/>
  <c r="AY48" i="5"/>
  <c r="AW48" i="5"/>
  <c r="AQ48" i="5"/>
  <c r="AO48" i="5"/>
  <c r="AI48" i="5"/>
  <c r="AA48" i="5"/>
  <c r="Y48" i="5"/>
  <c r="R48" i="5"/>
  <c r="T48" i="5" s="1"/>
  <c r="CO48" i="5" s="1"/>
  <c r="CT48" i="5" s="1"/>
  <c r="N48" i="5"/>
  <c r="CK47" i="5"/>
  <c r="CE47" i="5"/>
  <c r="BW47" i="5"/>
  <c r="BY47" i="5" s="1"/>
  <c r="BQ47" i="5"/>
  <c r="BS47" i="5" s="1"/>
  <c r="BM47" i="5"/>
  <c r="BG47" i="5"/>
  <c r="AW47" i="5"/>
  <c r="AY47" i="5" s="1"/>
  <c r="AQ47" i="5"/>
  <c r="AO47" i="5"/>
  <c r="AI47" i="5"/>
  <c r="AA47" i="5"/>
  <c r="Y47" i="5"/>
  <c r="T47" i="5"/>
  <c r="R47" i="5"/>
  <c r="N47" i="5"/>
  <c r="CQ46" i="5"/>
  <c r="CR46" i="5" s="1"/>
  <c r="CK46" i="5"/>
  <c r="CE46" i="5"/>
  <c r="BW46" i="5"/>
  <c r="BY46" i="5" s="1"/>
  <c r="BQ46" i="5"/>
  <c r="BS46" i="5" s="1"/>
  <c r="BM46" i="5"/>
  <c r="BG46" i="5"/>
  <c r="AY46" i="5"/>
  <c r="AW46" i="5"/>
  <c r="AO46" i="5"/>
  <c r="AQ46" i="5" s="1"/>
  <c r="AI46" i="5"/>
  <c r="Y46" i="5"/>
  <c r="AA46" i="5" s="1"/>
  <c r="CO46" i="5" s="1"/>
  <c r="CT46" i="5" s="1"/>
  <c r="T46" i="5"/>
  <c r="R46" i="5"/>
  <c r="N46" i="5"/>
  <c r="CK45" i="5"/>
  <c r="CE45" i="5"/>
  <c r="BY45" i="5"/>
  <c r="BW45" i="5"/>
  <c r="BQ45" i="5"/>
  <c r="BS45" i="5" s="1"/>
  <c r="BM45" i="5"/>
  <c r="BG45" i="5"/>
  <c r="CQ45" i="5" s="1"/>
  <c r="CR45" i="5" s="1"/>
  <c r="AY45" i="5"/>
  <c r="CO45" i="5" s="1"/>
  <c r="CT45" i="5" s="1"/>
  <c r="AW45" i="5"/>
  <c r="AQ45" i="5"/>
  <c r="AO45" i="5"/>
  <c r="AI45" i="5"/>
  <c r="Y45" i="5"/>
  <c r="AA45" i="5" s="1"/>
  <c r="R45" i="5"/>
  <c r="T45" i="5" s="1"/>
  <c r="N45" i="5"/>
  <c r="CK44" i="5"/>
  <c r="CE44" i="5"/>
  <c r="BY44" i="5"/>
  <c r="BW44" i="5"/>
  <c r="BS44" i="5"/>
  <c r="BQ44" i="5"/>
  <c r="BM44" i="5"/>
  <c r="BG44" i="5"/>
  <c r="CQ44" i="5" s="1"/>
  <c r="CR44" i="5" s="1"/>
  <c r="AY44" i="5"/>
  <c r="AW44" i="5"/>
  <c r="AQ44" i="5"/>
  <c r="AO44" i="5"/>
  <c r="AI44" i="5"/>
  <c r="AA44" i="5"/>
  <c r="Y44" i="5"/>
  <c r="R44" i="5"/>
  <c r="T44" i="5" s="1"/>
  <c r="CO44" i="5" s="1"/>
  <c r="CT44" i="5" s="1"/>
  <c r="N44" i="5"/>
  <c r="CK43" i="5"/>
  <c r="CE43" i="5"/>
  <c r="BY43" i="5"/>
  <c r="BW43" i="5"/>
  <c r="BS43" i="5"/>
  <c r="BQ43" i="5"/>
  <c r="BM43" i="5"/>
  <c r="BG43" i="5"/>
  <c r="AW43" i="5"/>
  <c r="AY43" i="5" s="1"/>
  <c r="AQ43" i="5"/>
  <c r="AO43" i="5"/>
  <c r="AI43" i="5"/>
  <c r="AA43" i="5"/>
  <c r="Y43" i="5"/>
  <c r="T43" i="5"/>
  <c r="R43" i="5"/>
  <c r="N43" i="5"/>
  <c r="CK42" i="5"/>
  <c r="CE42" i="5"/>
  <c r="BW42" i="5"/>
  <c r="BY42" i="5" s="1"/>
  <c r="BQ42" i="5"/>
  <c r="BS42" i="5" s="1"/>
  <c r="BM42" i="5"/>
  <c r="BG42" i="5"/>
  <c r="CQ42" i="5" s="1"/>
  <c r="CR42" i="5" s="1"/>
  <c r="AY42" i="5"/>
  <c r="AW42" i="5"/>
  <c r="AO42" i="5"/>
  <c r="AQ42" i="5" s="1"/>
  <c r="AI42" i="5"/>
  <c r="Y42" i="5"/>
  <c r="AA42" i="5" s="1"/>
  <c r="T42" i="5"/>
  <c r="R42" i="5"/>
  <c r="N42" i="5"/>
  <c r="CK41" i="5"/>
  <c r="CE41" i="5"/>
  <c r="BY41" i="5"/>
  <c r="BW41" i="5"/>
  <c r="BQ41" i="5"/>
  <c r="BS41" i="5" s="1"/>
  <c r="BM41" i="5"/>
  <c r="BG41" i="5"/>
  <c r="AW41" i="5"/>
  <c r="AY41" i="5" s="1"/>
  <c r="AQ41" i="5"/>
  <c r="AO41" i="5"/>
  <c r="AI41" i="5"/>
  <c r="Y41" i="5"/>
  <c r="AA41" i="5" s="1"/>
  <c r="T41" i="5"/>
  <c r="CO41" i="5" s="1"/>
  <c r="R41" i="5"/>
  <c r="N41" i="5"/>
  <c r="CK40" i="5"/>
  <c r="CE40" i="5"/>
  <c r="BW40" i="5"/>
  <c r="BY40" i="5" s="1"/>
  <c r="BS40" i="5"/>
  <c r="BQ40" i="5"/>
  <c r="BM40" i="5"/>
  <c r="BG40" i="5"/>
  <c r="AY40" i="5"/>
  <c r="AW40" i="5"/>
  <c r="AO40" i="5"/>
  <c r="AQ40" i="5" s="1"/>
  <c r="AI40" i="5"/>
  <c r="AA40" i="5"/>
  <c r="Y40" i="5"/>
  <c r="R40" i="5"/>
  <c r="T40" i="5" s="1"/>
  <c r="N40" i="5"/>
  <c r="CK39" i="5"/>
  <c r="CE39" i="5"/>
  <c r="BY39" i="5"/>
  <c r="BW39" i="5"/>
  <c r="BQ39" i="5"/>
  <c r="BS39" i="5" s="1"/>
  <c r="BM39" i="5"/>
  <c r="BG39" i="5"/>
  <c r="AW39" i="5"/>
  <c r="AY39" i="5" s="1"/>
  <c r="AO39" i="5"/>
  <c r="AQ39" i="5" s="1"/>
  <c r="AI39" i="5"/>
  <c r="AA39" i="5"/>
  <c r="Y39" i="5"/>
  <c r="T39" i="5"/>
  <c r="R39" i="5"/>
  <c r="N39" i="5"/>
  <c r="CK38" i="5"/>
  <c r="CE38" i="5"/>
  <c r="BW38" i="5"/>
  <c r="BY38" i="5" s="1"/>
  <c r="BS38" i="5"/>
  <c r="BQ38" i="5"/>
  <c r="BM38" i="5"/>
  <c r="BG38" i="5"/>
  <c r="AY38" i="5"/>
  <c r="AW38" i="5"/>
  <c r="AO38" i="5"/>
  <c r="AQ38" i="5" s="1"/>
  <c r="AI38" i="5"/>
  <c r="AA38" i="5"/>
  <c r="Y38" i="5"/>
  <c r="T38" i="5"/>
  <c r="R38" i="5"/>
  <c r="N38" i="5"/>
  <c r="CK37" i="5"/>
  <c r="CE37" i="5"/>
  <c r="BY37" i="5"/>
  <c r="BW37" i="5"/>
  <c r="BQ37" i="5"/>
  <c r="BS37" i="5" s="1"/>
  <c r="BM37" i="5"/>
  <c r="BG37" i="5"/>
  <c r="AW37" i="5"/>
  <c r="AY37" i="5" s="1"/>
  <c r="AQ37" i="5"/>
  <c r="AO37" i="5"/>
  <c r="AI37" i="5"/>
  <c r="Y37" i="5"/>
  <c r="AA37" i="5" s="1"/>
  <c r="R37" i="5"/>
  <c r="T37" i="5" s="1"/>
  <c r="N37" i="5"/>
  <c r="CK36" i="5"/>
  <c r="CE36" i="5"/>
  <c r="BY36" i="5"/>
  <c r="BW36" i="5"/>
  <c r="BS36" i="5"/>
  <c r="BQ36" i="5"/>
  <c r="BM36" i="5"/>
  <c r="BG36" i="5"/>
  <c r="AW36" i="5"/>
  <c r="AY36" i="5" s="1"/>
  <c r="AQ36" i="5"/>
  <c r="AO36" i="5"/>
  <c r="AI36" i="5"/>
  <c r="AA36" i="5"/>
  <c r="Y36" i="5"/>
  <c r="R36" i="5"/>
  <c r="T36" i="5" s="1"/>
  <c r="N36" i="5"/>
  <c r="CK35" i="5"/>
  <c r="CE35" i="5"/>
  <c r="BW35" i="5"/>
  <c r="BY35" i="5" s="1"/>
  <c r="BQ35" i="5"/>
  <c r="BS35" i="5" s="1"/>
  <c r="BM35" i="5"/>
  <c r="BG35" i="5"/>
  <c r="AW35" i="5"/>
  <c r="AY35" i="5" s="1"/>
  <c r="AQ35" i="5"/>
  <c r="AO35" i="5"/>
  <c r="AI35" i="5"/>
  <c r="AA35" i="5"/>
  <c r="Y35" i="5"/>
  <c r="T35" i="5"/>
  <c r="R35" i="5"/>
  <c r="N35" i="5"/>
  <c r="CK34" i="5"/>
  <c r="CE34" i="5"/>
  <c r="BW34" i="5"/>
  <c r="BY34" i="5" s="1"/>
  <c r="BS34" i="5"/>
  <c r="BQ34" i="5"/>
  <c r="BM34" i="5"/>
  <c r="BG34" i="5"/>
  <c r="AW34" i="5"/>
  <c r="AY34" i="5" s="1"/>
  <c r="AL34" i="5"/>
  <c r="AO34" i="5" s="1"/>
  <c r="AQ34" i="5" s="1"/>
  <c r="AI34" i="5"/>
  <c r="AA34" i="5"/>
  <c r="Y34" i="5"/>
  <c r="R34" i="5"/>
  <c r="T34" i="5" s="1"/>
  <c r="N34" i="5"/>
  <c r="CK33" i="5"/>
  <c r="CE33" i="5"/>
  <c r="BY33" i="5"/>
  <c r="BW33" i="5"/>
  <c r="BQ33" i="5"/>
  <c r="BS33" i="5" s="1"/>
  <c r="BM33" i="5"/>
  <c r="BG33" i="5"/>
  <c r="AY33" i="5"/>
  <c r="AW33" i="5"/>
  <c r="AQ33" i="5"/>
  <c r="AO33" i="5"/>
  <c r="AI33" i="5"/>
  <c r="Y33" i="5"/>
  <c r="AA33" i="5" s="1"/>
  <c r="R33" i="5"/>
  <c r="T33" i="5" s="1"/>
  <c r="N33" i="5"/>
  <c r="CK32" i="5"/>
  <c r="CE32" i="5"/>
  <c r="BY32" i="5"/>
  <c r="BW32" i="5"/>
  <c r="BS32" i="5"/>
  <c r="BQ32" i="5"/>
  <c r="BM32" i="5"/>
  <c r="BG32" i="5"/>
  <c r="AY32" i="5"/>
  <c r="AW32" i="5"/>
  <c r="AQ32" i="5"/>
  <c r="AO32" i="5"/>
  <c r="AI32" i="5"/>
  <c r="Y32" i="5"/>
  <c r="AA32" i="5" s="1"/>
  <c r="T32" i="5"/>
  <c r="CO32" i="5" s="1"/>
  <c r="R32" i="5"/>
  <c r="N32" i="5"/>
  <c r="CK31" i="5"/>
  <c r="CE31" i="5"/>
  <c r="BW31" i="5"/>
  <c r="BY31" i="5" s="1"/>
  <c r="BS31" i="5"/>
  <c r="BQ31" i="5"/>
  <c r="BM31" i="5"/>
  <c r="BG31" i="5"/>
  <c r="AW31" i="5"/>
  <c r="AY31" i="5" s="1"/>
  <c r="AQ31" i="5"/>
  <c r="AO31" i="5"/>
  <c r="AI31" i="5"/>
  <c r="Y31" i="5"/>
  <c r="AA31" i="5" s="1"/>
  <c r="R31" i="5"/>
  <c r="T31" i="5" s="1"/>
  <c r="N31" i="5"/>
  <c r="CK30" i="5"/>
  <c r="CE30" i="5"/>
  <c r="BW30" i="5"/>
  <c r="BY30" i="5" s="1"/>
  <c r="BQ30" i="5"/>
  <c r="BS30" i="5" s="1"/>
  <c r="BM30" i="5"/>
  <c r="CQ30" i="5" s="1"/>
  <c r="CR30" i="5" s="1"/>
  <c r="BG30" i="5"/>
  <c r="AY30" i="5"/>
  <c r="AW30" i="5"/>
  <c r="AO30" i="5"/>
  <c r="AQ30" i="5" s="1"/>
  <c r="AI30" i="5"/>
  <c r="Y30" i="5"/>
  <c r="AA30" i="5" s="1"/>
  <c r="T30" i="5"/>
  <c r="R30" i="5"/>
  <c r="N30" i="5"/>
  <c r="CK29" i="5"/>
  <c r="CE29" i="5"/>
  <c r="BY29" i="5"/>
  <c r="BW29" i="5"/>
  <c r="BQ29" i="5"/>
  <c r="BS29" i="5" s="1"/>
  <c r="BM29" i="5"/>
  <c r="BG29" i="5"/>
  <c r="CQ29" i="5" s="1"/>
  <c r="CR29" i="5" s="1"/>
  <c r="AY29" i="5"/>
  <c r="AW29" i="5"/>
  <c r="AQ29" i="5"/>
  <c r="AO29" i="5"/>
  <c r="AI29" i="5"/>
  <c r="AA29" i="5"/>
  <c r="Y29" i="5"/>
  <c r="R29" i="5"/>
  <c r="T29" i="5" s="1"/>
  <c r="CO29" i="5" s="1"/>
  <c r="CT29" i="5" s="1"/>
  <c r="N29" i="5"/>
  <c r="CK28" i="5"/>
  <c r="CE28" i="5"/>
  <c r="BY28" i="5"/>
  <c r="BW28" i="5"/>
  <c r="BS28" i="5"/>
  <c r="BQ28" i="5"/>
  <c r="BM28" i="5"/>
  <c r="BG28" i="5"/>
  <c r="CQ28" i="5" s="1"/>
  <c r="CR28" i="5" s="1"/>
  <c r="AY28" i="5"/>
  <c r="AW28" i="5"/>
  <c r="AQ28" i="5"/>
  <c r="AO28" i="5"/>
  <c r="AI28" i="5"/>
  <c r="Y28" i="5"/>
  <c r="AA28" i="5" s="1"/>
  <c r="R28" i="5"/>
  <c r="T28" i="5" s="1"/>
  <c r="CO28" i="5" s="1"/>
  <c r="CT28" i="5" s="1"/>
  <c r="N28" i="5"/>
  <c r="CK27" i="5"/>
  <c r="CE27" i="5"/>
  <c r="BY27" i="5"/>
  <c r="BW27" i="5"/>
  <c r="BS27" i="5"/>
  <c r="BQ27" i="5"/>
  <c r="BM27" i="5"/>
  <c r="BG27" i="5"/>
  <c r="AW27" i="5"/>
  <c r="AY27" i="5" s="1"/>
  <c r="AO27" i="5"/>
  <c r="AQ27" i="5" s="1"/>
  <c r="AI27" i="5"/>
  <c r="AA27" i="5"/>
  <c r="Y27" i="5"/>
  <c r="R27" i="5"/>
  <c r="T27" i="5" s="1"/>
  <c r="N27" i="5"/>
  <c r="CQ26" i="5"/>
  <c r="CR26" i="5" s="1"/>
  <c r="CK26" i="5"/>
  <c r="CE26" i="5"/>
  <c r="BW26" i="5"/>
  <c r="BY26" i="5" s="1"/>
  <c r="BS26" i="5"/>
  <c r="BQ26" i="5"/>
  <c r="BM26" i="5"/>
  <c r="BG26" i="5"/>
  <c r="AY26" i="5"/>
  <c r="AW26" i="5"/>
  <c r="AO26" i="5"/>
  <c r="AQ26" i="5" s="1"/>
  <c r="AI26" i="5"/>
  <c r="AA26" i="5"/>
  <c r="Y26" i="5"/>
  <c r="T26" i="5"/>
  <c r="R26" i="5"/>
  <c r="N26" i="5"/>
  <c r="CK25" i="5"/>
  <c r="CE25" i="5"/>
  <c r="BY25" i="5"/>
  <c r="BW25" i="5"/>
  <c r="BQ25" i="5"/>
  <c r="BS25" i="5" s="1"/>
  <c r="BM25" i="5"/>
  <c r="BG25" i="5"/>
  <c r="AY25" i="5"/>
  <c r="AW25" i="5"/>
  <c r="AQ25" i="5"/>
  <c r="AO25" i="5"/>
  <c r="AI25" i="5"/>
  <c r="AA25" i="5"/>
  <c r="Y25" i="5"/>
  <c r="T25" i="5"/>
  <c r="R25" i="5"/>
  <c r="N25" i="5"/>
  <c r="CK24" i="5"/>
  <c r="CE24" i="5"/>
  <c r="BW24" i="5"/>
  <c r="BY24" i="5" s="1"/>
  <c r="BS24" i="5"/>
  <c r="BQ24" i="5"/>
  <c r="BM24" i="5"/>
  <c r="BG24" i="5"/>
  <c r="AW24" i="5"/>
  <c r="AY24" i="5" s="1"/>
  <c r="AQ24" i="5"/>
  <c r="AO24" i="5"/>
  <c r="AI24" i="5"/>
  <c r="Y24" i="5"/>
  <c r="AA24" i="5" s="1"/>
  <c r="R24" i="5"/>
  <c r="T24" i="5" s="1"/>
  <c r="N24" i="5"/>
  <c r="CK23" i="5"/>
  <c r="CE23" i="5"/>
  <c r="BW23" i="5"/>
  <c r="BY23" i="5" s="1"/>
  <c r="CQ23" i="5" s="1"/>
  <c r="CR23" i="5" s="1"/>
  <c r="BQ23" i="5"/>
  <c r="BS23" i="5" s="1"/>
  <c r="BM23" i="5"/>
  <c r="BG23" i="5"/>
  <c r="AW23" i="5"/>
  <c r="AY23" i="5" s="1"/>
  <c r="AQ23" i="5"/>
  <c r="AO23" i="5"/>
  <c r="AI23" i="5"/>
  <c r="Y23" i="5"/>
  <c r="AA23" i="5" s="1"/>
  <c r="R23" i="5"/>
  <c r="T23" i="5" s="1"/>
  <c r="N23" i="5"/>
  <c r="CK22" i="5"/>
  <c r="CE22" i="5"/>
  <c r="BW22" i="5"/>
  <c r="BY22" i="5" s="1"/>
  <c r="BQ22" i="5"/>
  <c r="BS22" i="5" s="1"/>
  <c r="BM22" i="5"/>
  <c r="BG22" i="5"/>
  <c r="AY22" i="5"/>
  <c r="AW22" i="5"/>
  <c r="AO22" i="5"/>
  <c r="AQ22" i="5" s="1"/>
  <c r="AI22" i="5"/>
  <c r="Y22" i="5"/>
  <c r="AA22" i="5" s="1"/>
  <c r="T22" i="5"/>
  <c r="R22" i="5"/>
  <c r="N22" i="5"/>
  <c r="CK21" i="5"/>
  <c r="CE21" i="5"/>
  <c r="BY21" i="5"/>
  <c r="BW21" i="5"/>
  <c r="BS21" i="5"/>
  <c r="BQ21" i="5"/>
  <c r="BM21" i="5"/>
  <c r="BG21" i="5"/>
  <c r="CQ21" i="5" s="1"/>
  <c r="CR21" i="5" s="1"/>
  <c r="AW21" i="5"/>
  <c r="AY21" i="5" s="1"/>
  <c r="AQ21" i="5"/>
  <c r="AO21" i="5"/>
  <c r="AI21" i="5"/>
  <c r="Y21" i="5"/>
  <c r="AA21" i="5" s="1"/>
  <c r="R21" i="5"/>
  <c r="T21" i="5" s="1"/>
  <c r="N21" i="5"/>
  <c r="CK20" i="5"/>
  <c r="CE20" i="5"/>
  <c r="BY20" i="5"/>
  <c r="BW20" i="5"/>
  <c r="BS20" i="5"/>
  <c r="BQ20" i="5"/>
  <c r="BM20" i="5"/>
  <c r="BG20" i="5"/>
  <c r="CQ20" i="5" s="1"/>
  <c r="CR20" i="5" s="1"/>
  <c r="AW20" i="5"/>
  <c r="AY20" i="5" s="1"/>
  <c r="AQ20" i="5"/>
  <c r="AO20" i="5"/>
  <c r="AI20" i="5"/>
  <c r="Y20" i="5"/>
  <c r="AA20" i="5" s="1"/>
  <c r="R20" i="5"/>
  <c r="T20" i="5" s="1"/>
  <c r="N20" i="5"/>
  <c r="CK19" i="5"/>
  <c r="CE19" i="5"/>
  <c r="BW19" i="5"/>
  <c r="BY19" i="5" s="1"/>
  <c r="BQ19" i="5"/>
  <c r="BS19" i="5" s="1"/>
  <c r="BM19" i="5"/>
  <c r="CQ19" i="5" s="1"/>
  <c r="CR19" i="5" s="1"/>
  <c r="BG19" i="5"/>
  <c r="AY19" i="5"/>
  <c r="AW19" i="5"/>
  <c r="AO19" i="5"/>
  <c r="AQ19" i="5" s="1"/>
  <c r="AI19" i="5"/>
  <c r="Y19" i="5"/>
  <c r="AA19" i="5" s="1"/>
  <c r="R19" i="5"/>
  <c r="T19" i="5" s="1"/>
  <c r="CO19" i="5" s="1"/>
  <c r="CT19" i="5" s="1"/>
  <c r="N19" i="5"/>
  <c r="CK18" i="5"/>
  <c r="CE18" i="5"/>
  <c r="BY18" i="5"/>
  <c r="BW18" i="5"/>
  <c r="BS18" i="5"/>
  <c r="BQ18" i="5"/>
  <c r="BM18" i="5"/>
  <c r="CQ18" i="5" s="1"/>
  <c r="CR18" i="5" s="1"/>
  <c r="BG18" i="5"/>
  <c r="AY18" i="5"/>
  <c r="AW18" i="5"/>
  <c r="AQ18" i="5"/>
  <c r="AO18" i="5"/>
  <c r="AI18" i="5"/>
  <c r="Y18" i="5"/>
  <c r="AA18" i="5" s="1"/>
  <c r="R18" i="5"/>
  <c r="T18" i="5" s="1"/>
  <c r="CO18" i="5" s="1"/>
  <c r="CT18" i="5" s="1"/>
  <c r="N18" i="5"/>
  <c r="CK17" i="5"/>
  <c r="CE17" i="5"/>
  <c r="BY17" i="5"/>
  <c r="BW17" i="5"/>
  <c r="BS17" i="5"/>
  <c r="BQ17" i="5"/>
  <c r="BM17" i="5"/>
  <c r="BG17" i="5"/>
  <c r="AY17" i="5"/>
  <c r="AW17" i="5"/>
  <c r="AQ17" i="5"/>
  <c r="AO17" i="5"/>
  <c r="AI17" i="5"/>
  <c r="AA17" i="5"/>
  <c r="Y17" i="5"/>
  <c r="R17" i="5"/>
  <c r="T17" i="5" s="1"/>
  <c r="N17" i="5"/>
  <c r="CK16" i="5"/>
  <c r="CE16" i="5"/>
  <c r="BW16" i="5"/>
  <c r="BY16" i="5" s="1"/>
  <c r="BS16" i="5"/>
  <c r="BQ16" i="5"/>
  <c r="BM16" i="5"/>
  <c r="BG16" i="5"/>
  <c r="AY16" i="5"/>
  <c r="AW16" i="5"/>
  <c r="AO16" i="5"/>
  <c r="AQ16" i="5" s="1"/>
  <c r="AI16" i="5"/>
  <c r="Y16" i="5"/>
  <c r="AA16" i="5" s="1"/>
  <c r="CO16" i="5" s="1"/>
  <c r="T16" i="5"/>
  <c r="R16" i="5"/>
  <c r="N16" i="5"/>
  <c r="CK15" i="5"/>
  <c r="CE15" i="5"/>
  <c r="BW15" i="5"/>
  <c r="BY15" i="5" s="1"/>
  <c r="BS15" i="5"/>
  <c r="BQ15" i="5"/>
  <c r="BM15" i="5"/>
  <c r="BG15" i="5"/>
  <c r="AW15" i="5"/>
  <c r="AY15" i="5" s="1"/>
  <c r="AO15" i="5"/>
  <c r="AQ15" i="5" s="1"/>
  <c r="AI15" i="5"/>
  <c r="AA15" i="5"/>
  <c r="Y15" i="5"/>
  <c r="R15" i="5"/>
  <c r="T15" i="5" s="1"/>
  <c r="N15" i="5"/>
  <c r="CK14" i="5"/>
  <c r="CE14" i="5"/>
  <c r="BY14" i="5"/>
  <c r="BW14" i="5"/>
  <c r="BQ14" i="5"/>
  <c r="BS14" i="5" s="1"/>
  <c r="BM14" i="5"/>
  <c r="BG14" i="5"/>
  <c r="CQ14" i="5" s="1"/>
  <c r="CR14" i="5" s="1"/>
  <c r="AY14" i="5"/>
  <c r="AW14" i="5"/>
  <c r="AQ14" i="5"/>
  <c r="AO14" i="5"/>
  <c r="AI14" i="5"/>
  <c r="Y14" i="5"/>
  <c r="AA14" i="5" s="1"/>
  <c r="CO14" i="5" s="1"/>
  <c r="CT14" i="5" s="1"/>
  <c r="T14" i="5"/>
  <c r="R14" i="5"/>
  <c r="N14" i="5"/>
  <c r="CK13" i="5"/>
  <c r="CE13" i="5"/>
  <c r="BY13" i="5"/>
  <c r="BW13" i="5"/>
  <c r="BS13" i="5"/>
  <c r="BQ13" i="5"/>
  <c r="BM13" i="5"/>
  <c r="CQ13" i="5" s="1"/>
  <c r="CR13" i="5" s="1"/>
  <c r="BG13" i="5"/>
  <c r="AW13" i="5"/>
  <c r="AY13" i="5" s="1"/>
  <c r="AQ13" i="5"/>
  <c r="AO13" i="5"/>
  <c r="AI13" i="5"/>
  <c r="Y13" i="5"/>
  <c r="AA13" i="5" s="1"/>
  <c r="T13" i="5"/>
  <c r="R13" i="5"/>
  <c r="N13" i="5"/>
  <c r="CK12" i="5"/>
  <c r="CE12" i="5"/>
  <c r="BY12" i="5"/>
  <c r="BW12" i="5"/>
  <c r="BS12" i="5"/>
  <c r="BQ12" i="5"/>
  <c r="BM12" i="5"/>
  <c r="BG12" i="5"/>
  <c r="AW12" i="5"/>
  <c r="AY12" i="5" s="1"/>
  <c r="AQ12" i="5"/>
  <c r="AO12" i="5"/>
  <c r="AI12" i="5"/>
  <c r="AA12" i="5"/>
  <c r="Y12" i="5"/>
  <c r="T12" i="5"/>
  <c r="R12" i="5"/>
  <c r="N12" i="5"/>
  <c r="CK11" i="5"/>
  <c r="CE11" i="5"/>
  <c r="BW11" i="5"/>
  <c r="BY11" i="5" s="1"/>
  <c r="BQ11" i="5"/>
  <c r="BS11" i="5" s="1"/>
  <c r="BM11" i="5"/>
  <c r="CQ11" i="5" s="1"/>
  <c r="CR11" i="5" s="1"/>
  <c r="BG11" i="5"/>
  <c r="AW11" i="5"/>
  <c r="AY11" i="5" s="1"/>
  <c r="AO11" i="5"/>
  <c r="AQ11" i="5" s="1"/>
  <c r="AI11" i="5"/>
  <c r="Y11" i="5"/>
  <c r="AA11" i="5" s="1"/>
  <c r="T11" i="5"/>
  <c r="CO11" i="5" s="1"/>
  <c r="CT11" i="5" s="1"/>
  <c r="R11" i="5"/>
  <c r="N11" i="5"/>
  <c r="CK10" i="5"/>
  <c r="CE10" i="5"/>
  <c r="BW10" i="5"/>
  <c r="BY10" i="5" s="1"/>
  <c r="BQ10" i="5"/>
  <c r="BS10" i="5" s="1"/>
  <c r="BM10" i="5"/>
  <c r="BG10" i="5"/>
  <c r="AY10" i="5"/>
  <c r="AW10" i="5"/>
  <c r="AO10" i="5"/>
  <c r="AQ10" i="5" s="1"/>
  <c r="AI10" i="5"/>
  <c r="Y10" i="5"/>
  <c r="AA10" i="5" s="1"/>
  <c r="R10" i="5"/>
  <c r="T10" i="5" s="1"/>
  <c r="CO10" i="5" s="1"/>
  <c r="N10" i="5"/>
  <c r="CK9" i="5"/>
  <c r="CE9" i="5"/>
  <c r="BY9" i="5"/>
  <c r="BW9" i="5"/>
  <c r="BQ9" i="5"/>
  <c r="BS9" i="5" s="1"/>
  <c r="BM9" i="5"/>
  <c r="BG9" i="5"/>
  <c r="AY9" i="5"/>
  <c r="AW9" i="5"/>
  <c r="AQ9" i="5"/>
  <c r="AO9" i="5"/>
  <c r="AI9" i="5"/>
  <c r="AA9" i="5"/>
  <c r="Y9" i="5"/>
  <c r="T9" i="5"/>
  <c r="CO9" i="5" s="1"/>
  <c r="R9" i="5"/>
  <c r="N9" i="5"/>
  <c r="CK8" i="5"/>
  <c r="CE8" i="5"/>
  <c r="BW8" i="5"/>
  <c r="BY8" i="5" s="1"/>
  <c r="BS8" i="5"/>
  <c r="BQ8" i="5"/>
  <c r="BM8" i="5"/>
  <c r="BG8" i="5"/>
  <c r="AW8" i="5"/>
  <c r="AY8" i="5" s="1"/>
  <c r="AO8" i="5"/>
  <c r="AQ8" i="5" s="1"/>
  <c r="AI8" i="5"/>
  <c r="AA8" i="5"/>
  <c r="Y8" i="5"/>
  <c r="T8" i="5"/>
  <c r="R8" i="5"/>
  <c r="N8" i="5"/>
  <c r="CK7" i="5"/>
  <c r="CE7" i="5"/>
  <c r="BW7" i="5"/>
  <c r="BY7" i="5" s="1"/>
  <c r="BQ7" i="5"/>
  <c r="BS7" i="5" s="1"/>
  <c r="CQ7" i="5" s="1"/>
  <c r="CR7" i="5" s="1"/>
  <c r="BM7" i="5"/>
  <c r="BG7" i="5"/>
  <c r="AW7" i="5"/>
  <c r="AY7" i="5" s="1"/>
  <c r="AO7" i="5"/>
  <c r="AQ7" i="5" s="1"/>
  <c r="AI7" i="5"/>
  <c r="Y7" i="5"/>
  <c r="AA7" i="5" s="1"/>
  <c r="T7" i="5"/>
  <c r="CO7" i="5" s="1"/>
  <c r="CT7" i="5" s="1"/>
  <c r="R7" i="5"/>
  <c r="N7" i="5"/>
  <c r="CK6" i="5"/>
  <c r="CE6" i="5"/>
  <c r="BW6" i="5"/>
  <c r="BY6" i="5" s="1"/>
  <c r="BQ6" i="5"/>
  <c r="BS6" i="5" s="1"/>
  <c r="BM6" i="5"/>
  <c r="BG6" i="5"/>
  <c r="AY6" i="5"/>
  <c r="AW6" i="5"/>
  <c r="AO6" i="5"/>
  <c r="AQ6" i="5" s="1"/>
  <c r="AI6" i="5"/>
  <c r="Y6" i="5"/>
  <c r="AA6" i="5" s="1"/>
  <c r="R6" i="5"/>
  <c r="T6" i="5" s="1"/>
  <c r="CO6" i="5" s="1"/>
  <c r="N6" i="5"/>
  <c r="CK5" i="5"/>
  <c r="CE5" i="5"/>
  <c r="BY5" i="5"/>
  <c r="BW5" i="5"/>
  <c r="BQ5" i="5"/>
  <c r="BS5" i="5" s="1"/>
  <c r="BM5" i="5"/>
  <c r="BG5" i="5"/>
  <c r="AY5" i="5"/>
  <c r="AW5" i="5"/>
  <c r="AQ5" i="5"/>
  <c r="AO5" i="5"/>
  <c r="AI5" i="5"/>
  <c r="AA5" i="5"/>
  <c r="Y5" i="5"/>
  <c r="T5" i="5"/>
  <c r="CO5" i="5" s="1"/>
  <c r="R5" i="5"/>
  <c r="N5" i="5"/>
  <c r="CK4" i="5"/>
  <c r="CE4" i="5"/>
  <c r="BW4" i="5"/>
  <c r="BY4" i="5" s="1"/>
  <c r="BS4" i="5"/>
  <c r="BQ4" i="5"/>
  <c r="BM4" i="5"/>
  <c r="BG4" i="5"/>
  <c r="AW4" i="5"/>
  <c r="AY4" i="5" s="1"/>
  <c r="AO4" i="5"/>
  <c r="AQ4" i="5" s="1"/>
  <c r="AI4" i="5"/>
  <c r="AA4" i="5"/>
  <c r="Y4" i="5"/>
  <c r="T4" i="5"/>
  <c r="R4" i="5"/>
  <c r="N4" i="5"/>
  <c r="CQ3" i="5"/>
  <c r="CR3" i="5" s="1"/>
  <c r="CK3" i="5"/>
  <c r="CE3" i="5"/>
  <c r="BW3" i="5"/>
  <c r="BY3" i="5" s="1"/>
  <c r="BQ3" i="5"/>
  <c r="BS3" i="5" s="1"/>
  <c r="BM3" i="5"/>
  <c r="BG3" i="5"/>
  <c r="AW3" i="5"/>
  <c r="AY3" i="5" s="1"/>
  <c r="AO3" i="5"/>
  <c r="AQ3" i="5" s="1"/>
  <c r="AI3" i="5"/>
  <c r="Y3" i="5"/>
  <c r="AA3" i="5" s="1"/>
  <c r="T3" i="5"/>
  <c r="R3" i="5"/>
  <c r="N3" i="5"/>
  <c r="AD96" i="32" l="1"/>
  <c r="AE96" i="32" s="1"/>
  <c r="CT75" i="5"/>
  <c r="CO81" i="5"/>
  <c r="CT81" i="5" s="1"/>
  <c r="CO82" i="5"/>
  <c r="CT82" i="5" s="1"/>
  <c r="CT85" i="5"/>
  <c r="CQ10" i="5"/>
  <c r="CR10" i="5" s="1"/>
  <c r="CT10" i="5" s="1"/>
  <c r="CO71" i="5"/>
  <c r="CT71" i="5" s="1"/>
  <c r="CT9" i="5"/>
  <c r="CQ15" i="5"/>
  <c r="CR15" i="5" s="1"/>
  <c r="CT54" i="5"/>
  <c r="CO102" i="5"/>
  <c r="CT102" i="5" s="1"/>
  <c r="CQ106" i="5"/>
  <c r="CR106" i="5" s="1"/>
  <c r="CT106" i="5" s="1"/>
  <c r="CT49" i="5"/>
  <c r="CO51" i="5"/>
  <c r="CT51" i="5" s="1"/>
  <c r="CO53" i="5"/>
  <c r="CT53" i="5" s="1"/>
  <c r="CO21" i="5"/>
  <c r="CT21" i="5" s="1"/>
  <c r="CQ41" i="5"/>
  <c r="CR41" i="5" s="1"/>
  <c r="CT41" i="5" s="1"/>
  <c r="CO96" i="5"/>
  <c r="CT96" i="5" s="1"/>
  <c r="CQ103" i="5"/>
  <c r="CR103" i="5" s="1"/>
  <c r="CT125" i="5"/>
  <c r="CT128" i="5"/>
  <c r="CO186" i="5"/>
  <c r="CO33" i="5"/>
  <c r="CO42" i="5"/>
  <c r="CT42" i="5" s="1"/>
  <c r="CT5" i="5"/>
  <c r="CQ6" i="5"/>
  <c r="CR6" i="5" s="1"/>
  <c r="CT6" i="5" s="1"/>
  <c r="CQ81" i="5"/>
  <c r="CR81" i="5" s="1"/>
  <c r="CQ82" i="5"/>
  <c r="CR82" i="5" s="1"/>
  <c r="CT86" i="5"/>
  <c r="CT90" i="5"/>
  <c r="CO121" i="5"/>
  <c r="CQ121" i="5"/>
  <c r="CR121" i="5" s="1"/>
  <c r="CT124" i="5"/>
  <c r="CQ135" i="5"/>
  <c r="CR135" i="5" s="1"/>
  <c r="CT202" i="5"/>
  <c r="CO3" i="5"/>
  <c r="CT3" i="5" s="1"/>
  <c r="CQ17" i="5"/>
  <c r="CR17" i="5" s="1"/>
  <c r="CO25" i="5"/>
  <c r="CQ25" i="5"/>
  <c r="CR25" i="5" s="1"/>
  <c r="CO112" i="5"/>
  <c r="CT133" i="5"/>
  <c r="CQ186" i="5"/>
  <c r="CR186" i="5" s="1"/>
  <c r="CT171" i="5"/>
  <c r="CT206" i="5"/>
  <c r="CO13" i="5"/>
  <c r="CT13" i="5" s="1"/>
  <c r="CQ60" i="5"/>
  <c r="CR60" i="5" s="1"/>
  <c r="CT63" i="5"/>
  <c r="CQ63" i="5"/>
  <c r="CR63" i="5" s="1"/>
  <c r="CT97" i="5"/>
  <c r="CQ113" i="5"/>
  <c r="CR113" i="5" s="1"/>
  <c r="CQ16" i="5"/>
  <c r="CR16" i="5" s="1"/>
  <c r="CT16" i="5" s="1"/>
  <c r="CO17" i="5"/>
  <c r="CT17" i="5" s="1"/>
  <c r="CT55" i="5"/>
  <c r="CQ125" i="5"/>
  <c r="CR125" i="5" s="1"/>
  <c r="CQ5" i="5"/>
  <c r="CR5" i="5" s="1"/>
  <c r="CQ9" i="5"/>
  <c r="CR9" i="5" s="1"/>
  <c r="CO22" i="5"/>
  <c r="CO23" i="5"/>
  <c r="CT23" i="5" s="1"/>
  <c r="CO24" i="5"/>
  <c r="CO31" i="5"/>
  <c r="CT31" i="5" s="1"/>
  <c r="CO34" i="5"/>
  <c r="CO37" i="5"/>
  <c r="CO47" i="5"/>
  <c r="CT47" i="5" s="1"/>
  <c r="CQ47" i="5"/>
  <c r="CR47" i="5" s="1"/>
  <c r="CO61" i="5"/>
  <c r="CT61" i="5" s="1"/>
  <c r="CO67" i="5"/>
  <c r="CQ67" i="5"/>
  <c r="CR67" i="5" s="1"/>
  <c r="CT93" i="5"/>
  <c r="CO107" i="5"/>
  <c r="CO134" i="5"/>
  <c r="CT134" i="5" s="1"/>
  <c r="CO177" i="5"/>
  <c r="CO188" i="5"/>
  <c r="CT188" i="5" s="1"/>
  <c r="CT240" i="5"/>
  <c r="CQ4" i="5"/>
  <c r="CR4" i="5" s="1"/>
  <c r="CQ8" i="5"/>
  <c r="CR8" i="5" s="1"/>
  <c r="CQ12" i="5"/>
  <c r="CR12" i="5" s="1"/>
  <c r="CO20" i="5"/>
  <c r="CT20" i="5" s="1"/>
  <c r="CT50" i="5"/>
  <c r="CO58" i="5"/>
  <c r="CT58" i="5" s="1"/>
  <c r="CO65" i="5"/>
  <c r="CT65" i="5" s="1"/>
  <c r="CQ65" i="5"/>
  <c r="CR65" i="5" s="1"/>
  <c r="CO70" i="5"/>
  <c r="CT108" i="5"/>
  <c r="CQ112" i="5"/>
  <c r="CR112" i="5" s="1"/>
  <c r="CQ115" i="5"/>
  <c r="CR115" i="5" s="1"/>
  <c r="CQ130" i="5"/>
  <c r="CR130" i="5" s="1"/>
  <c r="CT142" i="5"/>
  <c r="CT180" i="5"/>
  <c r="CO4" i="5"/>
  <c r="CT4" i="5" s="1"/>
  <c r="CO8" i="5"/>
  <c r="CT8" i="5" s="1"/>
  <c r="CO12" i="5"/>
  <c r="CT12" i="5" s="1"/>
  <c r="CQ32" i="5"/>
  <c r="CR32" i="5" s="1"/>
  <c r="CT32" i="5" s="1"/>
  <c r="CQ34" i="5"/>
  <c r="CR34" i="5" s="1"/>
  <c r="CQ35" i="5"/>
  <c r="CR35" i="5" s="1"/>
  <c r="CQ37" i="5"/>
  <c r="CR37" i="5" s="1"/>
  <c r="CQ38" i="5"/>
  <c r="CR38" i="5" s="1"/>
  <c r="CO77" i="5"/>
  <c r="CT77" i="5" s="1"/>
  <c r="CQ78" i="5"/>
  <c r="CR78" i="5" s="1"/>
  <c r="CT78" i="5" s="1"/>
  <c r="CQ88" i="5"/>
  <c r="CR88" i="5" s="1"/>
  <c r="CO95" i="5"/>
  <c r="CT95" i="5" s="1"/>
  <c r="CQ97" i="5"/>
  <c r="CR97" i="5" s="1"/>
  <c r="CO117" i="5"/>
  <c r="CT117" i="5" s="1"/>
  <c r="CQ117" i="5"/>
  <c r="CR117" i="5" s="1"/>
  <c r="CQ123" i="5"/>
  <c r="CR123" i="5" s="1"/>
  <c r="CQ138" i="5"/>
  <c r="CR138" i="5" s="1"/>
  <c r="CT150" i="5"/>
  <c r="CO158" i="5"/>
  <c r="CT158" i="5" s="1"/>
  <c r="CQ22" i="5"/>
  <c r="CR22" i="5" s="1"/>
  <c r="CQ31" i="5"/>
  <c r="CR31" i="5" s="1"/>
  <c r="CQ33" i="5"/>
  <c r="CR33" i="5" s="1"/>
  <c r="CO35" i="5"/>
  <c r="CT35" i="5" s="1"/>
  <c r="CO38" i="5"/>
  <c r="CQ61" i="5"/>
  <c r="CR61" i="5" s="1"/>
  <c r="CO66" i="5"/>
  <c r="CT66" i="5" s="1"/>
  <c r="CQ76" i="5"/>
  <c r="CR76" i="5" s="1"/>
  <c r="CO88" i="5"/>
  <c r="CO91" i="5"/>
  <c r="CT91" i="5" s="1"/>
  <c r="CQ98" i="5"/>
  <c r="CR98" i="5" s="1"/>
  <c r="CO130" i="5"/>
  <c r="CT130" i="5" s="1"/>
  <c r="CO138" i="5"/>
  <c r="CQ169" i="5"/>
  <c r="CR169" i="5" s="1"/>
  <c r="CT199" i="5"/>
  <c r="CO27" i="5"/>
  <c r="CQ27" i="5"/>
  <c r="CR27" i="5" s="1"/>
  <c r="CO30" i="5"/>
  <c r="CT30" i="5" s="1"/>
  <c r="CO60" i="5"/>
  <c r="CT60" i="5" s="1"/>
  <c r="CO73" i="5"/>
  <c r="CT73" i="5" s="1"/>
  <c r="CQ73" i="5"/>
  <c r="CR73" i="5" s="1"/>
  <c r="CO76" i="5"/>
  <c r="CO84" i="5"/>
  <c r="CQ84" i="5"/>
  <c r="CR84" i="5" s="1"/>
  <c r="CO87" i="5"/>
  <c r="CT87" i="5" s="1"/>
  <c r="CQ87" i="5"/>
  <c r="CR87" i="5" s="1"/>
  <c r="CO94" i="5"/>
  <c r="CT94" i="5" s="1"/>
  <c r="CO101" i="5"/>
  <c r="CT101" i="5" s="1"/>
  <c r="CQ101" i="5"/>
  <c r="CR101" i="5" s="1"/>
  <c r="CO116" i="5"/>
  <c r="CQ120" i="5"/>
  <c r="CR120" i="5" s="1"/>
  <c r="CT120" i="5" s="1"/>
  <c r="CT132" i="5"/>
  <c r="CO137" i="5"/>
  <c r="CT137" i="5" s="1"/>
  <c r="CO140" i="5"/>
  <c r="CT140" i="5" s="1"/>
  <c r="CT192" i="5"/>
  <c r="CT193" i="5"/>
  <c r="CQ240" i="5"/>
  <c r="CR240" i="5" s="1"/>
  <c r="CO36" i="5"/>
  <c r="CQ36" i="5"/>
  <c r="CR36" i="5" s="1"/>
  <c r="CO39" i="5"/>
  <c r="CT39" i="5" s="1"/>
  <c r="CQ39" i="5"/>
  <c r="CR39" i="5" s="1"/>
  <c r="CO52" i="5"/>
  <c r="CQ52" i="5"/>
  <c r="CR52" i="5" s="1"/>
  <c r="CQ66" i="5"/>
  <c r="CR66" i="5" s="1"/>
  <c r="CO103" i="5"/>
  <c r="CO105" i="5"/>
  <c r="CQ114" i="5"/>
  <c r="CR114" i="5" s="1"/>
  <c r="CT114" i="5" s="1"/>
  <c r="CO118" i="5"/>
  <c r="CT118" i="5" s="1"/>
  <c r="CQ118" i="5"/>
  <c r="CR118" i="5" s="1"/>
  <c r="CO119" i="5"/>
  <c r="CT119" i="5" s="1"/>
  <c r="CO122" i="5"/>
  <c r="CT122" i="5" s="1"/>
  <c r="CO126" i="5"/>
  <c r="CQ126" i="5"/>
  <c r="CR126" i="5" s="1"/>
  <c r="CO127" i="5"/>
  <c r="CT127" i="5" s="1"/>
  <c r="CO15" i="5"/>
  <c r="CT15" i="5" s="1"/>
  <c r="CQ24" i="5"/>
  <c r="CR24" i="5" s="1"/>
  <c r="CO26" i="5"/>
  <c r="CT26" i="5" s="1"/>
  <c r="CO69" i="5"/>
  <c r="CQ69" i="5"/>
  <c r="CR69" i="5" s="1"/>
  <c r="CO72" i="5"/>
  <c r="CT72" i="5" s="1"/>
  <c r="CO80" i="5"/>
  <c r="CQ80" i="5"/>
  <c r="CR80" i="5" s="1"/>
  <c r="CO83" i="5"/>
  <c r="CQ83" i="5"/>
  <c r="CR83" i="5" s="1"/>
  <c r="CO100" i="5"/>
  <c r="CQ100" i="5"/>
  <c r="CR100" i="5" s="1"/>
  <c r="CO115" i="5"/>
  <c r="CT115" i="5" s="1"/>
  <c r="CQ134" i="5"/>
  <c r="CR134" i="5" s="1"/>
  <c r="CQ142" i="5"/>
  <c r="CR142" i="5" s="1"/>
  <c r="CQ193" i="5"/>
  <c r="CR193" i="5" s="1"/>
  <c r="CO194" i="5"/>
  <c r="CT194" i="5" s="1"/>
  <c r="CO40" i="5"/>
  <c r="CQ40" i="5"/>
  <c r="CR40" i="5" s="1"/>
  <c r="CO43" i="5"/>
  <c r="CT43" i="5" s="1"/>
  <c r="CQ43" i="5"/>
  <c r="CR43" i="5" s="1"/>
  <c r="CQ70" i="5"/>
  <c r="CR70" i="5" s="1"/>
  <c r="CT92" i="5"/>
  <c r="CQ107" i="5"/>
  <c r="CR107" i="5" s="1"/>
  <c r="CO113" i="5"/>
  <c r="CT113" i="5" s="1"/>
  <c r="CQ116" i="5"/>
  <c r="CR116" i="5" s="1"/>
  <c r="CQ146" i="5"/>
  <c r="CR146" i="5" s="1"/>
  <c r="CT146" i="5" s="1"/>
  <c r="CQ149" i="5"/>
  <c r="CR149" i="5" s="1"/>
  <c r="CQ109" i="5"/>
  <c r="CR109" i="5" s="1"/>
  <c r="CT109" i="5" s="1"/>
  <c r="CO111" i="5"/>
  <c r="CT111" i="5" s="1"/>
  <c r="CQ133" i="5"/>
  <c r="CR133" i="5" s="1"/>
  <c r="CO135" i="5"/>
  <c r="CT135" i="5" s="1"/>
  <c r="CO155" i="5"/>
  <c r="CT155" i="5" s="1"/>
  <c r="CO156" i="5"/>
  <c r="CO161" i="5"/>
  <c r="CT161" i="5" s="1"/>
  <c r="CT175" i="5"/>
  <c r="CO123" i="5"/>
  <c r="CQ124" i="5"/>
  <c r="CR124" i="5" s="1"/>
  <c r="CO129" i="5"/>
  <c r="CT129" i="5" s="1"/>
  <c r="CO131" i="5"/>
  <c r="CT131" i="5" s="1"/>
  <c r="CO144" i="5"/>
  <c r="CT144" i="5" s="1"/>
  <c r="CQ150" i="5"/>
  <c r="CR150" i="5" s="1"/>
  <c r="CQ151" i="5"/>
  <c r="CR151" i="5" s="1"/>
  <c r="CT151" i="5" s="1"/>
  <c r="CQ153" i="5"/>
  <c r="CR153" i="5" s="1"/>
  <c r="CQ162" i="5"/>
  <c r="CR162" i="5" s="1"/>
  <c r="CQ163" i="5"/>
  <c r="CR163" i="5" s="1"/>
  <c r="CO166" i="5"/>
  <c r="CT166" i="5" s="1"/>
  <c r="CQ172" i="5"/>
  <c r="CR172" i="5" s="1"/>
  <c r="CT172" i="5" s="1"/>
  <c r="CQ174" i="5"/>
  <c r="CR174" i="5" s="1"/>
  <c r="CQ178" i="5"/>
  <c r="CR178" i="5" s="1"/>
  <c r="CQ180" i="5"/>
  <c r="CR180" i="5" s="1"/>
  <c r="CQ181" i="5"/>
  <c r="CR181" i="5" s="1"/>
  <c r="CO204" i="5"/>
  <c r="CO98" i="5"/>
  <c r="CT98" i="5" s="1"/>
  <c r="CQ105" i="5"/>
  <c r="CR105" i="5" s="1"/>
  <c r="CO148" i="5"/>
  <c r="CT148" i="5" s="1"/>
  <c r="CQ148" i="5"/>
  <c r="CR148" i="5" s="1"/>
  <c r="CQ154" i="5"/>
  <c r="CR154" i="5" s="1"/>
  <c r="CT154" i="5" s="1"/>
  <c r="CQ159" i="5"/>
  <c r="CR159" i="5" s="1"/>
  <c r="CO160" i="5"/>
  <c r="CT160" i="5" s="1"/>
  <c r="CO164" i="5"/>
  <c r="CT164" i="5" s="1"/>
  <c r="CO169" i="5"/>
  <c r="CT169" i="5" s="1"/>
  <c r="CQ175" i="5"/>
  <c r="CR175" i="5" s="1"/>
  <c r="CO176" i="5"/>
  <c r="CT176" i="5" s="1"/>
  <c r="CO179" i="5"/>
  <c r="CT179" i="5" s="1"/>
  <c r="CO196" i="5"/>
  <c r="CT196" i="5" s="1"/>
  <c r="CT232" i="5"/>
  <c r="CO152" i="5"/>
  <c r="CQ152" i="5"/>
  <c r="CR152" i="5" s="1"/>
  <c r="CQ158" i="5"/>
  <c r="CR158" i="5" s="1"/>
  <c r="CO159" i="5"/>
  <c r="CO163" i="5"/>
  <c r="CT163" i="5" s="1"/>
  <c r="CO173" i="5"/>
  <c r="CT173" i="5" s="1"/>
  <c r="CO178" i="5"/>
  <c r="CT178" i="5" s="1"/>
  <c r="CO216" i="5"/>
  <c r="CT216" i="5" s="1"/>
  <c r="CO222" i="5"/>
  <c r="CQ235" i="5"/>
  <c r="CR235" i="5" s="1"/>
  <c r="CQ245" i="5"/>
  <c r="CR245" i="5" s="1"/>
  <c r="CQ246" i="5"/>
  <c r="CR246" i="5" s="1"/>
  <c r="CT246" i="5" s="1"/>
  <c r="CO249" i="5"/>
  <c r="CT249" i="5" s="1"/>
  <c r="CT265" i="5"/>
  <c r="CO268" i="5"/>
  <c r="CT268" i="5" s="1"/>
  <c r="CQ276" i="5"/>
  <c r="CR276" i="5" s="1"/>
  <c r="CT276" i="5" s="1"/>
  <c r="CQ183" i="5"/>
  <c r="CR183" i="5" s="1"/>
  <c r="CO187" i="5"/>
  <c r="CO195" i="5"/>
  <c r="CQ195" i="5"/>
  <c r="CR195" i="5" s="1"/>
  <c r="CQ209" i="5"/>
  <c r="CR209" i="5" s="1"/>
  <c r="CT209" i="5" s="1"/>
  <c r="CT210" i="5"/>
  <c r="CT242" i="5"/>
  <c r="CO165" i="5"/>
  <c r="CT165" i="5" s="1"/>
  <c r="CQ166" i="5"/>
  <c r="CR166" i="5" s="1"/>
  <c r="CQ171" i="5"/>
  <c r="CR171" i="5" s="1"/>
  <c r="CQ177" i="5"/>
  <c r="CR177" i="5" s="1"/>
  <c r="CO181" i="5"/>
  <c r="CO183" i="5"/>
  <c r="CT183" i="5" s="1"/>
  <c r="CQ187" i="5"/>
  <c r="CR187" i="5" s="1"/>
  <c r="CO191" i="5"/>
  <c r="CQ201" i="5"/>
  <c r="CR201" i="5" s="1"/>
  <c r="CQ202" i="5"/>
  <c r="CR202" i="5" s="1"/>
  <c r="CQ203" i="5"/>
  <c r="CR203" i="5" s="1"/>
  <c r="CQ204" i="5"/>
  <c r="CR204" i="5" s="1"/>
  <c r="CQ205" i="5"/>
  <c r="CR205" i="5" s="1"/>
  <c r="CQ228" i="5"/>
  <c r="CR228" i="5" s="1"/>
  <c r="CT228" i="5" s="1"/>
  <c r="CO245" i="5"/>
  <c r="CO267" i="5"/>
  <c r="CT267" i="5" s="1"/>
  <c r="CO145" i="5"/>
  <c r="CT145" i="5" s="1"/>
  <c r="CO149" i="5"/>
  <c r="CO153" i="5"/>
  <c r="CQ156" i="5"/>
  <c r="CR156" i="5" s="1"/>
  <c r="CO162" i="5"/>
  <c r="CT162" i="5" s="1"/>
  <c r="CQ189" i="5"/>
  <c r="CR189" i="5" s="1"/>
  <c r="CT189" i="5" s="1"/>
  <c r="CO198" i="5"/>
  <c r="CO201" i="5"/>
  <c r="CQ207" i="5"/>
  <c r="CR207" i="5" s="1"/>
  <c r="CO250" i="5"/>
  <c r="CT250" i="5" s="1"/>
  <c r="CO205" i="5"/>
  <c r="CO207" i="5"/>
  <c r="CT208" i="5"/>
  <c r="CT237" i="5"/>
  <c r="CQ259" i="5"/>
  <c r="CR259" i="5" s="1"/>
  <c r="CT259" i="5" s="1"/>
  <c r="CO278" i="5"/>
  <c r="CO174" i="5"/>
  <c r="CT174" i="5" s="1"/>
  <c r="CQ200" i="5"/>
  <c r="CR200" i="5" s="1"/>
  <c r="CQ249" i="5"/>
  <c r="CR249" i="5" s="1"/>
  <c r="CT253" i="5"/>
  <c r="CQ198" i="5"/>
  <c r="CR198" i="5" s="1"/>
  <c r="CO200" i="5"/>
  <c r="CT200" i="5" s="1"/>
  <c r="CO251" i="5"/>
  <c r="CO197" i="5"/>
  <c r="CT197" i="5" s="1"/>
  <c r="CO203" i="5"/>
  <c r="CQ206" i="5"/>
  <c r="CR206" i="5" s="1"/>
  <c r="CO211" i="5"/>
  <c r="CT211" i="5" s="1"/>
  <c r="CO226" i="5"/>
  <c r="CT226" i="5" s="1"/>
  <c r="CO230" i="5"/>
  <c r="CT230" i="5" s="1"/>
  <c r="CO233" i="5"/>
  <c r="CT233" i="5" s="1"/>
  <c r="CO243" i="5"/>
  <c r="CT243" i="5" s="1"/>
  <c r="CQ252" i="5"/>
  <c r="CR252" i="5" s="1"/>
  <c r="CO219" i="5"/>
  <c r="CO231" i="5"/>
  <c r="CT231" i="5" s="1"/>
  <c r="CT244" i="5"/>
  <c r="CQ255" i="5"/>
  <c r="CR255" i="5" s="1"/>
  <c r="CO258" i="5"/>
  <c r="CT258" i="5" s="1"/>
  <c r="CQ263" i="5"/>
  <c r="CR263" i="5" s="1"/>
  <c r="CT275" i="5"/>
  <c r="CQ275" i="5"/>
  <c r="CR275" i="5" s="1"/>
  <c r="CQ179" i="5"/>
  <c r="CR179" i="5" s="1"/>
  <c r="CQ191" i="5"/>
  <c r="CR191" i="5" s="1"/>
  <c r="CO252" i="5"/>
  <c r="CO257" i="5"/>
  <c r="CT257" i="5" s="1"/>
  <c r="CO269" i="5"/>
  <c r="CT269" i="5" s="1"/>
  <c r="CQ219" i="5"/>
  <c r="CR219" i="5" s="1"/>
  <c r="CQ223" i="5"/>
  <c r="CR223" i="5" s="1"/>
  <c r="CT223" i="5" s="1"/>
  <c r="CO239" i="5"/>
  <c r="CQ243" i="5"/>
  <c r="CR243" i="5" s="1"/>
  <c r="CQ251" i="5"/>
  <c r="CR251" i="5" s="1"/>
  <c r="CO264" i="5"/>
  <c r="CT264" i="5" s="1"/>
  <c r="CO266" i="5"/>
  <c r="CT266" i="5" s="1"/>
  <c r="CQ268" i="5"/>
  <c r="CR268" i="5" s="1"/>
  <c r="CQ280" i="5"/>
  <c r="CR280" i="5" s="1"/>
  <c r="CO212" i="5"/>
  <c r="CT212" i="5" s="1"/>
  <c r="CQ222" i="5"/>
  <c r="CR222" i="5" s="1"/>
  <c r="CO224" i="5"/>
  <c r="CQ224" i="5"/>
  <c r="CR224" i="5" s="1"/>
  <c r="CQ264" i="5"/>
  <c r="CR264" i="5" s="1"/>
  <c r="CO270" i="5"/>
  <c r="CT270" i="5" s="1"/>
  <c r="CT271" i="5"/>
  <c r="CO272" i="5"/>
  <c r="CT272" i="5" s="1"/>
  <c r="CO282" i="5"/>
  <c r="CT282" i="5" s="1"/>
  <c r="CQ212" i="5"/>
  <c r="CR212" i="5" s="1"/>
  <c r="CO215" i="5"/>
  <c r="CO218" i="5"/>
  <c r="CT218" i="5" s="1"/>
  <c r="CO221" i="5"/>
  <c r="CT221" i="5" s="1"/>
  <c r="CO225" i="5"/>
  <c r="CT225" i="5" s="1"/>
  <c r="CQ248" i="5"/>
  <c r="CR248" i="5" s="1"/>
  <c r="CT248" i="5" s="1"/>
  <c r="CO260" i="5"/>
  <c r="CQ260" i="5"/>
  <c r="CR260" i="5" s="1"/>
  <c r="CO281" i="5"/>
  <c r="CT281" i="5" s="1"/>
  <c r="CQ229" i="5"/>
  <c r="CR229" i="5" s="1"/>
  <c r="CO235" i="5"/>
  <c r="CT235" i="5" s="1"/>
  <c r="CO255" i="5"/>
  <c r="CQ274" i="5"/>
  <c r="CR274" i="5" s="1"/>
  <c r="CT274" i="5" s="1"/>
  <c r="CO284" i="5"/>
  <c r="CT284" i="5" s="1"/>
  <c r="CQ266" i="5"/>
  <c r="CR266" i="5" s="1"/>
  <c r="CO285" i="5"/>
  <c r="CT285" i="5" s="1"/>
  <c r="CO254" i="5"/>
  <c r="CT254" i="5" s="1"/>
  <c r="CQ282" i="5"/>
  <c r="CR282" i="5" s="1"/>
  <c r="CQ215" i="5"/>
  <c r="CR215" i="5" s="1"/>
  <c r="CO217" i="5"/>
  <c r="CT217" i="5" s="1"/>
  <c r="CO234" i="5"/>
  <c r="CT234" i="5" s="1"/>
  <c r="CO263" i="5"/>
  <c r="CQ270" i="5"/>
  <c r="CR270" i="5" s="1"/>
  <c r="CO229" i="5"/>
  <c r="CT229" i="5" s="1"/>
  <c r="CQ239" i="5"/>
  <c r="CR239" i="5" s="1"/>
  <c r="CO241" i="5"/>
  <c r="CT241" i="5" s="1"/>
  <c r="CQ257" i="5"/>
  <c r="CR257" i="5" s="1"/>
  <c r="CQ278" i="5"/>
  <c r="CR278" i="5" s="1"/>
  <c r="CO280" i="5"/>
  <c r="CT280" i="5" s="1"/>
  <c r="CQ285" i="5"/>
  <c r="CR285" i="5" s="1"/>
  <c r="CT278" i="5" l="1"/>
  <c r="CT69" i="5"/>
  <c r="CT52" i="5"/>
  <c r="CT260" i="5"/>
  <c r="CT251" i="5"/>
  <c r="CT201" i="5"/>
  <c r="CT191" i="5"/>
  <c r="CT24" i="5"/>
  <c r="CT263" i="5"/>
  <c r="CT198" i="5"/>
  <c r="CT245" i="5"/>
  <c r="CT156" i="5"/>
  <c r="CT40" i="5"/>
  <c r="CT100" i="5"/>
  <c r="CT67" i="5"/>
  <c r="CT121" i="5"/>
  <c r="CT22" i="5"/>
  <c r="CT181" i="5"/>
  <c r="CT83" i="5"/>
  <c r="CT27" i="5"/>
  <c r="CT112" i="5"/>
  <c r="CT252" i="5"/>
  <c r="CT177" i="5"/>
  <c r="CT84" i="5"/>
  <c r="CT70" i="5"/>
  <c r="CT37" i="5"/>
  <c r="CT25" i="5"/>
  <c r="CT33" i="5"/>
  <c r="CT186" i="5"/>
  <c r="CT88" i="5"/>
  <c r="CT255" i="5"/>
  <c r="CT159" i="5"/>
  <c r="CT207" i="5"/>
  <c r="CT195" i="5"/>
  <c r="CT105" i="5"/>
  <c r="CT36" i="5"/>
  <c r="CT215" i="5"/>
  <c r="CT224" i="5"/>
  <c r="CT219" i="5"/>
  <c r="CT205" i="5"/>
  <c r="CT153" i="5"/>
  <c r="CT187" i="5"/>
  <c r="CT80" i="5"/>
  <c r="CT103" i="5"/>
  <c r="CT116" i="5"/>
  <c r="CT76" i="5"/>
  <c r="CT239" i="5"/>
  <c r="CT203" i="5"/>
  <c r="CT149" i="5"/>
  <c r="CT222" i="5"/>
  <c r="CT152" i="5"/>
  <c r="CT204" i="5"/>
  <c r="CT123" i="5"/>
  <c r="CT126" i="5"/>
  <c r="CT138" i="5"/>
  <c r="CT38" i="5"/>
  <c r="CT107" i="5"/>
  <c r="CT34" i="5"/>
</calcChain>
</file>

<file path=xl/sharedStrings.xml><?xml version="1.0" encoding="utf-8"?>
<sst xmlns="http://schemas.openxmlformats.org/spreadsheetml/2006/main" count="10779" uniqueCount="1636">
  <si>
    <t>Max</t>
  </si>
  <si>
    <t>Size</t>
  </si>
  <si>
    <t xml:space="preserve">Trophic </t>
  </si>
  <si>
    <t>Level</t>
  </si>
  <si>
    <t>Breeding</t>
  </si>
  <si>
    <t>Strategy</t>
  </si>
  <si>
    <t>Fecundity</t>
  </si>
  <si>
    <t xml:space="preserve">Pelagic Larval </t>
  </si>
  <si>
    <t>Duration</t>
  </si>
  <si>
    <t>Volume in trade</t>
  </si>
  <si>
    <t>Cyanide</t>
  </si>
  <si>
    <t>Use</t>
  </si>
  <si>
    <t>Encounterability Depth</t>
  </si>
  <si>
    <t>Aquarium</t>
  </si>
  <si>
    <t>Suitability</t>
  </si>
  <si>
    <t xml:space="preserve">Life cycle stage of harvest </t>
  </si>
  <si>
    <t>Species</t>
  </si>
  <si>
    <t>Genus</t>
  </si>
  <si>
    <t>Family</t>
  </si>
  <si>
    <t>IUCN Category</t>
  </si>
  <si>
    <t>Score</t>
  </si>
  <si>
    <t>Weighted max size score</t>
  </si>
  <si>
    <t>Sources (to be placed)</t>
  </si>
  <si>
    <t>Notes</t>
  </si>
  <si>
    <t>Trophic level with SE</t>
  </si>
  <si>
    <t>Trophic level</t>
  </si>
  <si>
    <t>Score (Based on trophic level without SE)</t>
  </si>
  <si>
    <t>Trophic level score weight (1)</t>
  </si>
  <si>
    <t>Weighted trophic level score</t>
  </si>
  <si>
    <t>Breeding strategy data</t>
  </si>
  <si>
    <t>Breeding Strategy Level</t>
  </si>
  <si>
    <t>Uncertainty score</t>
  </si>
  <si>
    <t>Breeding Strategy Score</t>
  </si>
  <si>
    <t>Breeding strategy score weight (1)</t>
  </si>
  <si>
    <t>Weighted breeding strategy score</t>
  </si>
  <si>
    <t>Sources</t>
  </si>
  <si>
    <t>Fecundity level</t>
  </si>
  <si>
    <t>Fecundity score weight (2)</t>
  </si>
  <si>
    <t>Weighted fecundity score</t>
  </si>
  <si>
    <t>PLD</t>
  </si>
  <si>
    <t>PLD Level</t>
  </si>
  <si>
    <t>PLD score weight (1)</t>
  </si>
  <si>
    <t>Weighted PLD score</t>
  </si>
  <si>
    <t xml:space="preserve">Sources </t>
  </si>
  <si>
    <t>VIT</t>
  </si>
  <si>
    <t>VIT orig score</t>
  </si>
  <si>
    <t>VIT score weight (2)</t>
  </si>
  <si>
    <t>VIT score scaled on productivity</t>
  </si>
  <si>
    <t>Weighted VIT score</t>
  </si>
  <si>
    <t>Eco Niche Score</t>
  </si>
  <si>
    <t>Eco Niche Wt</t>
  </si>
  <si>
    <t>Eco Niche Weighted score</t>
  </si>
  <si>
    <t>Local Geographi Distribution</t>
  </si>
  <si>
    <t>Source</t>
  </si>
  <si>
    <t>Local Geographic Distribution Score</t>
  </si>
  <si>
    <t>Local Geographi Distribution Wt</t>
  </si>
  <si>
    <t>Weighted Local Geographic Distribution Score</t>
  </si>
  <si>
    <t>Cyanide Use Data</t>
  </si>
  <si>
    <t>Cyanide Use Score</t>
  </si>
  <si>
    <t>Cyanide use score weight (1)</t>
  </si>
  <si>
    <t>Weighted cyanide use score</t>
  </si>
  <si>
    <t>Encounterability depth score</t>
  </si>
  <si>
    <t>Encounterability depth score weight (1)</t>
  </si>
  <si>
    <t>Weighted encounterability depth score</t>
  </si>
  <si>
    <t>Aquarium Suitability Data</t>
  </si>
  <si>
    <t>Aquarium Suitability Score</t>
  </si>
  <si>
    <t>Aquarium suitability score weight (1)</t>
  </si>
  <si>
    <t>Weighted aquarium suitability score</t>
  </si>
  <si>
    <t>Life cycle stage of harvest data</t>
  </si>
  <si>
    <t>Life cycle stage of harvest score</t>
  </si>
  <si>
    <t>Life cycle stage of harvest score weight (1)</t>
  </si>
  <si>
    <t xml:space="preserve">Weighted life cycle stage of harvest score </t>
  </si>
  <si>
    <t>* Scored by Alice (all others scored by both Andy and Alice</t>
  </si>
  <si>
    <t>Ave Local density  score</t>
  </si>
  <si>
    <t>Ave local density wt</t>
  </si>
  <si>
    <t>Weighted Ave local density score</t>
  </si>
  <si>
    <t>Productivity</t>
  </si>
  <si>
    <t>log Susceptibility</t>
  </si>
  <si>
    <t xml:space="preserve">Susceptibility </t>
  </si>
  <si>
    <t>Vulnerability</t>
  </si>
  <si>
    <t>Chromis viridis</t>
  </si>
  <si>
    <t>Chromis</t>
  </si>
  <si>
    <t>viridis</t>
  </si>
  <si>
    <t>Pomacentridae</t>
  </si>
  <si>
    <t>LC</t>
  </si>
  <si>
    <t>49, 48, 1</t>
  </si>
  <si>
    <t>2.9 ±0.1</t>
  </si>
  <si>
    <t>Oviparous, distinct pairing during breeding (Ref. 205). Eggs are demersal and adhere to the substrate (Ref. 205). Males guard and aerate the eggs (Ref. 205).</t>
  </si>
  <si>
    <t>SL</t>
  </si>
  <si>
    <t>Demersal spawner with high parental care</t>
  </si>
  <si>
    <t>No</t>
  </si>
  <si>
    <t>10,45,46</t>
  </si>
  <si>
    <t>2,3,4</t>
  </si>
  <si>
    <t>Chrysiptera parasema</t>
  </si>
  <si>
    <t>Chrysiptera</t>
  </si>
  <si>
    <t>parasema</t>
  </si>
  <si>
    <t>49, 52, 1</t>
  </si>
  <si>
    <t>3.4±0.45</t>
  </si>
  <si>
    <t>Olivotto et al.</t>
  </si>
  <si>
    <t>10,45,46,52</t>
  </si>
  <si>
    <t>Dascyllus aruanus</t>
  </si>
  <si>
    <t>Dascyllus</t>
  </si>
  <si>
    <t>aruanus</t>
  </si>
  <si>
    <t>49, 48, 52, 1</t>
  </si>
  <si>
    <t>3.3±0.42</t>
  </si>
  <si>
    <t>Male selects and protects the nest; does the courtship `dance' about 1 m above the nest and escorts the attracted female to the nest site where spawning ensues (Ref. 33146). Oviparous, distinct pairing during breeding (Ref. 205). Eggs are demersal and adhere to the substrate (Ref. 205). Also Ref. 103751.</t>
  </si>
  <si>
    <t>2,3</t>
  </si>
  <si>
    <t>Nemateleotris magnifica</t>
  </si>
  <si>
    <t>Nemateleotris</t>
  </si>
  <si>
    <t>magnifica</t>
  </si>
  <si>
    <t>Microdesmidae</t>
  </si>
  <si>
    <t>52, 1</t>
  </si>
  <si>
    <t>3.1 ±0.30</t>
  </si>
  <si>
    <t>Monogamous mating is observed as both obligate and social (Ref. 52884).</t>
  </si>
  <si>
    <t>distinct pairing, egg guarding</t>
  </si>
  <si>
    <t>GL</t>
  </si>
  <si>
    <t>Chrysiptera cyanea</t>
  </si>
  <si>
    <t>cyanea</t>
  </si>
  <si>
    <t>2.5±0.1</t>
  </si>
  <si>
    <t>Dascyllus trimaculatus</t>
  </si>
  <si>
    <t>trimaculatus</t>
  </si>
  <si>
    <t>2.8±0.1</t>
  </si>
  <si>
    <t>Oviparous, distinct pairing during breeding (Ref. 205). Eggs are demersal and adhere to the substrate (Ref. 205). Males guard and aerate the eggs (Ref. 205). Courtship characterized by male 'signal-jumping'. Captive pair reported to spawn thrice monthly with a total of 17 over a 7-month period (Ref. 2856). While protogyny was originally proposed for this species, recent studies confirmed gonochorism in the form of non-functional hermaphroditism (Ref. 103751).</t>
  </si>
  <si>
    <t>Amphiprion ocellaris</t>
  </si>
  <si>
    <t>Amphiprion</t>
  </si>
  <si>
    <t>ocellaris</t>
  </si>
  <si>
    <t>3.1 ±0.36</t>
  </si>
  <si>
    <t>Benthic spawner. Length at sex change = 4.4 cm TL (Ref. 55367). Oviparous, distinct pairing during breeding (Ref. 205). Eggs are demersal and adhere to the substrate (Ref. 205). Males guard and aerate the eggs (Ref. 205). Also Refs. 240, 7471, 118437.</t>
  </si>
  <si>
    <t>Almany et al. 2007 in Shanks 2009</t>
  </si>
  <si>
    <t>Synchiropus splendidus</t>
  </si>
  <si>
    <t>Synchiropus</t>
  </si>
  <si>
    <t>splendidus</t>
  </si>
  <si>
    <t>Callionymidae</t>
  </si>
  <si>
    <t>3.3 ±0.4</t>
  </si>
  <si>
    <t>Pairs ascend in close contact towards the surface where eggs and sperm are released (aquarium observation, Ref. 36808).</t>
  </si>
  <si>
    <t>broadcast spawner</t>
  </si>
  <si>
    <t>35, 158</t>
  </si>
  <si>
    <t>3,4</t>
  </si>
  <si>
    <t>Sphaeramia nematoptera</t>
  </si>
  <si>
    <t>Sphaeramia</t>
  </si>
  <si>
    <t>nematoptera</t>
  </si>
  <si>
    <t>Apogonidae</t>
  </si>
  <si>
    <t>3.2 ±0.36</t>
  </si>
  <si>
    <t>Are mouthbrooders (Ref. 240). Distinct pairing during courtship and spawning (Ref. 205).</t>
  </si>
  <si>
    <t>*</t>
  </si>
  <si>
    <t>Mouthbrooder</t>
  </si>
  <si>
    <t>FL</t>
  </si>
  <si>
    <t>1, 99, 100, 117, 165</t>
  </si>
  <si>
    <t>Based on S. orbicularis</t>
  </si>
  <si>
    <t>Pseudocheilinus hexataenia</t>
  </si>
  <si>
    <t>Pseudocheilinus</t>
  </si>
  <si>
    <t>hexataenia</t>
  </si>
  <si>
    <t>Labridae</t>
  </si>
  <si>
    <t>48, 52, 1</t>
  </si>
  <si>
    <t>3.2 ±0.0</t>
  </si>
  <si>
    <t>Oviparous, distinct pairing during breeding (Ref. 205).</t>
  </si>
  <si>
    <t>distinct pairing</t>
  </si>
  <si>
    <t>Centropyge bispinosa</t>
  </si>
  <si>
    <t>Centropyge</t>
  </si>
  <si>
    <t>bispinosa</t>
  </si>
  <si>
    <t>Pomacanthidae</t>
  </si>
  <si>
    <t>48, 1</t>
  </si>
  <si>
    <t>2.8 ±0.29</t>
  </si>
  <si>
    <t>Family-generalized</t>
  </si>
  <si>
    <t>1, 98</t>
  </si>
  <si>
    <t>Pelagic spawner</t>
  </si>
  <si>
    <t>Yes</t>
  </si>
  <si>
    <t>Salarias fasciatus</t>
  </si>
  <si>
    <t>Salarias</t>
  </si>
  <si>
    <t>fasciatus</t>
  </si>
  <si>
    <t>Blenniidae</t>
  </si>
  <si>
    <t>2.0 ±0.0</t>
  </si>
  <si>
    <t>Oviparous, distinct pairing (Ref. 205).</t>
  </si>
  <si>
    <t>Luiz et al. 2013
Lin, HC., Hastings, P.A. Phylogeny and biogeography of a shallow water fish clade (Teleostei: Blenniiformes). BMC Evol Biol 13, 210 (2013). https://doi.org/10.1186/1471-2148-13-210</t>
  </si>
  <si>
    <t>Paracanthurus hepatus</t>
  </si>
  <si>
    <t>Paracanthurus</t>
  </si>
  <si>
    <t>hepatus</t>
  </si>
  <si>
    <t>Acanthuridae</t>
  </si>
  <si>
    <t>3.4 ±0.45</t>
  </si>
  <si>
    <t>pelagic spawner</t>
  </si>
  <si>
    <t>1,2,3,4</t>
  </si>
  <si>
    <t>Cryptocentrus cinctus</t>
  </si>
  <si>
    <t>Cryptocentrus</t>
  </si>
  <si>
    <t>cinctus</t>
  </si>
  <si>
    <t>Gobiidae</t>
  </si>
  <si>
    <t>3.4 ±0.4</t>
  </si>
  <si>
    <t>Demersal eggs, male builds nesting sites , usually guards and aerates eggs</t>
  </si>
  <si>
    <t>Luiz et al. 2013</t>
  </si>
  <si>
    <t>Labroides dimidiatus</t>
  </si>
  <si>
    <t>Labroides</t>
  </si>
  <si>
    <t>dimidiatus</t>
  </si>
  <si>
    <t>3.5 ±0.4</t>
  </si>
  <si>
    <t>Bi-directional sex change has been confirmed for this species (Ref. 103751). Oviparous, distinct pairing during breeding (Ref. 205). Pelagic spawners. Sex reversal is completed in 14-18 days (Ref. 34185, 34258). A monandric species (Ref. 55367). Length at sex change = 8.8 cm TL (Ref. 55367). Monogamous mating is observed as both facultative and social (Ref. 52884).</t>
  </si>
  <si>
    <t>Amphiprion frenatus</t>
  </si>
  <si>
    <t>frenatus</t>
  </si>
  <si>
    <t>2.7 ±0.29</t>
  </si>
  <si>
    <t>Benthic spawner. Length at sex change = 6.6 cm TL (Ref. 55367). Oviparous, distinct pairing during breeding (Ref. 205). Eggs are demersal and adhere to the substrate (Ref. 205). Males guard and aerate the eggs (Ref. 205). Monogamous mating is observed as both obligate and social (Ref. 52884). Also Ref. 240, 7471.</t>
  </si>
  <si>
    <t>Wellington, G. &amp; Victor, Benjamin. (1989). Planktonic larval duration of one hundred species of Pacific and Atlantic damselfishes (Pomacentridae). Marine Biology. 101. 557-567. 10.1007/BF00541659.</t>
  </si>
  <si>
    <t>Synchiropus ocellatus</t>
  </si>
  <si>
    <t>ocellatus</t>
  </si>
  <si>
    <t>3.2 ±0.4</t>
  </si>
  <si>
    <t>broadcast spawner, no parental care</t>
  </si>
  <si>
    <t>35, 117</t>
  </si>
  <si>
    <t>BrothersandThresher1985</t>
  </si>
  <si>
    <t>Valenciennea strigata</t>
  </si>
  <si>
    <t>Valenciennea</t>
  </si>
  <si>
    <t>strigata</t>
  </si>
  <si>
    <t>4.0 ±0.57</t>
  </si>
  <si>
    <t>Distinct pairing (Ref. 56363). Females spawn every 13 days while males guard the eggs which are laid in a burrow for 2-3 days (Ref. 56363). Both sexes impose monogamy as a practise by guarding each other against other possible mates (Ref. 56363). Mate guarding is made possible because all males were able to hold a nest site, both sexes exhibit strong site fidelity, and residents have an advantage in contests over mates (Ref. 56363). Monogamous mating is observed as both obligate and social (Ref. 52884).</t>
  </si>
  <si>
    <t>L.K. Bay, K. Buechler, M. Gagliano, M.J. Caley, Intraspecific variation in the pelagic larval duration of tropical reef fishes. J Fish Biol 68, 1206 (2006).</t>
  </si>
  <si>
    <t>Zebrasoma velifer</t>
  </si>
  <si>
    <t>Zebrasoma</t>
  </si>
  <si>
    <t>velifer</t>
  </si>
  <si>
    <t>2.0 ±0.00</t>
  </si>
  <si>
    <t>Paired spawning (Ref. 240).</t>
  </si>
  <si>
    <t>1, 101, 102, 115, 137, 138, 139, 140</t>
  </si>
  <si>
    <t>1,2,3</t>
  </si>
  <si>
    <t>Neoglyphidodon melas</t>
  </si>
  <si>
    <t>Neoglyphidodon</t>
  </si>
  <si>
    <t>melas</t>
  </si>
  <si>
    <t>1, 98, 99, 100, 101, 103, 105, 107, 108, 133, 135</t>
  </si>
  <si>
    <t>Pictichromis porphyrea</t>
  </si>
  <si>
    <t>Pictichromis</t>
  </si>
  <si>
    <t>porphyrea</t>
  </si>
  <si>
    <t>Pseudochromidae</t>
  </si>
  <si>
    <t>3.5 ±0.50</t>
  </si>
  <si>
    <t>99, 100</t>
  </si>
  <si>
    <t>D.T. Wilson, M.I. McCormick, Microstructure of settlement-marks in the otoliths of tropical reef fishes. Mar Biol 134, 29 (1999)</t>
  </si>
  <si>
    <t>Pseudochromis quinquedentatus</t>
  </si>
  <si>
    <t>Dascyllus reticulatus</t>
  </si>
  <si>
    <t>reticulatus</t>
  </si>
  <si>
    <t>3.1 ±0.31</t>
  </si>
  <si>
    <t>Benthic spawner. Oviparous, distinct pairing during breeding (Ref. 205). Eggs are demersal and adhere to the substrate (Ref. 205). Males guard and aerate the eggs (Ref. 205). Also Ref. 103751.</t>
  </si>
  <si>
    <t>Neoglyphidodon nigroris</t>
  </si>
  <si>
    <t>nigroris</t>
  </si>
  <si>
    <t>3.0 ±0.32</t>
  </si>
  <si>
    <t>Acanthurus japonicus</t>
  </si>
  <si>
    <t>Acanthurus</t>
  </si>
  <si>
    <t>japonicus</t>
  </si>
  <si>
    <t>2.3 ±0.1</t>
  </si>
  <si>
    <t>pelagic broadcast spawner</t>
  </si>
  <si>
    <t>101, 137, 138</t>
  </si>
  <si>
    <t>Pholidichthys leucotaenia</t>
  </si>
  <si>
    <t>Pholidichthys</t>
  </si>
  <si>
    <t>leucotaenia</t>
  </si>
  <si>
    <t>Pholidichthyidae</t>
  </si>
  <si>
    <t>3.5 ±0.3</t>
  </si>
  <si>
    <t>Egg scatterer, with some parental care</t>
  </si>
  <si>
    <t xml:space="preserve">Source notes 400-500 larvae emerged from burrow every 7 months. Egg number is estimated to be over 1000, hence the "1,001" value. </t>
  </si>
  <si>
    <t>Wirtz, P. ( 1991). Does the larva of Pholidichthys leucotaenia give a clue to the systematic position of the monotypic fish family Pholidichthyidae? Tropical Fish Hobbyist, 76-80.</t>
  </si>
  <si>
    <t>1,2</t>
  </si>
  <si>
    <t>Valenciennea puellaris</t>
  </si>
  <si>
    <t>puellaris</t>
  </si>
  <si>
    <t>3.2 ±0.3</t>
  </si>
  <si>
    <t>Siganus vulpinus</t>
  </si>
  <si>
    <t>Siganus</t>
  </si>
  <si>
    <t>vulpinus</t>
  </si>
  <si>
    <t>Siganidae</t>
  </si>
  <si>
    <t>2.7 ±0.30</t>
  </si>
  <si>
    <t>Nemateleotris decora</t>
  </si>
  <si>
    <t>decora</t>
  </si>
  <si>
    <t>3.1 ±0.19</t>
  </si>
  <si>
    <t>Naso lituratus</t>
  </si>
  <si>
    <t>Naso</t>
  </si>
  <si>
    <t>lituratus</t>
  </si>
  <si>
    <t>2.3 ±0.19</t>
  </si>
  <si>
    <t>Probably spawn in pairs (Ref. 240).</t>
  </si>
  <si>
    <t>Gobiodon histrio</t>
  </si>
  <si>
    <t>Gobiodon</t>
  </si>
  <si>
    <t>histrio</t>
  </si>
  <si>
    <t>E.B. Brothers, D.M. Williams, P.F. Sale, Length of larval life in twelve families of fishes at "One Tree Lagoon", Great Barrier Reef, Australia. Mar Biol 76, 319 (1983)</t>
  </si>
  <si>
    <t>Abudefduf vaigiensis</t>
  </si>
  <si>
    <t>Abudefduf</t>
  </si>
  <si>
    <t>45,46</t>
  </si>
  <si>
    <t>Odonus niger</t>
  </si>
  <si>
    <t>Odonus</t>
  </si>
  <si>
    <t>niger</t>
  </si>
  <si>
    <t>Balistidae</t>
  </si>
  <si>
    <t>3.2 ±0.32</t>
  </si>
  <si>
    <t>Distinct pairing (Ref. 205). Only females tend the eggs but both parents keep guard (Ref. 116451).</t>
  </si>
  <si>
    <t>Luiz et al.2013</t>
  </si>
  <si>
    <t>Pictichromis diadema</t>
  </si>
  <si>
    <t>diadema</t>
  </si>
  <si>
    <t>Chelmon rostratus</t>
  </si>
  <si>
    <t>Chelmon</t>
  </si>
  <si>
    <t>rostratus</t>
  </si>
  <si>
    <t>Chaetodontidae</t>
  </si>
  <si>
    <t>3.5 ±0.37</t>
  </si>
  <si>
    <t>Distinct pairing (Ref. 205). Monogamous mating is observed as both obligate and social (Ref. 52884).</t>
  </si>
  <si>
    <t>Heniochus acuminatus</t>
  </si>
  <si>
    <t>Heniochus</t>
  </si>
  <si>
    <t>acuminatus</t>
  </si>
  <si>
    <t>3.5 ±0.41</t>
  </si>
  <si>
    <t>Form pairs during breeding (Ref. 205).</t>
  </si>
  <si>
    <t>pairing,assumably demersal spawner</t>
  </si>
  <si>
    <t>101, 116, 157</t>
  </si>
  <si>
    <t>Amphiprion biaculeatus</t>
  </si>
  <si>
    <t>biaculeatus</t>
  </si>
  <si>
    <t>2.8 ±0.31</t>
  </si>
  <si>
    <t>Chrysiptera rex</t>
  </si>
  <si>
    <t>rex</t>
  </si>
  <si>
    <t>2.5 ±0.2</t>
  </si>
  <si>
    <t>99, 101, 105</t>
  </si>
  <si>
    <t>Centropyge bicolor</t>
  </si>
  <si>
    <t>bicolor</t>
  </si>
  <si>
    <t>3.0 ±0.34</t>
  </si>
  <si>
    <t>Pelagic spawner. Sex reversal is completed in 18-20 days (Ref. 34185, 34248). Also Ref. 103751.</t>
  </si>
  <si>
    <t>Echidna nebulosa</t>
  </si>
  <si>
    <t>Echidna</t>
  </si>
  <si>
    <t>nebulosa</t>
  </si>
  <si>
    <t>Muraenidae</t>
  </si>
  <si>
    <t>4.0 ±0.65</t>
  </si>
  <si>
    <t>Protogyny unconfirmed (Ref. 84746).</t>
  </si>
  <si>
    <t>nonguarders (assumably broadacast spawner)</t>
  </si>
  <si>
    <t>Source lists "over 5,000 eggs" for several species. Not a primary source. Source: https://www.diveandrelax.com/koh-lanta-marine-life/actinopterygii/muraenoidei</t>
  </si>
  <si>
    <t>Dendrochirus zebra</t>
  </si>
  <si>
    <t>Dendrochirus</t>
  </si>
  <si>
    <t>zebra</t>
  </si>
  <si>
    <t>Scorpaenidae</t>
  </si>
  <si>
    <t>4.0 ±0.66</t>
  </si>
  <si>
    <t>Spawn in pairs. Courtship and spawning occur at night. Males aggressive, females are smaller and develop almost white face when in courtship. Spawning occurs at the apex of a short and rapid paired ascent resulting in a gelatinous mass of 2,000 to 15,000 eggs. Hatching occurs 36 hours later and larvae settle out in a few weeks at a size of 10-12 mm.</t>
  </si>
  <si>
    <t>Dascyllus melanurus</t>
  </si>
  <si>
    <t>melanurus</t>
  </si>
  <si>
    <t>3.0 ±0.36</t>
  </si>
  <si>
    <t>Plectorhinchus chaetodonoides</t>
  </si>
  <si>
    <t>Plectorhinchus</t>
  </si>
  <si>
    <t>chaetodonoides</t>
  </si>
  <si>
    <t>Haemulidae</t>
  </si>
  <si>
    <t>49, 1</t>
  </si>
  <si>
    <t>3.8 ±0.60</t>
  </si>
  <si>
    <t>99, 101</t>
  </si>
  <si>
    <t>McFarland, William N.; Brothers, E. B.; Ogden, John C.; Shulman, Myra J.; Bermingham, E. L.; and
Kotachian-Prentiss, N. M., "Recruitment Patterns in Young French Grunts, Haemulon flavolineatum (Family Haemulidae), at St. Croix, Virgin Islands." (1985). Integrative Biology Faculty and Staff Publications. 396. https://scholarcommons.usf.edu/bin_facpub/396</t>
  </si>
  <si>
    <t>In general, PLD for grunts is 2 weeks</t>
  </si>
  <si>
    <t>Arothron nigropunctatus</t>
  </si>
  <si>
    <t>Arothron</t>
  </si>
  <si>
    <t>nigropunctatus</t>
  </si>
  <si>
    <t>Tetraodontidae</t>
  </si>
  <si>
    <t>3.4 ±0.5</t>
  </si>
  <si>
    <t>Oviparous (Ref. 205).</t>
  </si>
  <si>
    <t>1, 151</t>
  </si>
  <si>
    <t>Luis et al. 2013</t>
  </si>
  <si>
    <t>Arothron hispidus</t>
  </si>
  <si>
    <t>Coris gaimard</t>
  </si>
  <si>
    <t>Coris</t>
  </si>
  <si>
    <t>gaimard</t>
  </si>
  <si>
    <t>3.5 ±0.2</t>
  </si>
  <si>
    <t>Oviparous, with distinct pairing during breeding (Ref. 205).</t>
  </si>
  <si>
    <t>99, 100, 101, 117, 168, 169, 170</t>
  </si>
  <si>
    <t>Pterois volitans</t>
  </si>
  <si>
    <t>Pterois</t>
  </si>
  <si>
    <t>volitans</t>
  </si>
  <si>
    <t>4.4 ±0.4</t>
  </si>
  <si>
    <t>Pseudanthias squamipinnis</t>
  </si>
  <si>
    <t>Pseudanthias</t>
  </si>
  <si>
    <t>squamipinnis</t>
  </si>
  <si>
    <t>Anthiadidae</t>
  </si>
  <si>
    <t>Pelagic spawner. A monandric species (Ref. 55367). Females are induced to change sex by removal of males from social groups (Ref. 38802). Sex-reversal is completed in 2-4 weeks after male removal in the area, or 170-280 days in an all female group (Ref. 34185, 34249, 34250). Length at sex change = 5.0 cm TL (Ref. 55367). Also Ref. 103751. Successful males spawn nightly with successive females (Ref. 37816).</t>
  </si>
  <si>
    <t>100, 172</t>
  </si>
  <si>
    <t>Pseudanthias pascalus</t>
  </si>
  <si>
    <t>Halichoeres chrysus</t>
  </si>
  <si>
    <t>Halichoeres</t>
  </si>
  <si>
    <t>chrysus</t>
  </si>
  <si>
    <t>Distinct pairing during breeding (Ref. 205).</t>
  </si>
  <si>
    <t>99, 101, 168</t>
  </si>
  <si>
    <t>Amblyglyphidodon curacao</t>
  </si>
  <si>
    <t>Amblyglyphidodon</t>
  </si>
  <si>
    <t>curacao</t>
  </si>
  <si>
    <t>2.6 ±0.1</t>
  </si>
  <si>
    <t>*Numerous articles available on A. curacao's reproduction, none found giving an actual estimate - congener A. leucogaster was found to have an average fecundity of 80,000+</t>
  </si>
  <si>
    <t>Oxycirrhites typus</t>
  </si>
  <si>
    <t>Oxycirrhites</t>
  </si>
  <si>
    <t>typus</t>
  </si>
  <si>
    <t>Cirrhitidae</t>
  </si>
  <si>
    <t>3.3 ±0.37</t>
  </si>
  <si>
    <t>Distinct pairing (Ref. 52884). Actual spawning lasts about 1-2 seconds while ascending a distance of less than 0.25 m (Ref. 26305). Courtship and spawning behavior is similar to that described for other species: 1) courtship commences just before or after sunset with spawning after sunset; 2) successive courtship and spawning by the male in social groups containing one or more females; 3) courtship and spawning at a site common to both male and female or at a site located within the female's home area; 4) pelagic spawning with a rapid but relatively short ascent into the water column by both male and female; 5) return of the male and female to resident corals afte spawning. Monogamous mating is observed as both facultative and social (Ref. 52884).</t>
  </si>
  <si>
    <t>99, 101, 120</t>
  </si>
  <si>
    <t>Exallias brevis</t>
  </si>
  <si>
    <t>Exallias</t>
  </si>
  <si>
    <t>brevis</t>
  </si>
  <si>
    <t>4.3 ±0.4</t>
  </si>
  <si>
    <t>Luiz et al. 2013
Lin, HC., Hastings, P.A. Phylogeny and biogeography of a shallow water fish clade (Teleostei: Blenniiformes). BMC Evol Biol 13, 210 (2013). https://doi.org/10.1186/1471-2148-13-210
Joshua P Egan, Thaddaeus J Buser, Michael D Burns, Andrew M Simons, Peter J Hundt, Patterns of Body Shape Diversity and Evolution in Intertidal and Subtidal Lineages of Combtooth Blennies (Blenniidae), Integrative Organismal Biology, Volume 3, Issue 1, 2021, obab004, https://doi.org/10.1093/iob/obab004</t>
  </si>
  <si>
    <t>45,46,52</t>
  </si>
  <si>
    <t>Zebrasoma scopas</t>
  </si>
  <si>
    <t>scopas</t>
  </si>
  <si>
    <t>Form resident spawning aggregations (Ref. 27825). Monogamous mating is observed as both facultative and social (Ref. 52884).</t>
  </si>
  <si>
    <t>Ecsenius stigmatura</t>
  </si>
  <si>
    <t>Ecsenius</t>
  </si>
  <si>
    <t>stigmatura</t>
  </si>
  <si>
    <t>Centropyge heraldi</t>
  </si>
  <si>
    <t>heraldi</t>
  </si>
  <si>
    <t>2.8 ±0.33</t>
  </si>
  <si>
    <t>Ptereleotris zebra</t>
  </si>
  <si>
    <t>Ptereleotris</t>
  </si>
  <si>
    <t>Ptereleotris calliura</t>
  </si>
  <si>
    <t>Pomacentrus chrysurus</t>
  </si>
  <si>
    <t>Pomacentrus</t>
  </si>
  <si>
    <t>chrysurus</t>
  </si>
  <si>
    <t>2.6 ±0.21</t>
  </si>
  <si>
    <t>98, 100, 101</t>
  </si>
  <si>
    <t>Pseudanthias pleurotaenia</t>
  </si>
  <si>
    <t>pleurotaenia</t>
  </si>
  <si>
    <t>Genus-generalized</t>
  </si>
  <si>
    <t>100, 148, 149, 150, 172</t>
  </si>
  <si>
    <t>Forcipiger flavissimus</t>
  </si>
  <si>
    <t>Forcipiger</t>
  </si>
  <si>
    <t>flavissimus</t>
  </si>
  <si>
    <t>3.1 ±0.2</t>
  </si>
  <si>
    <t>Novaculichthys taeniourus</t>
  </si>
  <si>
    <t>Novaculichthys</t>
  </si>
  <si>
    <t>taeniourus</t>
  </si>
  <si>
    <t>3.3 ±0.40</t>
  </si>
  <si>
    <t>Amblyglyphidodon ternatensis</t>
  </si>
  <si>
    <t>ternatensis</t>
  </si>
  <si>
    <t>VU</t>
  </si>
  <si>
    <t>Halichoeres melanurus</t>
  </si>
  <si>
    <t>2.9 ±0.2</t>
  </si>
  <si>
    <t>Signigobius biocellatus</t>
  </si>
  <si>
    <t>Signigobius</t>
  </si>
  <si>
    <t>biocellatus</t>
  </si>
  <si>
    <t>1, 99, 100, 110, 117, 147</t>
  </si>
  <si>
    <t>Amphiprion percula</t>
  </si>
  <si>
    <t>percula</t>
  </si>
  <si>
    <t>2.7 ±0.3</t>
  </si>
  <si>
    <t>Each group of fish consists of a breeding pair and 0-4 non-breeders. Within each group there is a size-based hierarchy: the female is largest, the male is second largest, and the non-breeders get progressively smaller as the hierarchy is desceded. If the female dies, the male changes sex and becomes the breeding female, while the largest non-breeder becomes the breeding male (Ref. 47841). Oviparous, distinct pairing during breeding (Ref. 205). Eggs are demersal and adhere to the substrate (Ref. 205). Males guard and aerate the eggs (Ref. 205). Also Ref. 7471.</t>
  </si>
  <si>
    <t>Acanthochromis polyacanthus</t>
  </si>
  <si>
    <t>Acanthochromis</t>
  </si>
  <si>
    <t>polyacanthus</t>
  </si>
  <si>
    <t>Oviparous, distinct pairing during breeding (Ref. 205). Monogamous mating is observed as both obligate and genetic (Ref. 52884). Eggs are demersal and adhere to the substrate (Ref. 205). Males guard and aerate the eggs (Ref. 205). Does not have a juvenile bisexual phase and all males have the typical testicular morphology of gonochores (Ref. 103751).</t>
  </si>
  <si>
    <t>Cirrhilabrus cyanopleura</t>
  </si>
  <si>
    <t>Cirrhilabrus</t>
  </si>
  <si>
    <t>cyanopleura</t>
  </si>
  <si>
    <t>DD</t>
  </si>
  <si>
    <t>Acanthurus pyroferus</t>
  </si>
  <si>
    <t>pyroferus</t>
  </si>
  <si>
    <t>May use same data as Acanthurus spp. In general, these species have 40-70 PLD, which is considered &gt;30.</t>
  </si>
  <si>
    <t>Ctenochaetus tominiensis</t>
  </si>
  <si>
    <t>Ctenochaetus</t>
  </si>
  <si>
    <t>tominiensis</t>
  </si>
  <si>
    <t xml:space="preserve">72,  85
Sorenson, L., Santini, F., Carnevale, G., &amp; Alfaro, M. E. (2013). A multi-locus timetree of surgeonfishes (Acanthuridae,Percomorpha), with revised family taxonomy. Mol Phylogenet Evol, 68(1), 150-160. https://doi.org/10.1016/j.ympev.2013.03.014 
</t>
  </si>
  <si>
    <t>Amphiprion polymnus</t>
  </si>
  <si>
    <t>polymnus</t>
  </si>
  <si>
    <t>Benthic spawner. Oviparous, distinct pairing during breeding (Ref. 205). Eggs are demersal and adhere to the substrate (Ref. 205). Males guard and aerate the eggs (Ref. 205). Length at sex change = 9.2 cm TL (Ref. 55367). Also Ref. 240, 7471.</t>
  </si>
  <si>
    <t>99, 100, 107</t>
  </si>
  <si>
    <t>Macropharyngodon meleagris</t>
  </si>
  <si>
    <t>Macropharyngodon</t>
  </si>
  <si>
    <t>meleagris</t>
  </si>
  <si>
    <t>3.1 ±0.4</t>
  </si>
  <si>
    <t>Pomacanthus imperator</t>
  </si>
  <si>
    <t>Pomacanthus</t>
  </si>
  <si>
    <t>imperator</t>
  </si>
  <si>
    <t>2.7 ±0.00</t>
  </si>
  <si>
    <t>Xanthichthys auromarginatus</t>
  </si>
  <si>
    <t>Xanthichthys</t>
  </si>
  <si>
    <t>auromarginatus</t>
  </si>
  <si>
    <t>3.0 ±0.00</t>
  </si>
  <si>
    <t>Distinct pairing (Ref. 205).</t>
  </si>
  <si>
    <t>101, 131, 132, 166, 167</t>
  </si>
  <si>
    <t>Salarias ramosus</t>
  </si>
  <si>
    <t>ramosus</t>
  </si>
  <si>
    <t>Ptereleotris evides</t>
  </si>
  <si>
    <t>evides</t>
  </si>
  <si>
    <t>161, 162, 163, 164</t>
  </si>
  <si>
    <t>Stonogobiops xanthorhinica</t>
  </si>
  <si>
    <t>Stonogobiops</t>
  </si>
  <si>
    <t>xanthorhinica</t>
  </si>
  <si>
    <t>3.3 ±0.3</t>
  </si>
  <si>
    <t>Luist et al. 2013</t>
  </si>
  <si>
    <t>Cryptocentrus leptocephalus</t>
  </si>
  <si>
    <t>leptocephalus</t>
  </si>
  <si>
    <t>Neoglyphidodon oxyodon</t>
  </si>
  <si>
    <t>oxyodon</t>
  </si>
  <si>
    <t>Ronald. E. Thresher, Colin, P. L., &amp; Bell, L. J. (1989). Planktonic Duration, Distribution and Population Structure of Western and Central Pacific Damselfishes (Pomacentridae). Copeia, 1989(2), 420–434. https://doi.org/10.2307/1445439
G.M. Wellington, B.C. Victor Planktonic larval duration of one hundred species of Pacific and Atlantic damselfishes (Pomacentridae). Mar Biol 101, 557 (1989)</t>
  </si>
  <si>
    <t>Centropyge ferrugata</t>
  </si>
  <si>
    <t>ferrugata</t>
  </si>
  <si>
    <t>2.8 ±0.34</t>
  </si>
  <si>
    <t>Bi-directional sex change has been confirmed for this species (Ref. 103751).</t>
  </si>
  <si>
    <t>Paracheilinus carpenteri</t>
  </si>
  <si>
    <t>Paracheilinus</t>
  </si>
  <si>
    <t>carpenteri</t>
  </si>
  <si>
    <t>Luis et al. 2013
Allen, G.R., Erdmann, M.V., &amp; Yusmalinda, N.L. (2016). Review of the Indo-Pacific Flasherwrasses of the genus Paracheilinus (Perciformes: Labridae), with descriptions of three new species.</t>
  </si>
  <si>
    <t>Chrysiptera talboti</t>
  </si>
  <si>
    <t>talboti</t>
  </si>
  <si>
    <t>Chaetodon xanthurus</t>
  </si>
  <si>
    <t>Chaetodon</t>
  </si>
  <si>
    <t>xanthurus</t>
  </si>
  <si>
    <t>2.8 ±0.26</t>
  </si>
  <si>
    <t>Centropyge vrolikii</t>
  </si>
  <si>
    <t>vrolikii</t>
  </si>
  <si>
    <t>Distinct pairing (Ref. 205). Monogamous mating is observed as both facultative and social (Ref. 52884).</t>
  </si>
  <si>
    <t>Halichoeres chloropterus</t>
  </si>
  <si>
    <t>chloropterus</t>
  </si>
  <si>
    <t>3.4 ±0.40</t>
  </si>
  <si>
    <t>Canthigaster valentini</t>
  </si>
  <si>
    <t>Canthigaster</t>
  </si>
  <si>
    <t>valentini</t>
  </si>
  <si>
    <t>2.8 ±0.30</t>
  </si>
  <si>
    <t>Oviparous (Ref. 205). Social and mating systems of this species are based upon female territoriality where polygyny results from males defending females occupying a certain territory (female-defense polygyny) (Ref. 55082). All sexually mature females are territorial females (Ref. 55082). Neither parent guards the eggs which are laid in a nest located in the female's territory (Ref. 46142). During breeding, territorial females perform the 'caudal flexing with swollen abdomen display' to signal courtship and readiness to spawn. The male acknowledges with no courtship or color displays but rather by visiting the sites frequently. The territorial female then begins pecking at the substrate in preparation for egg laying. The female initiates the spawning event by pressing her abdomen into the prepared site. The territorial male quickly lays his body across her caudal peduncle and both remained in this position for 5-10 sec. The male swims away after leaving the female beating her anal fin rapidly over the nest site to ensure fertilization of the eggs and to push the eggs deep into the algal substrate (Ref. 46142). All territorial males spawn with territorial females, depriving the bachelor males of the chance to copulate which nevertheless don't interfere with the spawning between the territorial male and females (Ref. 46142).</t>
  </si>
  <si>
    <t>brood hider, nonguarder following mating</t>
  </si>
  <si>
    <t>Rhinecanthus aculeatus</t>
  </si>
  <si>
    <t>Rhinecanthus</t>
  </si>
  <si>
    <t>aculeatus</t>
  </si>
  <si>
    <t>3.2 ±0.1</t>
  </si>
  <si>
    <t>Distinct pairing (Ref. 205). Mating system may be a mixture of polygyny, monogamy, and potential promiscuity in solitary females but the primary mating system considered for this species is polygyny (Ref. 116439). Females are territorial, solely tending and guarding the eggs (Ref. 116451). Males exhibit polygyny (Ref. 116451).</t>
  </si>
  <si>
    <t>Not a distinct pairing,demersal spawner, egg guarder</t>
  </si>
  <si>
    <t>10,46</t>
  </si>
  <si>
    <t>Pomacentrus simsiang</t>
  </si>
  <si>
    <t>simsiang</t>
  </si>
  <si>
    <t>45,52</t>
  </si>
  <si>
    <t>Pomacentrus moluccensis</t>
  </si>
  <si>
    <t>moluccensis</t>
  </si>
  <si>
    <t>2.4 ±0.1</t>
  </si>
  <si>
    <t>Chaetodon kleinii</t>
  </si>
  <si>
    <t>kleinii</t>
  </si>
  <si>
    <t>Pomacentrus amboinensis</t>
  </si>
  <si>
    <t>amboinensis</t>
  </si>
  <si>
    <t>Gobiodon okinawae</t>
  </si>
  <si>
    <t>okinawae</t>
  </si>
  <si>
    <t>Dendrochirus brachypterus</t>
  </si>
  <si>
    <t>brachypterus</t>
  </si>
  <si>
    <t>3.6 ±0.4</t>
  </si>
  <si>
    <t>Distinct pairing (Ref. 205). Females possess specialized ovarian structures including stalk-like ovigerous lamellae and secretory epithelia (Ref. 32832).</t>
  </si>
  <si>
    <t>Ruiz-Carus et al. 2006 in Shanks 2009</t>
  </si>
  <si>
    <t>Rhinecanthus verrucosus</t>
  </si>
  <si>
    <t>verrucosus</t>
  </si>
  <si>
    <t>*Estimate - egg averages are assumed to be in the tens of thousands. Score of 3. Longenecker, Ken, et al. "nRAPID REPRODUCTIVE ANALYSIS AND LENGTH-WEIGHT RELATIONS OF THREE REEF FISHES (ACTINOPTERYGII: PERCIFORMES AND TETRAODONTIFORMES) FROM A REMOTE SITE IN PAPUA NEW GUINEA." Acta Ichthyologica et Piscatoria 46.3 (2016).</t>
  </si>
  <si>
    <t>Valenciennea wardii</t>
  </si>
  <si>
    <t>wardii</t>
  </si>
  <si>
    <t>1, 100</t>
  </si>
  <si>
    <t>Stegastes fasciolatus</t>
  </si>
  <si>
    <t>Stegastes</t>
  </si>
  <si>
    <t>fasciolatus</t>
  </si>
  <si>
    <t>2.2 ±0.1</t>
  </si>
  <si>
    <t>Oviparous, distinct pairing during breeding (Ref. 205). Monogamous mating is observed as both facultative and social (Ref. 52884). Eggs are demersal and adhere to the substrate (Ref. 205). Males guard and aerate the eggs (Ref. 205).</t>
  </si>
  <si>
    <t>Paracheilinus filamentosus</t>
  </si>
  <si>
    <t>filamentosus</t>
  </si>
  <si>
    <t>Chaetodon auriga</t>
  </si>
  <si>
    <t>auriga</t>
  </si>
  <si>
    <t>3.7 ±0.3</t>
  </si>
  <si>
    <t>Cirrhilabrus lubbocki</t>
  </si>
  <si>
    <t>lubbocki</t>
  </si>
  <si>
    <r>
      <rPr>
        <i/>
        <sz val="10"/>
        <color theme="1"/>
        <rFont val="Arial"/>
        <family val="2"/>
      </rPr>
      <t xml:space="preserve">Cirrhilabrus cyanopleurra, C. scottorum, C. temminckii </t>
    </r>
    <r>
      <rPr>
        <sz val="10"/>
        <color theme="1"/>
        <rFont val="Arial"/>
        <family val="2"/>
      </rPr>
      <t>range</t>
    </r>
  </si>
  <si>
    <t>Amphiprion perideraion</t>
  </si>
  <si>
    <t>perideraion</t>
  </si>
  <si>
    <t>2.2 ±0.0</t>
  </si>
  <si>
    <t>Oviparous, distinct pairing during breeding (Ref. 205). Monogamous mating is observed as both obligate and social (Ref. 52884). Eggs are demersal and adhere to the substrate (Ref. 205). Males guard and aerate the eggs (Ref. 205). One pair spawns several times per year. Annual fecundity is estimated to be 2,000 to 4,000 eggs. Size at sex change = 5.4 cm TL (Ref. 55367). Also Ref. 240, 7471.</t>
  </si>
  <si>
    <t>Ostorhinchus cyanosoma</t>
  </si>
  <si>
    <t>Ostorhinchus</t>
  </si>
  <si>
    <t>cyanosoma</t>
  </si>
  <si>
    <t>3.6 ±0.56</t>
  </si>
  <si>
    <t>Mouthbrooders (Ref. 240). Distinct pairing during courtship and spawning (Ref. 205).</t>
  </si>
  <si>
    <t>Ptereleotris heteroptera</t>
  </si>
  <si>
    <t>heteroptera</t>
  </si>
  <si>
    <t>10,45,52</t>
  </si>
  <si>
    <t>Chaetodon punctatofasciatus</t>
  </si>
  <si>
    <t>punctatofasciatus</t>
  </si>
  <si>
    <t>3.4 ±0.6</t>
  </si>
  <si>
    <r>
      <rPr>
        <sz val="10"/>
        <color theme="1"/>
        <rFont val="Arial"/>
        <family val="2"/>
      </rPr>
      <t xml:space="preserve">From </t>
    </r>
    <r>
      <rPr>
        <i/>
        <sz val="10"/>
        <color theme="1"/>
        <rFont val="Arial"/>
        <family val="2"/>
      </rPr>
      <t>Chaetodon vagabundus</t>
    </r>
  </si>
  <si>
    <t>Pomacanthus semicirculatus</t>
  </si>
  <si>
    <t>semicirculatus</t>
  </si>
  <si>
    <t> </t>
  </si>
  <si>
    <t>Chaetodon lunula</t>
  </si>
  <si>
    <t>lunula</t>
  </si>
  <si>
    <t>3.7 ±0.1</t>
  </si>
  <si>
    <t>48, 57</t>
  </si>
  <si>
    <t>Apolemichthys trimaculatus</t>
  </si>
  <si>
    <t>Apolemichthys</t>
  </si>
  <si>
    <t>2.6 ±0.00</t>
  </si>
  <si>
    <t>99, 111, 112, 113, 152</t>
  </si>
  <si>
    <t>48, 57, 58</t>
  </si>
  <si>
    <t>Chaetodontoplus caeruleopunctatus</t>
  </si>
  <si>
    <t>Chaetodontoplus</t>
  </si>
  <si>
    <t>Sapulu, 2005</t>
  </si>
  <si>
    <t>Trophic Level</t>
  </si>
  <si>
    <t>Life cycle stage of harvest</t>
  </si>
  <si>
    <t>Breeding strategy</t>
  </si>
  <si>
    <t>Trade Volume</t>
  </si>
  <si>
    <t>Age</t>
  </si>
  <si>
    <t>Ecological niche + Distribution</t>
  </si>
  <si>
    <t>2011rank</t>
  </si>
  <si>
    <t>In previous PSA</t>
  </si>
  <si>
    <t>Remove in final list</t>
  </si>
  <si>
    <t>Species Notes</t>
  </si>
  <si>
    <t>Max age</t>
  </si>
  <si>
    <t>Max age level</t>
  </si>
  <si>
    <t>Max age score weight (1)</t>
  </si>
  <si>
    <t>Weighted max age score</t>
  </si>
  <si>
    <t>Max size</t>
  </si>
  <si>
    <t>Max size score weight (1)</t>
  </si>
  <si>
    <t>Breeding strategy score weight (2)</t>
  </si>
  <si>
    <t>Sources (In progress)</t>
  </si>
  <si>
    <t>Distribution</t>
  </si>
  <si>
    <t>Rabinowitz (1981): Geographic Range</t>
  </si>
  <si>
    <t>Rabinowitz (1981): Habitat specificity</t>
  </si>
  <si>
    <t>Eco-Niche + Dist Score weight (2)</t>
  </si>
  <si>
    <t>Weighted eco-niche + dist score</t>
  </si>
  <si>
    <t>Average Encounter Depth data</t>
  </si>
  <si>
    <t>VIT Score</t>
  </si>
  <si>
    <t>Productivity uncertainty</t>
  </si>
  <si>
    <t xml:space="preserve">Log susceptibility </t>
  </si>
  <si>
    <t>Susceptibility uncertainty</t>
  </si>
  <si>
    <t>Vulnerability uncertainty</t>
  </si>
  <si>
    <t>1,2,97</t>
  </si>
  <si>
    <t>Widespread</t>
  </si>
  <si>
    <t>Large</t>
  </si>
  <si>
    <t>Narrow</t>
  </si>
  <si>
    <t>1,7</t>
  </si>
  <si>
    <t>Widespread and association with particular species of corals</t>
  </si>
  <si>
    <t>56,7</t>
  </si>
  <si>
    <t>Average from two sources for this species. High standard deviation between sources</t>
  </si>
  <si>
    <t>Wide</t>
  </si>
  <si>
    <t>Widespread and abundant within several different habitats</t>
  </si>
  <si>
    <t xml:space="preserve">Widespread and association with particular species of invertebrates </t>
  </si>
  <si>
    <r>
      <rPr>
        <sz val="10"/>
        <color theme="1"/>
        <rFont val="Arial"/>
        <family val="2"/>
      </rPr>
      <t xml:space="preserve">From </t>
    </r>
    <r>
      <rPr>
        <i/>
        <sz val="10"/>
        <color theme="1"/>
        <rFont val="Arial"/>
        <family val="2"/>
      </rPr>
      <t>Nemateleotris decora</t>
    </r>
  </si>
  <si>
    <r>
      <rPr>
        <sz val="10"/>
        <color theme="1"/>
        <rFont val="Arial"/>
        <family val="2"/>
      </rPr>
      <t xml:space="preserve">From </t>
    </r>
    <r>
      <rPr>
        <i/>
        <sz val="10"/>
        <color theme="1"/>
        <rFont val="Arial"/>
        <family val="2"/>
      </rPr>
      <t xml:space="preserve">Amphiprion percula, </t>
    </r>
    <r>
      <rPr>
        <sz val="10"/>
        <color theme="1"/>
        <rFont val="Arial"/>
        <family val="2"/>
      </rPr>
      <t>closest in phylogenetic tree</t>
    </r>
  </si>
  <si>
    <t>Pterapogon kauderni</t>
  </si>
  <si>
    <t>Pterapogon</t>
  </si>
  <si>
    <t>kauderni</t>
  </si>
  <si>
    <t>1, 97</t>
  </si>
  <si>
    <t>3.3 ±0.41</t>
  </si>
  <si>
    <t>The male takes the eggs into its mouth where these and the larvae remain until young fish of about 8mm SL are released. Distinct pairing during courtship and spawning (Ref. 205). Also Ref. 240.</t>
  </si>
  <si>
    <t>Allen &amp; Steene 1995; Vagelli 1999; Allen 2000, Bernardi &amp; Vagelli 2003, pers. comm. Bernadi 2022</t>
  </si>
  <si>
    <r>
      <rPr>
        <i/>
        <sz val="10"/>
        <color theme="1"/>
        <rFont val="Arial"/>
        <family val="2"/>
      </rPr>
      <t>P. kauderni</t>
    </r>
    <r>
      <rPr>
        <i/>
        <sz val="10"/>
        <color theme="1"/>
        <rFont val="Arial"/>
        <family val="2"/>
      </rPr>
      <t xml:space="preserve"> lacks a pelagic larval stage &amp; it mouthbroods its young until settlement (Allen &amp; Steene 1995; Vagelli 1999; Allen 2000)</t>
    </r>
  </si>
  <si>
    <t>Restricted</t>
  </si>
  <si>
    <t>Narrow (restricted)</t>
  </si>
  <si>
    <t>Restricted and association with particular species of invertebrates</t>
  </si>
  <si>
    <t>55, 97</t>
  </si>
  <si>
    <t>Widespread and associated with coral growth</t>
  </si>
  <si>
    <r>
      <rPr>
        <sz val="10"/>
        <color theme="1"/>
        <rFont val="Arial"/>
        <family val="2"/>
      </rPr>
      <t xml:space="preserve">Based on </t>
    </r>
    <r>
      <rPr>
        <sz val="10"/>
        <color theme="1"/>
        <rFont val="Arial"/>
        <family val="2"/>
      </rPr>
      <t>S. orbicularis</t>
    </r>
  </si>
  <si>
    <t>Chrysiptera hemicyanea</t>
  </si>
  <si>
    <t>hemicyanea</t>
  </si>
  <si>
    <t>2.4 ±0.23</t>
  </si>
  <si>
    <r>
      <rPr>
        <sz val="10"/>
        <color theme="1"/>
        <rFont val="Arial"/>
        <family val="2"/>
      </rPr>
      <t xml:space="preserve">Closest to </t>
    </r>
    <r>
      <rPr>
        <i/>
        <sz val="10"/>
        <color theme="1"/>
        <rFont val="Arial"/>
        <family val="2"/>
      </rPr>
      <t>Amblygobius phalaena</t>
    </r>
  </si>
  <si>
    <r>
      <rPr>
        <sz val="10"/>
        <color theme="1"/>
        <rFont val="Arial"/>
        <family val="2"/>
      </rPr>
      <t xml:space="preserve">close to </t>
    </r>
    <r>
      <rPr>
        <i/>
        <sz val="10"/>
        <color theme="1"/>
        <rFont val="Arial"/>
        <family val="2"/>
      </rPr>
      <t>Ophioblennius</t>
    </r>
  </si>
  <si>
    <t>Thresher (1984)</t>
  </si>
  <si>
    <t>Gramma loreto</t>
  </si>
  <si>
    <t>Gramma</t>
  </si>
  <si>
    <t>loreto</t>
  </si>
  <si>
    <t>Grammidae</t>
  </si>
  <si>
    <t>Mouthbrooding in this specimen has not been supported by any evidence (Ref. 35580). Prior to spawning, some males established nest sites, using small holes and crevices in the substratum. Females traveled to male nests for egg deposition around dawn. Eggs deposited within the nests were tended by males that established the nests. Males display four types of nest care behaviour: guarding, nest maintenance, detritus clearing,and simple nest entering (Ref. 35580).</t>
  </si>
  <si>
    <t>distinct pairing, demersal spawner, egg guarding</t>
  </si>
  <si>
    <t>Average of two values for species</t>
  </si>
  <si>
    <t>Leis, Jeffrey M., et al. "Development of morphology and swimming in larvae of a coral-reef fish, the royal gramma, Gramma loreto (Grammatidae: Teleostei)." Scientia Marina 76.2 (2012): 281-288.</t>
  </si>
  <si>
    <t>Regional</t>
  </si>
  <si>
    <t>Small</t>
  </si>
  <si>
    <t>Regional and association with multiple habitats</t>
  </si>
  <si>
    <t>Breder and Rosen (1966)</t>
  </si>
  <si>
    <r>
      <rPr>
        <sz val="10"/>
        <color theme="1"/>
        <rFont val="Arial"/>
        <family val="2"/>
      </rPr>
      <t xml:space="preserve">Closest to </t>
    </r>
    <r>
      <rPr>
        <i/>
        <sz val="10"/>
        <color theme="1"/>
        <rFont val="Arial"/>
        <family val="2"/>
      </rPr>
      <t xml:space="preserve">Bathygobius </t>
    </r>
    <r>
      <rPr>
        <sz val="10"/>
        <color theme="1"/>
        <rFont val="Arial"/>
        <family val="2"/>
      </rPr>
      <t>(Thacker and Roje 2011)</t>
    </r>
  </si>
  <si>
    <r>
      <rPr>
        <sz val="10"/>
        <color theme="1"/>
        <rFont val="Arial"/>
        <family val="2"/>
      </rPr>
      <t xml:space="preserve">From </t>
    </r>
    <r>
      <rPr>
        <i/>
        <sz val="10"/>
        <color theme="1"/>
        <rFont val="Arial"/>
        <family val="2"/>
      </rPr>
      <t>Amphiprion melanopus</t>
    </r>
  </si>
  <si>
    <t>Centropyge loriculus</t>
  </si>
  <si>
    <t>loriculus</t>
  </si>
  <si>
    <t>Small geographic range and association with particular species of invertebrates</t>
  </si>
  <si>
    <t>https://aquainfo.org/pictichromis-paccagnellae-bicolor-dottyback/</t>
  </si>
  <si>
    <t>captivity</t>
  </si>
  <si>
    <t>https://animal-world.com/encyclo/marine/damsels/behns.php</t>
  </si>
  <si>
    <t>Abudefduf saxatilis</t>
  </si>
  <si>
    <t>saxatilis</t>
  </si>
  <si>
    <t>3.8 ±0.2</t>
  </si>
  <si>
    <t>Widespread and association with particular organisms</t>
  </si>
  <si>
    <r>
      <rPr>
        <sz val="10"/>
        <color theme="1"/>
        <rFont val="Arial"/>
        <family val="2"/>
      </rPr>
      <t xml:space="preserve">May use same data as Acanthurus spp. May hybridize with </t>
    </r>
    <r>
      <rPr>
        <i/>
        <sz val="10"/>
        <color theme="1"/>
        <rFont val="Arial"/>
        <family val="2"/>
      </rPr>
      <t xml:space="preserve"> A. leucosternon. </t>
    </r>
    <r>
      <rPr>
        <sz val="10"/>
        <color theme="1"/>
        <rFont val="Arial"/>
        <family val="2"/>
      </rPr>
      <t>In general, these species have 40-70 PLD, which is considered &gt;30.</t>
    </r>
  </si>
  <si>
    <t>https://www.fishparenting.com/engineer-goby/</t>
  </si>
  <si>
    <t>https://www.fishkeepingfolks.com/pholidichthys-leucotaenia-care/</t>
  </si>
  <si>
    <t>Source notes 400-500 larvae emerged from burrow every 7 months. Egg number is estimated to be between 1000-15000. Source: Wirtz, P. "Does the larva of Pholidichthys leucotaenia give a clue to the systematic position of the monotypic fish family Pholidichthyidae." Trends in ichthyology-an international perspective. Oxford: Blackwell Scientific Publications (1993): 237-238.</t>
  </si>
  <si>
    <t>Pomacentrus coelestis</t>
  </si>
  <si>
    <t>coelestis</t>
  </si>
  <si>
    <t>Kingsford, M. J., et al. "The short‐lived neon damsel Pomacentrus coelestis: implications for population dynamics." Journal of fish biology 90.5 (2017): 2041-2059.</t>
  </si>
  <si>
    <t>wild</t>
  </si>
  <si>
    <t>3.2 ±0.28</t>
  </si>
  <si>
    <t>https://www.saltwateraquariumblog.com/yellow-coris-wrasse-care/#anchor-3</t>
  </si>
  <si>
    <t>Based off of two species in genus, but with two records for each</t>
  </si>
  <si>
    <r>
      <rPr>
        <sz val="10"/>
        <color theme="1"/>
        <rFont val="Arial"/>
        <family val="2"/>
      </rPr>
      <t xml:space="preserve">Closest to </t>
    </r>
    <r>
      <rPr>
        <i/>
        <sz val="10"/>
        <color theme="1"/>
        <rFont val="Arial"/>
        <family val="2"/>
      </rPr>
      <t xml:space="preserve">Paragobiodon </t>
    </r>
    <r>
      <rPr>
        <sz val="10"/>
        <color theme="1"/>
        <rFont val="Arial"/>
        <family val="2"/>
      </rPr>
      <t>(Thacker and Roje 2011)</t>
    </r>
  </si>
  <si>
    <t>http://oceanaquaristic.blogspot.com/2011/02/dendrochirus-zebra.html</t>
  </si>
  <si>
    <t>not specified</t>
  </si>
  <si>
    <r>
      <rPr>
        <i/>
        <sz val="10"/>
        <color theme="1"/>
        <rFont val="Arial"/>
        <family val="2"/>
      </rPr>
      <t xml:space="preserve">Pterois </t>
    </r>
    <r>
      <rPr>
        <sz val="10"/>
        <color theme="1"/>
        <rFont val="Arial"/>
        <family val="2"/>
      </rPr>
      <t xml:space="preserve">&amp; </t>
    </r>
    <r>
      <rPr>
        <i/>
        <sz val="10"/>
        <color theme="1"/>
        <rFont val="Arial"/>
        <family val="2"/>
      </rPr>
      <t xml:space="preserve">Dendrochirus </t>
    </r>
    <r>
      <rPr>
        <sz val="10"/>
        <color theme="1"/>
        <rFont val="Arial"/>
        <family val="2"/>
      </rPr>
      <t xml:space="preserve">are closely related (Smith </t>
    </r>
    <r>
      <rPr>
        <i/>
        <sz val="10"/>
        <color theme="1"/>
        <rFont val="Arial"/>
        <family val="2"/>
      </rPr>
      <t>et al.</t>
    </r>
    <r>
      <rPr>
        <sz val="10"/>
        <color theme="1"/>
        <rFont val="Arial"/>
        <family val="2"/>
      </rPr>
      <t xml:space="preserve"> 2018)</t>
    </r>
  </si>
  <si>
    <r>
      <rPr>
        <sz val="10"/>
        <color theme="1"/>
        <rFont val="Arial"/>
        <family val="2"/>
      </rPr>
      <t xml:space="preserve">Based on </t>
    </r>
    <r>
      <rPr>
        <i/>
        <sz val="10"/>
        <color theme="1"/>
        <rFont val="Arial"/>
        <family val="2"/>
      </rPr>
      <t>Balistapus undulatus</t>
    </r>
  </si>
  <si>
    <t>https://animal-world.com/encyclo/marine/damsels/NeonVelvetDamsel.php#:~:text=These%20damsels%20are%20good%20sized,typically%2015%20years%20in%20captivity.</t>
  </si>
  <si>
    <r>
      <rPr>
        <sz val="10"/>
        <color theme="1"/>
        <rFont val="Arial"/>
        <family val="2"/>
      </rPr>
      <t>From Neogl</t>
    </r>
    <r>
      <rPr>
        <i/>
        <sz val="10"/>
        <color theme="1"/>
        <rFont val="Arial"/>
        <family val="2"/>
      </rPr>
      <t>yphidodon melas</t>
    </r>
  </si>
  <si>
    <t>Amphiprion sebae</t>
  </si>
  <si>
    <t>sebae</t>
  </si>
  <si>
    <t>https://animal-world.com/encyclo/marine/clowns/sebae.php#:~:text=This%20species%20is%20the%20largest,12%20years%2C%20and%20possible%20longer.</t>
  </si>
  <si>
    <t>2.7 ±0.31</t>
  </si>
  <si>
    <t>Oviparous, distinct pairing during breeding (Ref. 205). Eggs are demersal and adhere to the substrate (Ref. 205). Males guard and aerate the eggs (Ref. 205). Also Ref. 7471.</t>
  </si>
  <si>
    <t>Closest A. chrysopterus</t>
  </si>
  <si>
    <t>Pictichromis paccagnellorum</t>
  </si>
  <si>
    <t>paccagnellorum</t>
  </si>
  <si>
    <t>Synchiropus picturatus</t>
  </si>
  <si>
    <t>picturatus</t>
  </si>
  <si>
    <t>Genus level</t>
  </si>
  <si>
    <t>Synchiropus sp.</t>
  </si>
  <si>
    <t>sp.</t>
  </si>
  <si>
    <t>https://animal-world.com/encyclo/marine/damsels/talbots.php</t>
  </si>
  <si>
    <t>Synonym of #158 below (Pseudochromis diadema)</t>
  </si>
  <si>
    <t>Regional and association with coral growth</t>
  </si>
  <si>
    <t>Centropyge argi</t>
  </si>
  <si>
    <t>argi</t>
  </si>
  <si>
    <t>Oviparous, distinct pairing (Ref. 240). Monogamous mating is observed as both facultative and social (Ref. 52884).</t>
  </si>
  <si>
    <t>Widespread and association with rubble areas</t>
  </si>
  <si>
    <t>Halichoeres sp.</t>
  </si>
  <si>
    <t>Nemanthias dispar</t>
  </si>
  <si>
    <t>Nemanthias</t>
  </si>
  <si>
    <t>dispar</t>
  </si>
  <si>
    <t>https://exotic-aquariums.com/two-spot-goby.html</t>
  </si>
  <si>
    <t>https://www.reef2reef.com/ams/genus-paracheilinus-the-flasher-wrasses.872/</t>
  </si>
  <si>
    <r>
      <rPr>
        <sz val="10"/>
        <color theme="1"/>
        <rFont val="Arial"/>
        <family val="2"/>
      </rPr>
      <t xml:space="preserve">Based on Allen </t>
    </r>
    <r>
      <rPr>
        <i/>
        <sz val="10"/>
        <color theme="1"/>
        <rFont val="Arial"/>
        <family val="2"/>
      </rPr>
      <t>et al.</t>
    </r>
    <r>
      <rPr>
        <sz val="10"/>
        <color theme="1"/>
        <rFont val="Arial"/>
        <family val="2"/>
      </rPr>
      <t xml:space="preserve"> 2016, </t>
    </r>
    <r>
      <rPr>
        <i/>
        <sz val="10"/>
        <color theme="1"/>
        <rFont val="Arial"/>
        <family val="2"/>
      </rPr>
      <t xml:space="preserve">Paracheilinus </t>
    </r>
    <r>
      <rPr>
        <sz val="10"/>
        <color theme="1"/>
        <rFont val="Arial"/>
        <family val="2"/>
      </rPr>
      <t xml:space="preserve">is close to </t>
    </r>
    <r>
      <rPr>
        <i/>
        <sz val="10"/>
        <color theme="1"/>
        <rFont val="Arial"/>
        <family val="2"/>
      </rPr>
      <t xml:space="preserve">Cirrhilabrus. Thus, we will use range of </t>
    </r>
    <r>
      <rPr>
        <sz val="10"/>
        <color theme="1"/>
        <rFont val="Arial"/>
        <family val="2"/>
      </rPr>
      <t>Cirrhilabrus species</t>
    </r>
  </si>
  <si>
    <t>M Amin, Amal, Azza A El-Ganainy, and Manal M Sabrah. "Biological aspects and exploitation of Plectorhinchus gaterinus (Forsskal, 1839)(F: Haemulidae) from the northern Red Sea, El-Tor, Egypt." Egyptian Journal of Aquatic Biology and Fisheries 23.5 (Special Issue) (2019): 405-413.</t>
  </si>
  <si>
    <t>Opistognathus aurifrons</t>
  </si>
  <si>
    <t>Opistognathus</t>
  </si>
  <si>
    <t>aurifrons</t>
  </si>
  <si>
    <t>Opistognathidae</t>
  </si>
  <si>
    <t>3.0 ±0.1</t>
  </si>
  <si>
    <t>Mouthbrooders. Eggs which are clumped together in a sticky ball get incubated inside the male's mouth (Ref. 5521). Monogamous mating is observed irrespective of resource abundance (Ref. 52884).</t>
  </si>
  <si>
    <t>Cowen, R. K., Paris, C. B. &amp; Srinivasan, A. Scaling of connectivity in marine populations. Science 311, 522–527 (2006).
Young,F.A.Theyellowheadjawfish:breedingthemarine mouthbrooderincaptivity.FreshwaterandMarineAquarium4,50–51(1982).
23. Ho, A. L. F. C., Pruett, C. L. &amp; Lin, J. Population genetic structure, coloration, and morphometrics of yellowhead jawfish Opistognathus
aurifrons (Perciformes: Opistognathidae) in the Caribbean region. Marine Ecology Progress Series 444, 275–287 (2012).</t>
  </si>
  <si>
    <t>Acanthurus leucosternon</t>
  </si>
  <si>
    <t>leucosternon</t>
  </si>
  <si>
    <t>Paired spawning (Ref. 240). Monogamous mating is observed as both obligate and social (Ref. 52884).</t>
  </si>
  <si>
    <r>
      <rPr>
        <sz val="10"/>
        <color theme="1"/>
        <rFont val="Arial"/>
        <family val="2"/>
      </rPr>
      <t xml:space="preserve">May use same data as Acanthurus spp. May hybridize with </t>
    </r>
    <r>
      <rPr>
        <i/>
        <sz val="10"/>
        <color theme="1"/>
        <rFont val="Arial"/>
        <family val="2"/>
      </rPr>
      <t xml:space="preserve"> A.japonicus. </t>
    </r>
    <r>
      <rPr>
        <sz val="10"/>
        <color theme="1"/>
        <rFont val="Arial"/>
        <family val="2"/>
      </rPr>
      <t>In general, these species have 40-70 PLD, which is considered &gt;30.</t>
    </r>
  </si>
  <si>
    <t>https://www.saltwateraquariumblog.com/red-coris-wrasse-care-guide/</t>
  </si>
  <si>
    <t>https://livegemfactory.com/product/damsel-pink/</t>
  </si>
  <si>
    <t>Pomacentrus alleni</t>
  </si>
  <si>
    <t>alleni</t>
  </si>
  <si>
    <t>https://www.ultimatereef.net/threads/allens-damsel-lifespan.876458/</t>
  </si>
  <si>
    <t xml:space="preserve">62, 68, 71, 74, 75
</t>
  </si>
  <si>
    <r>
      <rPr>
        <sz val="10"/>
        <color theme="1"/>
        <rFont val="Arial"/>
        <family val="2"/>
      </rPr>
      <t xml:space="preserve">From </t>
    </r>
    <r>
      <rPr>
        <i/>
        <sz val="10"/>
        <color theme="1"/>
        <rFont val="Arial"/>
        <family val="2"/>
      </rPr>
      <t xml:space="preserve">Pomacentrus amboinensis </t>
    </r>
  </si>
  <si>
    <t>Gobiodon atrangulatus</t>
  </si>
  <si>
    <t>atrangulatus</t>
  </si>
  <si>
    <t>Monogamous mating is observed as both obigate and social (Ref. 52884).</t>
  </si>
  <si>
    <t>Synchiropus marmoratus</t>
  </si>
  <si>
    <t>marmoratus</t>
  </si>
  <si>
    <t>https://www.baybridgeaquarium.com/products/marbled-dragonet</t>
  </si>
  <si>
    <t xml:space="preserve">Restricted and association with particular species </t>
  </si>
  <si>
    <t>http://reefcentral.com/forums/showthread.php?t=1157146&amp;page=2</t>
  </si>
  <si>
    <t>https://starthrower.org/products/DDDB/DDDB_100-149/DDDB_141%20zebra%20goby.htm</t>
  </si>
  <si>
    <t>Widespread and association with multiple habitats</t>
  </si>
  <si>
    <t>Ecsenius sp.</t>
  </si>
  <si>
    <t>Cirrhilabrus solorensis</t>
  </si>
  <si>
    <t>solorensis</t>
  </si>
  <si>
    <t>25.55-27.3</t>
  </si>
  <si>
    <t>Lactoria cornuta</t>
  </si>
  <si>
    <t>Lactoria</t>
  </si>
  <si>
    <t>cornuta</t>
  </si>
  <si>
    <t>Ostraciidae</t>
  </si>
  <si>
    <t>https://animal-world.com/encyclo/marine/angels/koran.php</t>
  </si>
  <si>
    <t>Azurina cyanea</t>
  </si>
  <si>
    <t>Azurina</t>
  </si>
  <si>
    <t>3.7 ±0.36</t>
  </si>
  <si>
    <t>Average of values found for Chromis notata, atripectoralis, viridis, cyanea</t>
  </si>
  <si>
    <t>Ecsenius bicolor</t>
  </si>
  <si>
    <t>Based on only 2 species instead of 3</t>
  </si>
  <si>
    <t>Apogon sp.</t>
  </si>
  <si>
    <t>Apogon</t>
  </si>
  <si>
    <t>3.6 ±0.5</t>
  </si>
  <si>
    <t>Koumansetta rainfordi</t>
  </si>
  <si>
    <t>Koumansetta</t>
  </si>
  <si>
    <t>rainfordi</t>
  </si>
  <si>
    <t>* Phylogenetically close to K. hectori</t>
  </si>
  <si>
    <t>Salarias sp.</t>
  </si>
  <si>
    <t>N/A</t>
  </si>
  <si>
    <t>Chrysiptera sp.</t>
  </si>
  <si>
    <t>https://www.baybridgeaquarium.com/products/staghorn-damselfish</t>
  </si>
  <si>
    <t>Widespread and association with particular corals</t>
  </si>
  <si>
    <t>Acanthurus lineatus</t>
  </si>
  <si>
    <t>lineatus</t>
  </si>
  <si>
    <t>Form spawning aggregations, but spawn in pairs (Ref. 27825).</t>
  </si>
  <si>
    <t>carlson, 1992</t>
  </si>
  <si>
    <t>Mirolabrichthys tuka</t>
  </si>
  <si>
    <t>Mirolabrichthys</t>
  </si>
  <si>
    <t>tuka</t>
  </si>
  <si>
    <t>3.6 ±0.41</t>
  </si>
  <si>
    <t>Pomacentrus caeruleus</t>
  </si>
  <si>
    <t>caeruleus</t>
  </si>
  <si>
    <t>generalized based on genus level values</t>
  </si>
  <si>
    <t>Gobiodon citrinus</t>
  </si>
  <si>
    <t>citrinus</t>
  </si>
  <si>
    <t>3.3 ±0.6</t>
  </si>
  <si>
    <t>Oviparous, demersal spawner (Ref. 101194).</t>
  </si>
  <si>
    <t>Widespread and association with particular species of invertebrates</t>
  </si>
  <si>
    <t>Restricted and broad range of habitats</t>
  </si>
  <si>
    <t>Chromis sp.</t>
  </si>
  <si>
    <t>3.0 ±0.0</t>
  </si>
  <si>
    <t>Zoramia leptacanthus</t>
  </si>
  <si>
    <t>Zoramia</t>
  </si>
  <si>
    <t>leptacanthus</t>
  </si>
  <si>
    <t>Mouthbrooders (Ref. 240). Distinct pairing during courtship and spawning (Ref. 205). Displays obligate monogamy where a one-to-one pair is established irrespective of resource abundance (Ref. 52884).</t>
  </si>
  <si>
    <t>48, 71, 80, 74, 81, 82</t>
  </si>
  <si>
    <r>
      <rPr>
        <sz val="10"/>
        <color theme="1"/>
        <rFont val="Arial"/>
        <family val="2"/>
      </rPr>
      <t xml:space="preserve">Based on range of </t>
    </r>
    <r>
      <rPr>
        <i/>
        <sz val="10"/>
        <color theme="1"/>
        <rFont val="Arial"/>
        <family val="2"/>
      </rPr>
      <t xml:space="preserve">Cheilodipterus </t>
    </r>
    <r>
      <rPr>
        <sz val="10"/>
        <color theme="1"/>
        <rFont val="Arial"/>
        <family val="2"/>
      </rPr>
      <t>&amp; Ostorhinchus spp.</t>
    </r>
  </si>
  <si>
    <t>Diodon hystrix</t>
  </si>
  <si>
    <t>Diodon</t>
  </si>
  <si>
    <t>hystrix</t>
  </si>
  <si>
    <t>Diodontidae</t>
  </si>
  <si>
    <t>3.7 ±0.0</t>
  </si>
  <si>
    <t>Arothron hispidus, closest based on Yamanoue, Y., Miya, M., Matsuura, K. et al. A new perspective on phylogeny and evolution of tetraodontiform fishes (Pisces: Acanthopterygii) based on whole mitochondrial genome sequences: Basal ecological diversification?. BMC Evol Biol 8, 212 (2008). https://doi.org/10.1186/1471-2148-8-212</t>
  </si>
  <si>
    <t>*Source lists "thousands of eggs" - so this is an estimate</t>
  </si>
  <si>
    <t>Chromileptes altivelis</t>
  </si>
  <si>
    <t>Chromileptes</t>
  </si>
  <si>
    <t>altivelis</t>
  </si>
  <si>
    <t>Epinephelidae</t>
  </si>
  <si>
    <t>4.5 ±0.80</t>
  </si>
  <si>
    <t>open water/substratum egg scatterers</t>
  </si>
  <si>
    <t>https://animal-world.com/encyclo/marine/angels/heralds.php</t>
  </si>
  <si>
    <t>Two sources for R. aculeatus differ greatly in number</t>
  </si>
  <si>
    <t>Generalized</t>
  </si>
  <si>
    <t>Amphiprion clarkii</t>
  </si>
  <si>
    <t>clarkii</t>
  </si>
  <si>
    <t>Benthic spawner. Sex reversal is completed in less than 5-6 months (Ref. 34185). Oviparous, distinct pairing during breeding (Ref. 205). Monogamous mating is observed as both obligate and social (Ref. 52884). Eggs are demersal and adhere to the substrate (Ref. 205). Males guard and aerate the eggs (Ref. 205).</t>
  </si>
  <si>
    <t>Amblygobius phalaena</t>
  </si>
  <si>
    <t>Amblygobius</t>
  </si>
  <si>
    <t>phalaena</t>
  </si>
  <si>
    <t>Monogamous mating is observed as both facultative and social (Ref. 52884, 58559). Although a few pairs changed partners, most pairs remained together over successive rounds of spawnings according to a study (Ref. 84980). Spawning cycle is semilunar. Males construct burrows where the eggs are deposited. Only the males guard the burrows, occassionaly fanning the eggs to provide oxygenated sea water to the burrow. They do this about 41% of the time at the expense of feeding. Egg guarding lasts for 3-4 days after which the eggs hatch in time for the full or new moon phases (Ref. 84980). Parental care shifted from male to female in a study where the male parent was removed from the burrow which according to the study could be attributed to the spatial closeness of the parents and no requirement of special structures for guarding the offsprings (Ref. ).</t>
  </si>
  <si>
    <t>https://onlinelibrary.wiley.com/doi/full/10.1111/j.1420-9101.2005.00969.x</t>
  </si>
  <si>
    <t>https://animal-world.com/encyclo/marine/wrasses/LeopardWrasse.php</t>
  </si>
  <si>
    <t>Cryptocentrus cyanotaenia</t>
  </si>
  <si>
    <t>cyanotaenia</t>
  </si>
  <si>
    <t>Restricted and association with particular habitat and species of invertebrates</t>
  </si>
  <si>
    <t>54,1</t>
  </si>
  <si>
    <t>Listed as "Detrivore" in source 54, and congeners are listed as Herbivores in Fishbase</t>
  </si>
  <si>
    <r>
      <rPr>
        <sz val="10"/>
        <color theme="1"/>
        <rFont val="Arial"/>
        <family val="2"/>
      </rPr>
      <t xml:space="preserve">Close to </t>
    </r>
    <r>
      <rPr>
        <i/>
        <sz val="10"/>
        <color theme="1"/>
        <rFont val="Arial"/>
        <family val="2"/>
      </rPr>
      <t xml:space="preserve">C. binotatus (Based on Sorensen </t>
    </r>
    <r>
      <rPr>
        <sz val="10"/>
        <color theme="1"/>
        <rFont val="Arial"/>
        <family val="2"/>
      </rPr>
      <t>et al.</t>
    </r>
    <r>
      <rPr>
        <i/>
        <sz val="10"/>
        <color theme="1"/>
        <rFont val="Arial"/>
        <family val="2"/>
      </rPr>
      <t>)</t>
    </r>
  </si>
  <si>
    <t>Widespread and association with coral-rich areas</t>
  </si>
  <si>
    <t>Serranus tortugarum</t>
  </si>
  <si>
    <t>Serranus</t>
  </si>
  <si>
    <t>tortugarum</t>
  </si>
  <si>
    <t>Serranidae</t>
  </si>
  <si>
    <t>Pelagic spawner.</t>
  </si>
  <si>
    <t>Pelagic spawner, nonguarder</t>
  </si>
  <si>
    <t>*Calculated as average of earliest and latest spawn number, multiplied by observed spawnings for fish 1 in table one of the cited paper. Cited from Fischer, Eric A., and Preston D. Hardison. "The timing of spawning and egg production as constraints on male mating success in a simultaneously hermaphroditic fish." Environmental Biology of Fishes 20.4 (1987): 301-310.</t>
  </si>
  <si>
    <r>
      <rPr>
        <sz val="10"/>
        <color theme="1"/>
        <rFont val="Arial"/>
        <family val="2"/>
      </rPr>
      <t xml:space="preserve">Range of </t>
    </r>
    <r>
      <rPr>
        <i/>
        <sz val="10"/>
        <color theme="1"/>
        <rFont val="Arial"/>
        <family val="2"/>
      </rPr>
      <t xml:space="preserve">Serranus baldwini </t>
    </r>
    <r>
      <rPr>
        <sz val="10"/>
        <color theme="1"/>
        <rFont val="Arial"/>
        <family val="2"/>
      </rPr>
      <t xml:space="preserve">and </t>
    </r>
    <r>
      <rPr>
        <i/>
        <sz val="10"/>
        <color theme="1"/>
        <rFont val="Arial"/>
        <family val="2"/>
      </rPr>
      <t>tigrinus</t>
    </r>
  </si>
  <si>
    <t>Centropyge eibli</t>
  </si>
  <si>
    <t>eibli</t>
  </si>
  <si>
    <t>2.7 ±0.40</t>
  </si>
  <si>
    <t>Ecsenius midas</t>
  </si>
  <si>
    <t>midas</t>
  </si>
  <si>
    <t>2.6 ±0.29</t>
  </si>
  <si>
    <t>Valenciennea sexguttata</t>
  </si>
  <si>
    <t>sexguttata</t>
  </si>
  <si>
    <t>Values found for congener S. yasha ranged far lower than family average</t>
  </si>
  <si>
    <r>
      <rPr>
        <sz val="10"/>
        <color theme="1"/>
        <rFont val="Arial"/>
        <family val="2"/>
      </rPr>
      <t xml:space="preserve">Based on </t>
    </r>
    <r>
      <rPr>
        <i/>
        <sz val="10"/>
        <color theme="1"/>
        <rFont val="Arial"/>
        <family val="2"/>
      </rPr>
      <t>Pseudobalistes flavimarginatus</t>
    </r>
  </si>
  <si>
    <t>Pycnochromis retrofasciatus</t>
  </si>
  <si>
    <t xml:space="preserve">Pycnochromis </t>
  </si>
  <si>
    <t>retrofasciatus</t>
  </si>
  <si>
    <t>https://www.ncbi.nlm.nih.gov/pmc/articles/PMC4933090/</t>
  </si>
  <si>
    <t>Platax orbicularis</t>
  </si>
  <si>
    <t>Platax</t>
  </si>
  <si>
    <t>orbicularis</t>
  </si>
  <si>
    <t>Ephippidae</t>
  </si>
  <si>
    <t>3.3 ±0.49</t>
  </si>
  <si>
    <t>Platax pinnatus</t>
  </si>
  <si>
    <t>Acreichthys tomentosus</t>
  </si>
  <si>
    <t>Acreichthys</t>
  </si>
  <si>
    <t>tomentosus</t>
  </si>
  <si>
    <t>Monacanthidae</t>
  </si>
  <si>
    <t>3.0 ±0.39</t>
  </si>
  <si>
    <t>Kawase, Hiroshi, and Akinobu Nakazono. "Predominant maternal egg care and promiscuous mating system in the Japanese filefish, Rudarius ercodes (Monacanthidae)." Environmental biology of fishes 43.3 (1995): 241-254.</t>
  </si>
  <si>
    <r>
      <rPr>
        <sz val="10"/>
        <rFont val="Arial"/>
        <family val="2"/>
      </rPr>
      <t xml:space="preserve">*Source doesn't mention how many spawns occur yearly. Values for filefish are typically below 1000. Source: </t>
    </r>
    <r>
      <rPr>
        <u/>
        <sz val="10"/>
        <color rgb="FF1155CC"/>
        <rFont val="Arial"/>
        <family val="2"/>
      </rPr>
      <t>https://aquainfo.org/acreichthys-tomentosus-bristle-tail-file-fish/</t>
    </r>
  </si>
  <si>
    <t>Gobiodon sp.</t>
  </si>
  <si>
    <t>Ecsenius pulcher</t>
  </si>
  <si>
    <t>pulcher</t>
  </si>
  <si>
    <t>https://fishkeepingfolks.com/ecsenius-pulcher-gulf-blenny-care/</t>
  </si>
  <si>
    <t>Dascyllus sp.</t>
  </si>
  <si>
    <t>Dunckerocampus dactyliophorus</t>
  </si>
  <si>
    <t>Dunckerocampus</t>
  </si>
  <si>
    <t>dactyliophorus</t>
  </si>
  <si>
    <t>Syngnathidae</t>
  </si>
  <si>
    <t>reef app/aquarium wiki</t>
  </si>
  <si>
    <t>3.8 ±0.55</t>
  </si>
  <si>
    <t>Male carries the eggs in a brood pouch (Ref. 205).</t>
  </si>
  <si>
    <t>Brood pouch</t>
  </si>
  <si>
    <t>86, 87, 88</t>
  </si>
  <si>
    <r>
      <rPr>
        <i/>
        <sz val="10"/>
        <color theme="1"/>
        <rFont val="Arial"/>
        <family val="2"/>
      </rPr>
      <t xml:space="preserve">D. dactyliophorus </t>
    </r>
    <r>
      <rPr>
        <i/>
        <sz val="10"/>
        <color theme="1"/>
        <rFont val="Arial"/>
        <family val="2"/>
      </rPr>
      <t>is ovoviviparous and males carry embryos until live birth. Note that although seahorses hatch as juveniles, they have a pelagic stage.</t>
    </r>
  </si>
  <si>
    <t>Synonymous to C. ferrugatus below (#180)</t>
  </si>
  <si>
    <t>nimal-world.com/encyclo/marine/angels/rusty.php</t>
  </si>
  <si>
    <t>Ostracion cubicum</t>
  </si>
  <si>
    <t>Ostracion</t>
  </si>
  <si>
    <t>cubicum</t>
  </si>
  <si>
    <t>3.4 ±0.48</t>
  </si>
  <si>
    <t>Occurs in harems consisting of single males and 2-4 females (Ref. 37175).</t>
  </si>
  <si>
    <t>Centropyge tibicen</t>
  </si>
  <si>
    <t>tibicen</t>
  </si>
  <si>
    <t>2.8 ±0.35</t>
  </si>
  <si>
    <t>Sex reversal is completed in 29-35 days (Ref. 34253).</t>
  </si>
  <si>
    <t>nonguarder</t>
  </si>
  <si>
    <t>Widespread and locally sparse within several different habitats</t>
  </si>
  <si>
    <t>Cirrhilabrus rubriventralis</t>
  </si>
  <si>
    <t>rubriventralis</t>
  </si>
  <si>
    <t>Pterois antennata</t>
  </si>
  <si>
    <t>antennata</t>
  </si>
  <si>
    <t>3.6 ±0.59</t>
  </si>
  <si>
    <r>
      <rPr>
        <sz val="10"/>
        <color theme="1"/>
        <rFont val="Arial"/>
        <family val="2"/>
      </rPr>
      <t xml:space="preserve">*Average of a genus-level generalization, and one species in genus </t>
    </r>
    <r>
      <rPr>
        <i/>
        <sz val="10"/>
        <color theme="1"/>
        <rFont val="Arial"/>
        <family val="2"/>
      </rPr>
      <t>Pterois</t>
    </r>
  </si>
  <si>
    <r>
      <rPr>
        <sz val="10"/>
        <color theme="1"/>
        <rFont val="Arial"/>
        <family val="2"/>
      </rPr>
      <t xml:space="preserve">From </t>
    </r>
    <r>
      <rPr>
        <i/>
        <sz val="10"/>
        <color theme="1"/>
        <rFont val="Arial"/>
        <family val="2"/>
      </rPr>
      <t>Pterois volitans</t>
    </r>
  </si>
  <si>
    <t>Widespread and association with coral structure for shelter</t>
  </si>
  <si>
    <r>
      <rPr>
        <sz val="10"/>
        <color theme="1"/>
        <rFont val="Arial"/>
        <family val="2"/>
      </rPr>
      <t xml:space="preserve">Based on </t>
    </r>
    <r>
      <rPr>
        <i/>
        <sz val="10"/>
        <color theme="1"/>
        <rFont val="Arial"/>
        <family val="2"/>
      </rPr>
      <t>Rhinecanthus rectangulaatus</t>
    </r>
  </si>
  <si>
    <t>Average of fecundity values found for A. maculatus, amboinensis, imberbis</t>
  </si>
  <si>
    <t>Chromis analis</t>
  </si>
  <si>
    <t>analis</t>
  </si>
  <si>
    <t>3.0 ±0.10</t>
  </si>
  <si>
    <r>
      <rPr>
        <sz val="10"/>
        <color theme="1"/>
        <rFont val="Arial"/>
        <family val="2"/>
      </rPr>
      <t xml:space="preserve">From </t>
    </r>
    <r>
      <rPr>
        <sz val="10"/>
        <color theme="1"/>
        <rFont val="Arial"/>
        <family val="2"/>
      </rPr>
      <t>Chromis weberi</t>
    </r>
  </si>
  <si>
    <t>Amphiprion bicinctus</t>
  </si>
  <si>
    <t>bicinctus</t>
  </si>
  <si>
    <t>https://www.orafarm.com/product/red-sea-two-band-clownfish/#:~:text=This%20feature%20has%20won%20them,than%2020%20years%20in%20captivity.</t>
  </si>
  <si>
    <t>Oviparous, distinct pairing during breeding (Ref. 205). Monogamous mating is observed as both obligate and social (Ref. 52884). Eggs are demersal and adhere to the substrate (Ref. 205). Males guard and aerate the eggs (Ref. 205). Sex reversal is completed in 26-145 days (Ref. 34185). In a field test, a functional male laid eggs in 26 days after removal of the female from the area (Ref. 240, 32167).</t>
  </si>
  <si>
    <t>"number of larvae found" Source: Clarke, Thomas A. "Larvae of nearshore fishes in oceanic waters near Oahu, Hawaii." (1991).</t>
  </si>
  <si>
    <t>Meiacanthus atrodorsalis</t>
  </si>
  <si>
    <t>Meiacanthus</t>
  </si>
  <si>
    <t>atrodorsalis</t>
  </si>
  <si>
    <t>Average of source: Moorhead, Jonathan A., and Chaoshu Zeng. "Breeding of the forktail blenny Meiacanthus atrodorsalis: broodstock management and larval rearing." Aquaculture 318.1-2 (2011): 248-252.</t>
  </si>
  <si>
    <t>74
Lin, HC., Hastings, P.A. Phylogeny and biogeography of a shallow water fish clade (Teleostei: Blenniiformes). BMC Evol Biol 13, 210 (2013). https://doi.org/10.1186/1471-2148-13-210"</t>
  </si>
  <si>
    <t>close to Petrocirtes</t>
  </si>
  <si>
    <t>Pseudanthias sp.</t>
  </si>
  <si>
    <t>Thalassoma lunare</t>
  </si>
  <si>
    <t>Thalassoma</t>
  </si>
  <si>
    <t>lunare</t>
  </si>
  <si>
    <t>https://pictolife.net/pages/popup.php?espece=Poissons&amp;id=457&amp;menu=1</t>
  </si>
  <si>
    <t>A diandric species (Ref. 55367). Length at sex change = 11.0 cm TL, forms leks during breeding (Ref. 55367).</t>
  </si>
  <si>
    <t xml:space="preserve">non-monogamous, forms leks, </t>
  </si>
  <si>
    <t>Thalassoma amblycephalus</t>
  </si>
  <si>
    <t>amblycephalus</t>
  </si>
  <si>
    <t>Synonym of #55 above</t>
  </si>
  <si>
    <t>Pseudochromis diadema</t>
  </si>
  <si>
    <t>Pseudochromis</t>
  </si>
  <si>
    <t>https://www.theaquariumwiki.com/wiki/Pictichromis_diadema</t>
  </si>
  <si>
    <t>Synonym of Pictichromis diadema</t>
  </si>
  <si>
    <t>Halichoeres trispilus</t>
  </si>
  <si>
    <t>trispilus</t>
  </si>
  <si>
    <t>3.3 ±0.5</t>
  </si>
  <si>
    <r>
      <rPr>
        <sz val="10"/>
        <color theme="1"/>
        <rFont val="Arial"/>
        <family val="2"/>
      </rPr>
      <t xml:space="preserve">Range of </t>
    </r>
    <r>
      <rPr>
        <i/>
        <sz val="10"/>
        <color theme="1"/>
        <rFont val="Arial"/>
        <family val="2"/>
      </rPr>
      <t>Halichoeres spp.</t>
    </r>
  </si>
  <si>
    <t>Widespread and association with rich invertebrate growth</t>
  </si>
  <si>
    <t>Diodon holocanthus</t>
  </si>
  <si>
    <t>holocanthus</t>
  </si>
  <si>
    <t>https://www.rosamondgiffordzoo.org/experience/animals/fish/freckled-porcupinefish/</t>
  </si>
  <si>
    <t>3.9 ±0.2</t>
  </si>
  <si>
    <t>10,46,52</t>
  </si>
  <si>
    <t>Plectroglyphidodon aureus</t>
  </si>
  <si>
    <t>Plectroglyphidodon</t>
  </si>
  <si>
    <t>aureus</t>
  </si>
  <si>
    <t>Listed as "Primary Consumer" in source 53</t>
  </si>
  <si>
    <t>Stegastes nigricans</t>
  </si>
  <si>
    <t>Chaetodontoplus mesoleucus</t>
  </si>
  <si>
    <t>mesoleucus</t>
  </si>
  <si>
    <t>https://animal-world.com/encyclo/marine/angels/chaemeso.php</t>
  </si>
  <si>
    <t>Protogyny has been proposed for this species awaiting confirmation (Ref. 103751).</t>
  </si>
  <si>
    <t>Chrysiptera springeri</t>
  </si>
  <si>
    <t>springeri</t>
  </si>
  <si>
    <r>
      <rPr>
        <sz val="10"/>
        <color theme="1"/>
        <rFont val="Arial"/>
        <family val="2"/>
      </rPr>
      <t xml:space="preserve">From </t>
    </r>
    <r>
      <rPr>
        <sz val="10"/>
        <color theme="1"/>
        <rFont val="Arial"/>
        <family val="2"/>
      </rPr>
      <t>Chrysiptera oxycephala</t>
    </r>
  </si>
  <si>
    <t>Regional and association with particular species of corals</t>
  </si>
  <si>
    <t>Koumansetta hectori</t>
  </si>
  <si>
    <t>hectori</t>
  </si>
  <si>
    <t>https://www.baybridgeaquarium.com/products/hectors-goby</t>
  </si>
  <si>
    <t>2.1 ±0.1</t>
  </si>
  <si>
    <t>68, 74</t>
  </si>
  <si>
    <t>Widespread and association with coral growth</t>
  </si>
  <si>
    <t>Acanthurus triostegus</t>
  </si>
  <si>
    <t>triostegus</t>
  </si>
  <si>
    <t>Form spawning aggregations (Ref. 27825).</t>
  </si>
  <si>
    <t>Elacatinus oceanops</t>
  </si>
  <si>
    <t>Elacatinus</t>
  </si>
  <si>
    <t>oceanops</t>
  </si>
  <si>
    <t>Pygoplites diacanthus</t>
  </si>
  <si>
    <t>Pygoplites</t>
  </si>
  <si>
    <t>diacanthus</t>
  </si>
  <si>
    <t>Gomphosus varius</t>
  </si>
  <si>
    <t>Gomphosus</t>
  </si>
  <si>
    <t>varius</t>
  </si>
  <si>
    <t>Plectroglyphidodon fasciolatus</t>
  </si>
  <si>
    <t>Ostorhinchus parvulus</t>
  </si>
  <si>
    <t>parvulus</t>
  </si>
  <si>
    <t>https://reefs.com/magazine/keeping-the-dwarf-cardinalfish-apogon-parvulus/</t>
  </si>
  <si>
    <t>3.2 ±0.5</t>
  </si>
  <si>
    <t>74, 48,90</t>
  </si>
  <si>
    <r>
      <rPr>
        <sz val="10"/>
        <color theme="1"/>
        <rFont val="Arial"/>
        <family val="2"/>
      </rPr>
      <t xml:space="preserve">Based on </t>
    </r>
    <r>
      <rPr>
        <i/>
        <sz val="10"/>
        <color theme="1"/>
        <rFont val="Arial"/>
        <family val="2"/>
      </rPr>
      <t xml:space="preserve">Apogon cyanosoma </t>
    </r>
    <r>
      <rPr>
        <sz val="10"/>
        <color theme="1"/>
        <rFont val="Arial"/>
        <family val="2"/>
      </rPr>
      <t xml:space="preserve">&amp; </t>
    </r>
    <r>
      <rPr>
        <i/>
        <sz val="10"/>
        <color theme="1"/>
        <rFont val="Arial"/>
        <family val="2"/>
      </rPr>
      <t>Apogon doederlini (</t>
    </r>
    <r>
      <rPr>
        <sz val="10"/>
        <color theme="1"/>
        <rFont val="Arial"/>
        <family val="2"/>
      </rPr>
      <t xml:space="preserve">Brothers &amp; Thresher 1983) and other </t>
    </r>
    <r>
      <rPr>
        <i/>
        <sz val="10"/>
        <color theme="1"/>
        <rFont val="Arial"/>
        <family val="2"/>
      </rPr>
      <t xml:space="preserve">Apogon </t>
    </r>
    <r>
      <rPr>
        <sz val="10"/>
        <color theme="1"/>
        <rFont val="Arial"/>
        <family val="2"/>
      </rPr>
      <t>spp. (Ishihara and Tachihara 2011)</t>
    </r>
  </si>
  <si>
    <t>Widespread and association with rocky reefs</t>
  </si>
  <si>
    <t>Zanclus cornutus</t>
  </si>
  <si>
    <t>Zanclus</t>
  </si>
  <si>
    <t>cornutus</t>
  </si>
  <si>
    <t>Zanclidae</t>
  </si>
  <si>
    <t>2.5 ±0.00</t>
  </si>
  <si>
    <t xml:space="preserve">Pari or spawning aggregations w/ thousands of individuals, pelagic eggs relased into water column &amp; after hatching, larvae live in the open sea for an extended period of up to several months. </t>
  </si>
  <si>
    <t>51, 59</t>
  </si>
  <si>
    <t>clouds of pelagic eggs relased</t>
  </si>
  <si>
    <t>SOL</t>
  </si>
  <si>
    <t>Suborder level - Generalized by family Acanthuridae/suborder Acanthuroidei</t>
  </si>
  <si>
    <t>Naso vlamingii</t>
  </si>
  <si>
    <t>vlamingii</t>
  </si>
  <si>
    <t>2.2 ±0.11</t>
  </si>
  <si>
    <t>Bodianus bimaculatus</t>
  </si>
  <si>
    <t>Bodianus</t>
  </si>
  <si>
    <t>bimaculatus</t>
  </si>
  <si>
    <t>3.5 ±0.49</t>
  </si>
  <si>
    <t>48
Francesco Santini, Laurie Sorenson, Michael E. Alfaro,
Phylogeny and biogeography of hogfishes and allies (Bodianus, Labridae),
Molecular Phylogenetics and Evolution,
Volume 99,
2016,
Pages 1-6,
ISSN 1055-7903,
https://doi.org/10.1016/j.ympev.2016.02.011.</t>
  </si>
  <si>
    <r>
      <rPr>
        <sz val="10"/>
        <color theme="1"/>
        <rFont val="Arial"/>
        <family val="2"/>
      </rPr>
      <t xml:space="preserve">From </t>
    </r>
    <r>
      <rPr>
        <sz val="10"/>
        <color theme="1"/>
        <rFont val="Arial"/>
        <family val="2"/>
      </rPr>
      <t>Bodianus perditio</t>
    </r>
  </si>
  <si>
    <t>Halichoeres hortulanus</t>
  </si>
  <si>
    <t>hortulanus</t>
  </si>
  <si>
    <t>3.4 ±0.42</t>
  </si>
  <si>
    <t>Chromis opercularis</t>
  </si>
  <si>
    <t>opercularis</t>
  </si>
  <si>
    <r>
      <rPr>
        <sz val="10"/>
        <color theme="1"/>
        <rFont val="Arial"/>
        <family val="2"/>
      </rPr>
      <t xml:space="preserve">From </t>
    </r>
    <r>
      <rPr>
        <i/>
        <sz val="10"/>
        <color theme="1"/>
        <rFont val="Arial"/>
        <family val="2"/>
      </rPr>
      <t>Chromis xanthura</t>
    </r>
  </si>
  <si>
    <t>Ecsenius bimaculatus</t>
  </si>
  <si>
    <t>https://www.reeflex.net/tiere/986_Ecsenius_bimaculatus.htm</t>
  </si>
  <si>
    <t>48
Lin, HC., Hastings, P.A. Phylogeny and biogeography of a shallow water fish clade (Teleostei: Blenniiformes). BMC Evol Biol 13, 210 (2013). https://doi.org/10.1186/1471-2148-13-210</t>
  </si>
  <si>
    <t>Gobiodon rivulatus</t>
  </si>
  <si>
    <t>rivulatus</t>
  </si>
  <si>
    <t>The male takes care of eggs deposited on a coral branch (Ref. 32163). Has the ability to change sex in both directions to favor reproductive success (Ref. 32163). Monogamous mating is observed as both obligate and social (Ref. 52884).</t>
  </si>
  <si>
    <t>Sphaeramia orbicularis</t>
  </si>
  <si>
    <t>3.6 ±0.51</t>
  </si>
  <si>
    <t>Courtship and spawning occur on a semi-lunar cycle, shortly before full and new moons (Ref. 37816). Distinct pairing during courtship and spawning (Ref. 205). Are mouthbrooders (Ref. 240). Males incubate up to 12,000 eggs for a period of about 8 days (Ref. 37816). After the pelagic larval phase, juveniles settle and grow at a rate of 3 to 6 mm per month (Ref. 37816).</t>
  </si>
  <si>
    <t>Widespread and restricted to coastal habitats</t>
  </si>
  <si>
    <t>Synonymous to C. ferrugatus above (#141)</t>
  </si>
  <si>
    <t>Doryrhamphus excisus</t>
  </si>
  <si>
    <t>Doryrhamphus</t>
  </si>
  <si>
    <t>excisus</t>
  </si>
  <si>
    <t>3.5 ±0.44</t>
  </si>
  <si>
    <t>Monogamous mating is observed as both obligate and genetic (Ref. 52884). Male carries the eggs in a brood pouch (Ref. 205).</t>
  </si>
  <si>
    <t>Breder, C.M. and Rosen, D.E. 1966. Modes of reproduction in fishes. T.F.H. Publications, Neptune City, New Jersey.
Dawson, C.E. 1985. Indo-Pacific Pipefishes (Red Sea to the Americas). The Gulf Coast Research Laboratory Ocean Springs, Mississippi, USA.
Job, S.D., Do, H.H., Meeuwig, J.J. &amp; Hall, H.J. (2002) Culturing the oceanic seahorse, Hippocampus kuda. Aquaculture, 214, 333-341</t>
  </si>
  <si>
    <t>Widespread and uncommon within several different habitats</t>
  </si>
  <si>
    <t>10,45</t>
  </si>
  <si>
    <t>Cirrhilabrus rubripinnis</t>
  </si>
  <si>
    <t>rubripinnis</t>
  </si>
  <si>
    <t>https://fishkeepingfolks.com/cirrhilabrus-rubripinnis/</t>
  </si>
  <si>
    <t>Chaetodon sp.</t>
  </si>
  <si>
    <t>Genicanthus lamarck</t>
  </si>
  <si>
    <t>Genicanthus</t>
  </si>
  <si>
    <t>lamarck</t>
  </si>
  <si>
    <t>https://animal-world.com/encyclo/marine/angels/lamark.php</t>
  </si>
  <si>
    <r>
      <rPr>
        <sz val="10"/>
        <color theme="1"/>
        <rFont val="Arial"/>
        <family val="2"/>
      </rPr>
      <t xml:space="preserve">Use </t>
    </r>
    <r>
      <rPr>
        <i/>
        <sz val="10"/>
        <color theme="1"/>
        <rFont val="Arial"/>
        <family val="2"/>
      </rPr>
      <t>Genicanthus melanospilos</t>
    </r>
  </si>
  <si>
    <t>Amphiprion allardi</t>
  </si>
  <si>
    <t>allardi</t>
  </si>
  <si>
    <t>https://animal-world.com/encyclo/marine/clowns/allards.php</t>
  </si>
  <si>
    <t>Oviparous, distinct pairing during breeding (Ref. 205). Eggs are demersal and adhere to the substrate (Ref. 205). Males guard and aerate the eggs (Ref. 205) deposited in cluster at the base of the sea anemone (Ref. 7471). Also Ref. 240.</t>
  </si>
  <si>
    <t>Regional and association with particular species of invertebrates</t>
  </si>
  <si>
    <t>Pseudojuloides sp.</t>
  </si>
  <si>
    <t>Pseudojuloides</t>
  </si>
  <si>
    <t>Bodianus mesothorax</t>
  </si>
  <si>
    <t>mesothorax</t>
  </si>
  <si>
    <t>Ophioblennius atlanticus</t>
  </si>
  <si>
    <t>Ophioblennius</t>
  </si>
  <si>
    <t>atlanticus</t>
  </si>
  <si>
    <t>https://animal-world.com/encyclo/marine/Blennies/RedlippedBlenny.php</t>
  </si>
  <si>
    <r>
      <rPr>
        <sz val="10"/>
        <color theme="1"/>
        <rFont val="Arial"/>
        <family val="2"/>
      </rPr>
      <t xml:space="preserve">Based on congeners </t>
    </r>
    <r>
      <rPr>
        <i/>
        <sz val="10"/>
        <color theme="1"/>
        <rFont val="Arial"/>
        <family val="2"/>
      </rPr>
      <t xml:space="preserve">O. maclurei </t>
    </r>
    <r>
      <rPr>
        <sz val="10"/>
        <color theme="1"/>
        <rFont val="Arial"/>
        <family val="2"/>
      </rPr>
      <t xml:space="preserve">&amp; </t>
    </r>
    <r>
      <rPr>
        <i/>
        <sz val="10"/>
        <color theme="1"/>
        <rFont val="Arial"/>
        <family val="2"/>
      </rPr>
      <t>O. steindachneri</t>
    </r>
  </si>
  <si>
    <t>Balistoides conspicillum</t>
  </si>
  <si>
    <t>Balistoides</t>
  </si>
  <si>
    <t>conspicillum</t>
  </si>
  <si>
    <t>3.3 ±0.39</t>
  </si>
  <si>
    <t>Distinct pairing (Ref. 205). Spawning occurs in patches of mixed coral rubble and sand on clear seaward reefs (Ref. 37816).</t>
  </si>
  <si>
    <t>Gramma melacara</t>
  </si>
  <si>
    <t>melacara</t>
  </si>
  <si>
    <r>
      <rPr>
        <sz val="10"/>
        <color theme="1"/>
        <rFont val="Arial"/>
        <family val="2"/>
      </rPr>
      <t xml:space="preserve">Use </t>
    </r>
    <r>
      <rPr>
        <i/>
        <sz val="10"/>
        <color theme="1"/>
        <rFont val="Arial"/>
        <family val="2"/>
      </rPr>
      <t>G. loreto</t>
    </r>
  </si>
  <si>
    <t>Choerodon fasciatus</t>
  </si>
  <si>
    <t>Choerodon</t>
  </si>
  <si>
    <t>Pycnochromis margaritifer</t>
  </si>
  <si>
    <t>Pycnochromis</t>
  </si>
  <si>
    <t>margaritifer</t>
  </si>
  <si>
    <t>https://www.baybridgeaquarium.com/products/bicolor-chromis</t>
  </si>
  <si>
    <t>3.0 ±0.25</t>
  </si>
  <si>
    <t>Cirrhilabrus exquisitus</t>
  </si>
  <si>
    <t>exquisitus</t>
  </si>
  <si>
    <t xml:space="preserve">3.4 ±0.45 </t>
  </si>
  <si>
    <t>Widespread and association with particular mushroom species</t>
  </si>
  <si>
    <t>Centropyge nox</t>
  </si>
  <si>
    <t>nox</t>
  </si>
  <si>
    <t>https://livefish.com.au/midnight-angelfish-medium</t>
  </si>
  <si>
    <t>Pomacentrus sp.</t>
  </si>
  <si>
    <t>Centropyge multicolor</t>
  </si>
  <si>
    <t>multicolor</t>
  </si>
  <si>
    <t>Range of Centropyge spp.</t>
  </si>
  <si>
    <t>Pomacanthus navarchus</t>
  </si>
  <si>
    <t>navarchus</t>
  </si>
  <si>
    <t>https://animal-world.com/encyclo/marine/angels/bluegirdled.php</t>
  </si>
  <si>
    <t>Paracirrhites arcatus</t>
  </si>
  <si>
    <t>Paracirrhites</t>
  </si>
  <si>
    <t>arcatus</t>
  </si>
  <si>
    <t>Distinct pairing. Spawning ascents into the water column occurred over a distance of 0.4 to 1.0 m (Ref. 26305).</t>
  </si>
  <si>
    <t>Hypoplectrus indigo</t>
  </si>
  <si>
    <t>Hypoplectrus</t>
  </si>
  <si>
    <t>indigo</t>
  </si>
  <si>
    <t>3.9 ±0.4</t>
  </si>
  <si>
    <t>Hypoplectrus puella</t>
  </si>
  <si>
    <t>Stegastes leucostictus</t>
  </si>
  <si>
    <t>leucostictus</t>
  </si>
  <si>
    <t>Oviparous, distinct pairing during breeding (Ref. 205). Males guard and aerate the eggs (Ref. 205). The eggs are deposited inside empty shells or under stones or shell (Ref. 39478).</t>
  </si>
  <si>
    <t>Egg estimate is based off of highest clutch size multiplied by highest total number of clutches in source. Source: Itzkowitz, M., et al. "Does it matter that male beaugregory damselfish have a mate preference?." Behavioral Ecology and Sociobiology 42.3 (1998): 149-155.</t>
  </si>
  <si>
    <t>Neopomacentrus nemurus</t>
  </si>
  <si>
    <t>Neopomacentrus</t>
  </si>
  <si>
    <t>nemurus</t>
  </si>
  <si>
    <t>Widespread and association with coral outcroppings during feeding</t>
  </si>
  <si>
    <t>Thalassoma bifasciatum</t>
  </si>
  <si>
    <t>bifasciatum</t>
  </si>
  <si>
    <t>3.3 ±0.1</t>
  </si>
  <si>
    <t>A diandric species (Ref. 55367). Sex reversal is completed in more than 3-4 weeks (Ref. 34185, 34257). Length at sex change = 8.3 cm TL, forms leks during breeding (Ref. 55367).</t>
  </si>
  <si>
    <t>non-monogamous, forms leks</t>
  </si>
  <si>
    <t>Chrysiptera unimaculata</t>
  </si>
  <si>
    <t>unimaculata</t>
  </si>
  <si>
    <t>2.1 ±0.2</t>
  </si>
  <si>
    <r>
      <rPr>
        <sz val="10"/>
        <color theme="1"/>
        <rFont val="Arial"/>
        <family val="2"/>
      </rPr>
      <t xml:space="preserve">From </t>
    </r>
    <r>
      <rPr>
        <i/>
        <sz val="10"/>
        <color theme="1"/>
        <rFont val="Arial"/>
        <family val="2"/>
      </rPr>
      <t>Chrysiptera biocellata</t>
    </r>
  </si>
  <si>
    <t>Chrysiptera brownriggii</t>
  </si>
  <si>
    <t>brownriggii</t>
  </si>
  <si>
    <t>Cirrhitichthys oxycephalus</t>
  </si>
  <si>
    <t>Cirrhitichthys</t>
  </si>
  <si>
    <t>oxycephalus</t>
  </si>
  <si>
    <t>Pelagic spawner (Ref. 31569). Spawning ascents into the water column occurred over a distance of 0.3 to1.0 m (Ref. 26305).</t>
  </si>
  <si>
    <t>Amphiprion latezonatus</t>
  </si>
  <si>
    <t>latezonatus</t>
  </si>
  <si>
    <t>Pomacentrus auriventris</t>
  </si>
  <si>
    <t>auriventris</t>
  </si>
  <si>
    <t>https://animal-world.com/encyclo/marine/damsels/GoldbellyDamsel.php</t>
  </si>
  <si>
    <t>68,71,74,75</t>
  </si>
  <si>
    <t>46,52</t>
  </si>
  <si>
    <t>Labroides sp.</t>
  </si>
  <si>
    <t>Serranocirrhitus latus</t>
  </si>
  <si>
    <t>Serranocirrhitus</t>
  </si>
  <si>
    <t>latus</t>
  </si>
  <si>
    <r>
      <rPr>
        <i/>
        <sz val="10"/>
        <color theme="1"/>
        <rFont val="Arial"/>
        <family val="2"/>
      </rPr>
      <t xml:space="preserve">Pseudanthias pascalus. Serranocirrhitus latus </t>
    </r>
    <r>
      <rPr>
        <sz val="10"/>
        <color theme="1"/>
        <rFont val="Arial"/>
        <family val="2"/>
      </rPr>
      <t>is related to Pseudanthias - Randall, J.E., &amp; Heemstra, P.C. (1978). Reclassification of the Japanese Cirrhitid Fishes Serranocirrhitus latus and Isabuna japonica to the Anthiinae. Japanese Journal of Ichthyology, 25, 165-172.</t>
    </r>
  </si>
  <si>
    <r>
      <rPr>
        <sz val="12"/>
        <color theme="1"/>
        <rFont val="Calibri, Arial"/>
      </rPr>
      <t xml:space="preserve">Wrong spelling, changed from from </t>
    </r>
    <r>
      <rPr>
        <i/>
        <sz val="12"/>
        <color theme="1"/>
        <rFont val="Calibri, Arial"/>
      </rPr>
      <t xml:space="preserve">G. melanospilus to G. melanospilos. </t>
    </r>
    <r>
      <rPr>
        <sz val="12"/>
        <color theme="1"/>
        <rFont val="Calibri, Arial"/>
      </rPr>
      <t>Synonymous to G. melanospilos below (#236)</t>
    </r>
  </si>
  <si>
    <t>Genicanthus melanospilos</t>
  </si>
  <si>
    <t>melanospilos</t>
  </si>
  <si>
    <t>https://marinewise.com.au/fish-species/swallowtail-angelfish/</t>
  </si>
  <si>
    <t>Naso lopezi</t>
  </si>
  <si>
    <t>lopezi</t>
  </si>
  <si>
    <t>https://animal-world.com/encyclo/marine/tangs/nasolopez.php</t>
  </si>
  <si>
    <t>2.9 ±0.33</t>
  </si>
  <si>
    <t xml:space="preserve">
Luiz et al. 2013</t>
  </si>
  <si>
    <r>
      <rPr>
        <sz val="10"/>
        <color theme="1"/>
        <rFont val="Arial"/>
        <family val="2"/>
      </rPr>
      <t xml:space="preserve">Congener </t>
    </r>
    <r>
      <rPr>
        <i/>
        <sz val="10"/>
        <color theme="1"/>
        <rFont val="Arial"/>
        <family val="2"/>
      </rPr>
      <t xml:space="preserve">N. brevirostris &amp; N. unicornis </t>
    </r>
    <r>
      <rPr>
        <sz val="10"/>
        <color theme="1"/>
        <rFont val="Arial"/>
        <family val="2"/>
      </rPr>
      <t xml:space="preserve">has ~90 day PLD (B Victor pers. comm. in Horne </t>
    </r>
    <r>
      <rPr>
        <i/>
        <sz val="10"/>
        <color theme="1"/>
        <rFont val="Arial"/>
        <family val="2"/>
      </rPr>
      <t>et al.</t>
    </r>
    <r>
      <rPr>
        <sz val="10"/>
        <color theme="1"/>
        <rFont val="Arial"/>
        <family val="2"/>
      </rPr>
      <t xml:space="preserve"> 2008); Congeners have range of 79-91</t>
    </r>
  </si>
  <si>
    <t>Cirrhitichthys falco</t>
  </si>
  <si>
    <t>falco</t>
  </si>
  <si>
    <t>https://www.encyclo-fish.com/EN/marine/fishes/cirrhitichthys-falco.php</t>
  </si>
  <si>
    <t>Pelagic spawner (Ref. 31569). Spawning ascents into the water column occurred over a distance of 0.2 to 0.6 m (Ref. 54536).</t>
  </si>
  <si>
    <r>
      <rPr>
        <sz val="10"/>
        <color theme="1"/>
        <rFont val="Arial"/>
        <family val="2"/>
      </rPr>
      <t xml:space="preserve">From </t>
    </r>
    <r>
      <rPr>
        <i/>
        <sz val="10"/>
        <color theme="1"/>
        <rFont val="Arial"/>
        <family val="2"/>
      </rPr>
      <t>Cirrhitichthys oxycephalus</t>
    </r>
  </si>
  <si>
    <t>Melichthys vidua</t>
  </si>
  <si>
    <t>Melichthys</t>
  </si>
  <si>
    <t>vidua</t>
  </si>
  <si>
    <t>https://seacave.com/index.php/points-of-interest/longevity-of-marine-tropicals-at-the-nancy-aquarium/</t>
  </si>
  <si>
    <t>public aquarium</t>
  </si>
  <si>
    <t>3.4 ±0.39</t>
  </si>
  <si>
    <t>Halichoeres iridis</t>
  </si>
  <si>
    <t>iridis</t>
  </si>
  <si>
    <t>https://www.baybridgeaquarium.com/products/radiant-wrasse</t>
  </si>
  <si>
    <r>
      <rPr>
        <sz val="10"/>
        <color theme="1"/>
        <rFont val="Arial"/>
        <family val="2"/>
      </rPr>
      <t xml:space="preserve">from </t>
    </r>
    <r>
      <rPr>
        <i/>
        <sz val="10"/>
        <color theme="1"/>
        <rFont val="Arial"/>
        <family val="2"/>
      </rPr>
      <t>H. biocellatus</t>
    </r>
  </si>
  <si>
    <t>Pyronotanthias lori</t>
  </si>
  <si>
    <t>Pyronotanthias</t>
  </si>
  <si>
    <t>lori</t>
  </si>
  <si>
    <t>https://livefish.com.au/tiger-queen-anthias-medium</t>
  </si>
  <si>
    <t>Gobiodon reticulatus</t>
  </si>
  <si>
    <t>3.0 ±0.4</t>
  </si>
  <si>
    <t>Parupeneus barberinoides</t>
  </si>
  <si>
    <t>Parupeneus</t>
  </si>
  <si>
    <t>barberinoides</t>
  </si>
  <si>
    <t>Mullidae</t>
  </si>
  <si>
    <t>https://fishkeepingfolks.com/bicolor-goatfish-parupeneus-barberinoides/</t>
  </si>
  <si>
    <t>Ishihara &amp; Tachihara 2011</t>
  </si>
  <si>
    <t>Pomacentrus bankanensis</t>
  </si>
  <si>
    <t>bankanensis</t>
  </si>
  <si>
    <t>Centropyge acanthops</t>
  </si>
  <si>
    <t>acanthops</t>
  </si>
  <si>
    <t>2.9 ±0.32</t>
  </si>
  <si>
    <t>Neopomacentrus filamentosus</t>
  </si>
  <si>
    <t>Calloplesiops altivelis</t>
  </si>
  <si>
    <t>Calloplesiops</t>
  </si>
  <si>
    <t>Plesiopidae</t>
  </si>
  <si>
    <t>Eggs are guarded by the male parent (Ref. 205).</t>
  </si>
  <si>
    <t>SFL</t>
  </si>
  <si>
    <t>Plesiopids are phylogenetically close to Pseudochromids. Used value from Pseudochromidae</t>
  </si>
  <si>
    <t>Amblyglyphidodon aureus</t>
  </si>
  <si>
    <t>*Source is a photo. Egg count appears to be over `1000. https://www.alamy.com/stock-photo-golden-damsel-eggs-on-a-sea-whip-amblyglyphidodon-aureus-bunaken-marine-58172647.html</t>
  </si>
  <si>
    <t>Widespread and association with coral growth for reproduction</t>
  </si>
  <si>
    <t>Amblypomacentrus breviceps</t>
  </si>
  <si>
    <t>Amblypomacentrus</t>
  </si>
  <si>
    <t>breviceps</t>
  </si>
  <si>
    <t>2.8 ±0.3</t>
  </si>
  <si>
    <t>From closest Genus, Ampblyglyphidodon</t>
  </si>
  <si>
    <t>Stonogobiops sp.</t>
  </si>
  <si>
    <t>Balistapus undulatus</t>
  </si>
  <si>
    <t>Balistapus</t>
  </si>
  <si>
    <t>undulatus</t>
  </si>
  <si>
    <t>Spawning behaviour may involve loose aggregations and nesting occurs in channels. The eggs are laid in a single spongy cluster in a shallow excavation in rubble or sand. Hatching occurs at night (Ref. 37816). Nests are guarded by one or at times two adults (Ref. 9778).</t>
  </si>
  <si>
    <t>Estimate of total fecundity based on average size iin source. Larger fish ranged higher than 100,000 eggs</t>
  </si>
  <si>
    <t>Pterois lunulata</t>
  </si>
  <si>
    <t>lunulata</t>
  </si>
  <si>
    <t>3.7 ±0.55</t>
  </si>
  <si>
    <t>Amphiprion melanopus</t>
  </si>
  <si>
    <t>melanopus</t>
  </si>
  <si>
    <t>2.3 ±0.0</t>
  </si>
  <si>
    <t>Benthic spawner. Oviparous, distinct pairing during breeding (Ref. 205). Eggs are demersal and adhere to the substrate (Ref. 205). Males guard and aerate the eggs (Ref. 205). Also Ref. 7471.</t>
  </si>
  <si>
    <t>Cirrhilabrus jordani</t>
  </si>
  <si>
    <t>jordani</t>
  </si>
  <si>
    <t>Atrosalarias fuscus</t>
  </si>
  <si>
    <t>Atrosalarias</t>
  </si>
  <si>
    <t>fuscus</t>
  </si>
  <si>
    <t>Paracheilinus cyaneus</t>
  </si>
  <si>
    <t>cyaneus</t>
  </si>
  <si>
    <t>Amphiprion sp.</t>
  </si>
  <si>
    <t>Chaetodon collare</t>
  </si>
  <si>
    <t>collare</t>
  </si>
  <si>
    <t>3.4 ±0.51</t>
  </si>
  <si>
    <t>Oxymonacanthus longirostris</t>
  </si>
  <si>
    <t>Oxymonacanthus</t>
  </si>
  <si>
    <t>longirostris</t>
  </si>
  <si>
    <t>https://www.encyclo-fish.com/EN/marine/fishes/oxymonacanthus-longirostris.php</t>
  </si>
  <si>
    <t>Aggression is used commonly in courtship. Spawning commences when after swimming together in different tufts, the female concentrates on just one and begins to thrust repeatedly and pause. The male follows suit nuzzling the female. The female then drops into the algae and spawns, while the male releases the sperm beside her. The pair then swims back to their territory (Ref. 46144). Monogamous mating is observed as both facultative and social (Ref. 52884).</t>
  </si>
  <si>
    <t>74, 68</t>
  </si>
  <si>
    <r>
      <rPr>
        <sz val="10"/>
        <color theme="1"/>
        <rFont val="Arial"/>
        <family val="2"/>
      </rPr>
      <t xml:space="preserve">Based on </t>
    </r>
    <r>
      <rPr>
        <i/>
        <sz val="10"/>
        <color theme="1"/>
        <rFont val="Arial"/>
        <family val="2"/>
      </rPr>
      <t>Paraluteres prionurus</t>
    </r>
  </si>
  <si>
    <t>Parupeneus cyclostomus</t>
  </si>
  <si>
    <t>cyclostomus</t>
  </si>
  <si>
    <t>4.2 ±0.6</t>
  </si>
  <si>
    <t>48, 72</t>
  </si>
  <si>
    <t>Parupeneus multifasciatus</t>
  </si>
  <si>
    <r>
      <rPr>
        <sz val="12"/>
        <color theme="1"/>
        <rFont val="Calibri, Arial"/>
      </rPr>
      <t xml:space="preserve">Synonymous to </t>
    </r>
    <r>
      <rPr>
        <i/>
        <sz val="12"/>
        <color theme="1"/>
        <rFont val="Calibri, Arial"/>
      </rPr>
      <t>G. melanospilus above</t>
    </r>
    <r>
      <rPr>
        <sz val="12"/>
        <color theme="1"/>
        <rFont val="Calibri, Arial"/>
      </rPr>
      <t xml:space="preserve"> (#211)</t>
    </r>
  </si>
  <si>
    <t>Duplicate</t>
  </si>
  <si>
    <t>Chaetodon ephippium</t>
  </si>
  <si>
    <t>ephippium</t>
  </si>
  <si>
    <t>3.0 ±0.43</t>
  </si>
  <si>
    <t>Acanthurus coeruleus</t>
  </si>
  <si>
    <t>coeruleus</t>
  </si>
  <si>
    <t>2.2 ±0.00</t>
  </si>
  <si>
    <t>Widespread and holds cleaning stations with other species</t>
  </si>
  <si>
    <t>Pomacentrus philippinus</t>
  </si>
  <si>
    <t>philippinus</t>
  </si>
  <si>
    <t>Coris formosa</t>
  </si>
  <si>
    <t>formosa</t>
  </si>
  <si>
    <t xml:space="preserve">3.3 ±0.38 </t>
  </si>
  <si>
    <t>71,91</t>
  </si>
  <si>
    <r>
      <rPr>
        <sz val="10"/>
        <color theme="1"/>
        <rFont val="Arial"/>
        <family val="2"/>
      </rPr>
      <t xml:space="preserve">from </t>
    </r>
    <r>
      <rPr>
        <i/>
        <sz val="10"/>
        <color theme="1"/>
        <rFont val="Arial"/>
        <family val="2"/>
      </rPr>
      <t>Coris gaimard</t>
    </r>
    <r>
      <rPr>
        <sz val="10"/>
        <color theme="1"/>
        <rFont val="Arial"/>
        <family val="2"/>
      </rPr>
      <t xml:space="preserve"> (35-60), closest based on Betancur </t>
    </r>
    <r>
      <rPr>
        <i/>
        <sz val="10"/>
        <color theme="1"/>
        <rFont val="Arial"/>
        <family val="2"/>
      </rPr>
      <t>et al.</t>
    </r>
    <r>
      <rPr>
        <sz val="10"/>
        <color theme="1"/>
        <rFont val="Arial"/>
        <family val="2"/>
      </rPr>
      <t xml:space="preserve"> 2017</t>
    </r>
  </si>
  <si>
    <t>Macropharyngodon bipartitus</t>
  </si>
  <si>
    <t>bipartitus</t>
  </si>
  <si>
    <t>https://www.encyclo-fish.com/EN/marine/fishes/macropharyngodon-bipartitus.php</t>
  </si>
  <si>
    <r>
      <rPr>
        <sz val="10"/>
        <color theme="1"/>
        <rFont val="Arial"/>
        <family val="2"/>
      </rPr>
      <t xml:space="preserve">Range of </t>
    </r>
    <r>
      <rPr>
        <i/>
        <sz val="10"/>
        <color theme="1"/>
        <rFont val="Arial"/>
        <family val="2"/>
      </rPr>
      <t xml:space="preserve">Macropharyngodon </t>
    </r>
    <r>
      <rPr>
        <sz val="10"/>
        <color theme="1"/>
        <rFont val="Arial"/>
        <family val="2"/>
      </rPr>
      <t>spp.</t>
    </r>
  </si>
  <si>
    <t>Cirrhilabrus sp.</t>
  </si>
  <si>
    <t>Pelagic spawner. Also Ref. 103751.</t>
  </si>
  <si>
    <t>Stonogobiops nematodes</t>
  </si>
  <si>
    <t>nematodes</t>
  </si>
  <si>
    <t>http://www.panhandlereefers.com/index.php?app=forums&amp;module=forums&amp;controller=topic&amp;id=14061</t>
  </si>
  <si>
    <t>Widespread and symbiosis with shrimp</t>
  </si>
  <si>
    <t>hispidus</t>
  </si>
  <si>
    <t>Opistognathus sp.</t>
  </si>
  <si>
    <t>Monodactylus argenteus</t>
  </si>
  <si>
    <t>Monodactylus</t>
  </si>
  <si>
    <t>argenteus</t>
  </si>
  <si>
    <t>Monodactylidae</t>
  </si>
  <si>
    <t>3.0 ±0.33</t>
  </si>
  <si>
    <t>pelagic spawners</t>
  </si>
  <si>
    <t>Cirrhilabrus flavidorsalis</t>
  </si>
  <si>
    <t>flavidorsalis</t>
  </si>
  <si>
    <t>Signigobius sp.</t>
  </si>
  <si>
    <t>Gnathanodon speciosus</t>
  </si>
  <si>
    <t>Gnathanodon</t>
  </si>
  <si>
    <t>speciosus</t>
  </si>
  <si>
    <t>Carangidae</t>
  </si>
  <si>
    <t>nonguarders, open water/substratum egg scatterers</t>
  </si>
  <si>
    <t>Widespread and association with jellyfish in juvenile stage</t>
  </si>
  <si>
    <t>Dendrochirus biocellatus</t>
  </si>
  <si>
    <t>3.7 ±0.6</t>
  </si>
  <si>
    <t>Widespread, uncommon, and association with coral growth</t>
  </si>
  <si>
    <t>Chiloscyllium punctatum</t>
  </si>
  <si>
    <t>Chiloscyllium</t>
  </si>
  <si>
    <t>punctatum</t>
  </si>
  <si>
    <t>Hemiscyllidae</t>
  </si>
  <si>
    <t>4.1 ±0.64</t>
  </si>
  <si>
    <t>Oviparous, with rounded egg cases (Ref. 247). Paired eggs are laid. Embryos feed solely on yolk (Ref. 50449).</t>
  </si>
  <si>
    <t>Elasmobranchs have no PLD</t>
  </si>
  <si>
    <t>Hoplolatilus purpureus</t>
  </si>
  <si>
    <t>Hoplolatilus</t>
  </si>
  <si>
    <t>purpureus</t>
  </si>
  <si>
    <t>Malacanthidae</t>
  </si>
  <si>
    <t>https://www.reef2reef.com/threads/purple-tilefish.199909/</t>
  </si>
  <si>
    <t>Source is a hobbyist forum thread</t>
  </si>
  <si>
    <t>Displays obligate monogamy where a one-to-one pair is established irrespective of resource abundance (Ref. 52884).</t>
  </si>
  <si>
    <t>Based on the average fecundity of congeners.</t>
  </si>
  <si>
    <t>Widespread and restricted to sand and rubble patches of steep seaward slopes</t>
  </si>
  <si>
    <t>Pseudocheilinus ocellatus</t>
  </si>
  <si>
    <r>
      <rPr>
        <sz val="10"/>
        <color theme="1"/>
        <rFont val="Arial"/>
        <family val="2"/>
      </rPr>
      <t xml:space="preserve">Range for </t>
    </r>
    <r>
      <rPr>
        <sz val="10"/>
        <color theme="1"/>
        <rFont val="Arial"/>
        <family val="2"/>
      </rPr>
      <t>Pseudocheilinus evanidus, P. hexataenia, P. octotaenia, P. tetrataenia</t>
    </r>
  </si>
  <si>
    <t>Stegastes lacrymatus</t>
  </si>
  <si>
    <t>lacrymatus</t>
  </si>
  <si>
    <t>2.2 ±0.2</t>
  </si>
  <si>
    <t>Valenciennea helsdingenii</t>
  </si>
  <si>
    <t>helsdingenii</t>
  </si>
  <si>
    <t>3.4 ±0.41</t>
  </si>
  <si>
    <t>Microspathodon chrysurus</t>
  </si>
  <si>
    <t>Microspathodon</t>
  </si>
  <si>
    <t>2.1±01</t>
  </si>
  <si>
    <t>Pomacanthus xanthometopon</t>
  </si>
  <si>
    <t>xanthometopon</t>
  </si>
  <si>
    <t>2.7±0.00</t>
  </si>
  <si>
    <t>Ptereleotris microlepis</t>
  </si>
  <si>
    <t>microlepis</t>
  </si>
  <si>
    <t>https://www.reef2rainforest.com/2020/08/19/playing-with-darts/</t>
  </si>
  <si>
    <t>3.4±0.4</t>
  </si>
  <si>
    <t>Plectranthias sp.</t>
  </si>
  <si>
    <t>Plectranthias</t>
  </si>
  <si>
    <t>Anthias sp.</t>
  </si>
  <si>
    <t>Anthias</t>
  </si>
  <si>
    <t>Dischistodus prosopotaenia</t>
  </si>
  <si>
    <t>Dischistodus</t>
  </si>
  <si>
    <t>prosopotaenia</t>
  </si>
  <si>
    <t>2.7±0.18</t>
  </si>
  <si>
    <t>Pseudanthias randalli</t>
  </si>
  <si>
    <t>randalli</t>
  </si>
  <si>
    <t>3.3±0.4</t>
  </si>
  <si>
    <t>Holacanthus ciliaris</t>
  </si>
  <si>
    <t>Holacanthus</t>
  </si>
  <si>
    <t>ciliaris</t>
  </si>
  <si>
    <t>3.0±0.0</t>
  </si>
  <si>
    <t>Widespread and association with coral growth, and almost exclusively feeds on sponges</t>
  </si>
  <si>
    <t>Cirrhitichthys aprinus</t>
  </si>
  <si>
    <t>aprinus</t>
  </si>
  <si>
    <t>3.5±0.55</t>
  </si>
  <si>
    <t>Pelagic spawner (Ref. 31569). Spawning ascents into the water column occurred over a distance of 0.3 to 0.6 m (Ref. 26305).</t>
  </si>
  <si>
    <t>Dischistodus pseudochrysopoecilus</t>
  </si>
  <si>
    <t>pseudochrysopoecilus</t>
  </si>
  <si>
    <t>2.0±0.00</t>
  </si>
  <si>
    <t>Serranus tigrinus</t>
  </si>
  <si>
    <t>tigrinus</t>
  </si>
  <si>
    <t>http://fish-info000.blogspot.com/2014/07/harlequin-bass.html</t>
  </si>
  <si>
    <t>3.5±0.37</t>
  </si>
  <si>
    <t>Displays facultative monogamy where males are constrained to mate with a single female due to resource limitation (Ref. 52884). Pelagic spawner (Ref. 32216).</t>
  </si>
  <si>
    <t>*Average of three species in genus</t>
  </si>
  <si>
    <t>Cetoscarus bicolor</t>
  </si>
  <si>
    <t>Cetoscarus</t>
  </si>
  <si>
    <t>(Family estimate for labridae, changed from scaridae)</t>
  </si>
  <si>
    <r>
      <rPr>
        <i/>
        <sz val="10"/>
        <color theme="1"/>
        <rFont val="Arial"/>
        <family val="2"/>
      </rPr>
      <t>Bulbometopon muricatum (</t>
    </r>
    <r>
      <rPr>
        <sz val="10"/>
        <color theme="1"/>
        <rFont val="Arial"/>
        <family val="2"/>
      </rPr>
      <t>Based on Ghezelayagh et al. 2021)</t>
    </r>
  </si>
  <si>
    <t>Nemateleotris helfrichi</t>
  </si>
  <si>
    <t>helfrichi</t>
  </si>
  <si>
    <t>https://theaquariumguide.com/articles/firefish</t>
  </si>
  <si>
    <t>Siganus sp.</t>
  </si>
  <si>
    <t>Acanthurus olivaceus</t>
  </si>
  <si>
    <t>olivaceus</t>
  </si>
  <si>
    <t>2.3±0.17</t>
  </si>
  <si>
    <t>Paragobiodon lacunicola</t>
  </si>
  <si>
    <t>Paragobiodon</t>
  </si>
  <si>
    <t>lacunicola</t>
  </si>
  <si>
    <t>3.1±0.3</t>
  </si>
  <si>
    <t>Widespread and association with particular species of coral</t>
  </si>
  <si>
    <t>Meiacanthus grammistes</t>
  </si>
  <si>
    <t>grammistes</t>
  </si>
  <si>
    <t>3.4±0.5</t>
  </si>
  <si>
    <t>Distinct pairing</t>
  </si>
  <si>
    <t>Source notes spawnings as "many" with a single egg count over 300. Estimated to be between 1000 and 15,000</t>
  </si>
  <si>
    <t>Cirrhilabrus filamentosus</t>
  </si>
  <si>
    <t>Pervagor melanocephalus</t>
  </si>
  <si>
    <t>Pervagor</t>
  </si>
  <si>
    <t>melanocephalus</t>
  </si>
  <si>
    <t>2.9±0.4</t>
  </si>
  <si>
    <r>
      <rPr>
        <sz val="10"/>
        <color theme="1"/>
        <rFont val="Arial"/>
        <family val="2"/>
      </rPr>
      <t xml:space="preserve">Based on </t>
    </r>
    <r>
      <rPr>
        <i/>
        <sz val="10"/>
        <color theme="1"/>
        <rFont val="Arial"/>
        <family val="2"/>
      </rPr>
      <t>Acreichthys tomentosus</t>
    </r>
  </si>
  <si>
    <t>Amphiprion akindynos</t>
  </si>
  <si>
    <t>akindynos</t>
  </si>
  <si>
    <t>https://animaldiversity.org/accounts/Amphiprion_akindynos</t>
  </si>
  <si>
    <t>2.7±0.29</t>
  </si>
  <si>
    <t>Amphiprion akallopisos</t>
  </si>
  <si>
    <t>akallopisos</t>
  </si>
  <si>
    <t>2.7±0.31</t>
  </si>
  <si>
    <t>Benthic spawner. Sex reversal is completed in less than 63 days (Ref. 34185). Length at sex change = 7.2 cm TL (Ref. 55367). Oviparous, distinct pairing during breeding (Ref. 205). Eggs are demersal and adhere to the substrate (Ref. 205). Males guard and aerate the eggs (Ref. 205). Also Ref. 7471.</t>
  </si>
  <si>
    <r>
      <rPr>
        <sz val="10"/>
        <color theme="1"/>
        <rFont val="Arial"/>
        <family val="2"/>
      </rPr>
      <t xml:space="preserve">From </t>
    </r>
    <r>
      <rPr>
        <i/>
        <sz val="10"/>
        <color theme="1"/>
        <rFont val="Arial"/>
        <family val="2"/>
      </rPr>
      <t>Amphiprion perideraion</t>
    </r>
    <r>
      <rPr>
        <sz val="10"/>
        <color theme="1"/>
        <rFont val="Arial"/>
        <family val="2"/>
      </rPr>
      <t>, closest in phylogenetic tree</t>
    </r>
  </si>
  <si>
    <t>Rhinomuraena quaesita</t>
  </si>
  <si>
    <t>Rhinomuraena</t>
  </si>
  <si>
    <t>quaesita</t>
  </si>
  <si>
    <t>nimal-world.com/encyclo/marine/eels/ribbon.php</t>
  </si>
  <si>
    <t>4.5±0.80</t>
  </si>
  <si>
    <t>Protandry is diagnosed based on colouration, but not confirmed (Ref. 103751).</t>
  </si>
  <si>
    <t>Spawn was a singular event in captivity and may not represent the full extent of eggs this species can produce. Source: Preininger, D., et al. "First observations of fertilized eggs and preleptocephalus larvae of Rhinomuraena quaesita in the Vienna Zoo." Zoo biology 34.1 (2015): 85-88.</t>
  </si>
  <si>
    <t>Macropharyngodon ornatus</t>
  </si>
  <si>
    <t>ornatus</t>
  </si>
  <si>
    <t>https://livegemfactory.com/product/ornate-wrasse/</t>
  </si>
  <si>
    <t>3.5±0.4</t>
  </si>
  <si>
    <t>Victor 1986; Brothers and Thresher 1985</t>
  </si>
  <si>
    <t>Hemigymnus melapterus</t>
  </si>
  <si>
    <t>Hemigymnus</t>
  </si>
  <si>
    <t>melapterus</t>
  </si>
  <si>
    <t>3.6±0.45</t>
  </si>
  <si>
    <t>Siganus unimaculatus</t>
  </si>
  <si>
    <t>unimaculatus</t>
  </si>
  <si>
    <t>multiple sources</t>
  </si>
  <si>
    <t>2.7±0.30</t>
  </si>
  <si>
    <t>48, 57, 58, Kuiter &amp; Debelius 2001 (genus level)</t>
  </si>
  <si>
    <r>
      <rPr>
        <sz val="10"/>
        <color theme="1"/>
        <rFont val="Arial"/>
        <family val="2"/>
      </rPr>
      <t>Used same data for S. vulpinus</t>
    </r>
    <r>
      <rPr>
        <i/>
        <sz val="10"/>
        <color theme="1"/>
        <rFont val="Arial"/>
        <family val="2"/>
      </rPr>
      <t xml:space="preserve"> </t>
    </r>
    <r>
      <rPr>
        <sz val="10"/>
        <color theme="1"/>
        <rFont val="Arial"/>
        <family val="2"/>
      </rPr>
      <t xml:space="preserve">since they are genetically similar (Zolkaply </t>
    </r>
    <r>
      <rPr>
        <i/>
        <sz val="10"/>
        <color theme="1"/>
        <rFont val="Arial"/>
        <family val="2"/>
      </rPr>
      <t>et al.</t>
    </r>
    <r>
      <rPr>
        <sz val="10"/>
        <color theme="1"/>
        <rFont val="Arial"/>
        <family val="2"/>
      </rPr>
      <t xml:space="preserve"> 2021)</t>
    </r>
  </si>
  <si>
    <t>Salarias guttatus</t>
  </si>
  <si>
    <t>guttatus</t>
  </si>
  <si>
    <t>https://www.saltybottomreefcompany.com/sslawnmower</t>
  </si>
  <si>
    <t>Zebrasoma desjardinii</t>
  </si>
  <si>
    <t>desjardinii</t>
  </si>
  <si>
    <t>Listed as "Herbivore" by source 54. Data not available in Fishbase.</t>
  </si>
  <si>
    <r>
      <rPr>
        <sz val="10"/>
        <color theme="1"/>
        <rFont val="Arial"/>
        <family val="2"/>
      </rPr>
      <t xml:space="preserve">Use </t>
    </r>
    <r>
      <rPr>
        <i/>
        <sz val="10"/>
        <color theme="1"/>
        <rFont val="Arial"/>
        <family val="2"/>
      </rPr>
      <t xml:space="preserve">Zebrasoma </t>
    </r>
    <r>
      <rPr>
        <sz val="10"/>
        <color theme="1"/>
        <rFont val="Arial"/>
        <family val="2"/>
      </rPr>
      <t>genera values</t>
    </r>
  </si>
  <si>
    <t>Widespread and associated with particular coral species</t>
  </si>
  <si>
    <t>Pterois radiata</t>
  </si>
  <si>
    <t>radiata</t>
  </si>
  <si>
    <t>3.6±0.59</t>
  </si>
  <si>
    <t>Species name PSA list</t>
  </si>
  <si>
    <t>Family name PSA list</t>
  </si>
  <si>
    <t>Valid Esch</t>
  </si>
  <si>
    <t>Valid WORMS</t>
  </si>
  <si>
    <t>Different genus?</t>
  </si>
  <si>
    <t>Different family?</t>
  </si>
  <si>
    <t>Different species name?</t>
  </si>
  <si>
    <t>Generalized?</t>
  </si>
  <si>
    <t>Ptereleotridae</t>
  </si>
  <si>
    <t>FALSE (family listed as "microdesmidae"</t>
  </si>
  <si>
    <t>Changed</t>
  </si>
  <si>
    <r>
      <rPr>
        <sz val="10"/>
        <color theme="1"/>
        <rFont val="Arial"/>
        <family val="2"/>
      </rPr>
      <t xml:space="preserve">FALSE (listed as </t>
    </r>
    <r>
      <rPr>
        <i/>
        <sz val="10"/>
        <color theme="1"/>
        <rFont val="Arial"/>
        <family val="2"/>
      </rPr>
      <t>Neosynchiropus ocellatus</t>
    </r>
    <r>
      <rPr>
        <sz val="10"/>
        <color theme="1"/>
        <rFont val="Arial"/>
        <family val="2"/>
      </rPr>
      <t>)</t>
    </r>
  </si>
  <si>
    <t>Zebrasoma veliferum</t>
  </si>
  <si>
    <t>FALSE (Zebrasoma velifer)</t>
  </si>
  <si>
    <t>No effect</t>
  </si>
  <si>
    <t>FALSE (family listed as "Anthiadidae")</t>
  </si>
  <si>
    <t>Centropyge loricula</t>
  </si>
  <si>
    <t>FALSE (Centropyge loriculus)</t>
  </si>
  <si>
    <t>Premnas biaculeatus</t>
  </si>
  <si>
    <t>FALSE (Amphiprion biaculeatus)</t>
  </si>
  <si>
    <t>Changes values for amphipiron and premnas</t>
  </si>
  <si>
    <t>Pictichromis paccagnellae</t>
  </si>
  <si>
    <t>FALSE (Pictichromis paccagnellorum)</t>
  </si>
  <si>
    <t>Pseudanthias dispar</t>
  </si>
  <si>
    <t>FALSE (Nemanthias dispar, family: Anthiadidae)</t>
  </si>
  <si>
    <t>FALSE (family: Anthiadidae)</t>
  </si>
  <si>
    <t>*Same as G. axillaris, will be changed in the published records soon</t>
  </si>
  <si>
    <t>FALSE (microdesmidae)</t>
  </si>
  <si>
    <t>Chromis cyanea</t>
  </si>
  <si>
    <t>FALSE (Azurina cyanea)</t>
  </si>
  <si>
    <t>Changes genus generalization</t>
  </si>
  <si>
    <t>Pseudanthias tuka</t>
  </si>
  <si>
    <t>FALSE (Mirolabrichthys tuka, family)</t>
  </si>
  <si>
    <t>Zoramia leptacantha</t>
  </si>
  <si>
    <t>FALSE (Zoramia leptacanthus)</t>
  </si>
  <si>
    <t>Cromileptes altivelis</t>
  </si>
  <si>
    <t>FALSE (Chromileptes altivelis)</t>
  </si>
  <si>
    <t>Chromis retrofasciata</t>
  </si>
  <si>
    <t>FALSE (Pycnochromis retrofasciatus)</t>
  </si>
  <si>
    <t>Changes chromis genus values</t>
  </si>
  <si>
    <t>Doryrhamphus dactyliophorus</t>
  </si>
  <si>
    <t>FALSE (Dunckerocampus dactyliophorus)</t>
  </si>
  <si>
    <t>Centropyge ferrugatus</t>
  </si>
  <si>
    <t>FALSE (Centropyge ferrugata)</t>
  </si>
  <si>
    <t>Ostracion cubicus</t>
  </si>
  <si>
    <t>FALSE (Ostracion cubicum)</t>
  </si>
  <si>
    <t>Changes species, no values</t>
  </si>
  <si>
    <t>Apogon cyanosoma</t>
  </si>
  <si>
    <t>FALSE (Ostorhinchus cyanosoma)</t>
  </si>
  <si>
    <t>Thalassoma amblycephalum</t>
  </si>
  <si>
    <t>FALSE (Thalassoma amblycephalus)</t>
  </si>
  <si>
    <t>FALSE (Pictichromis diadema)</t>
  </si>
  <si>
    <t>In as a duplicate</t>
  </si>
  <si>
    <t>Ignore</t>
  </si>
  <si>
    <t>Stegastes aureus</t>
  </si>
  <si>
    <t>FALSE (Plectroglyphidodon aureus)</t>
  </si>
  <si>
    <t>Adds genus, changes stegastes</t>
  </si>
  <si>
    <t>FALSE (Plectroglyphidodon fasciolatus)</t>
  </si>
  <si>
    <t>Apogon parvulus</t>
  </si>
  <si>
    <t>FALSE (Ostorhinchus parvulus)</t>
  </si>
  <si>
    <t>Chromis margaritifer</t>
  </si>
  <si>
    <t>FALSE (Pycnochromis margaritifer)</t>
  </si>
  <si>
    <t>FALSE (Anthiadidae)</t>
  </si>
  <si>
    <t>Pseudanthias lori</t>
  </si>
  <si>
    <t>FALSE (Pyronotanthias lori, family)</t>
  </si>
  <si>
    <t>Plectroglyphidodon lacrymatus</t>
  </si>
  <si>
    <t>FALSE (Stegastes lacrymatus)</t>
  </si>
  <si>
    <t>changes stegastes</t>
  </si>
  <si>
    <t>FALSE (family Anthiadinae)</t>
  </si>
  <si>
    <t>Scaridae</t>
  </si>
  <si>
    <t>FALSE (family Labridae)</t>
  </si>
  <si>
    <t>Changes labridae</t>
  </si>
  <si>
    <t>Paragobiodon lacunicolus</t>
  </si>
  <si>
    <t>FALSE (Paragobiodon lacunicola)</t>
  </si>
  <si>
    <t>VIT score weight (1)</t>
  </si>
  <si>
    <t>P. kauderni lacks a pelagic larval stage &amp; it mouthbroods its young until settlement (Allen &amp; Steene 1995; Vagelli 1999; Allen 2000)</t>
  </si>
  <si>
    <t>Based on range of Cheilodipterus &amp; Ostorhinchus spp.</t>
  </si>
  <si>
    <t>Based on Apogon cyanosoma &amp; Apogon doederlini (Brothers &amp; Thresher 1983) and other Apogon spp. (Ishihara and Tachihara 2011)</t>
  </si>
  <si>
    <t>May use same data as Acanthurus spp. May hybridize with  A. leucosternon. In general, these species have 40-70 PLD, which is considered &gt;30.</t>
  </si>
  <si>
    <t>Close to C. binotatus (Based on Sorensen et al.)</t>
  </si>
  <si>
    <t>From Chaetodon vagabundus</t>
  </si>
  <si>
    <t>close to Ophioblennius</t>
  </si>
  <si>
    <t>Z. leptacanthus</t>
  </si>
  <si>
    <t>P. kauderni</t>
  </si>
  <si>
    <t>A. nigropunctatus</t>
  </si>
  <si>
    <t>O. parvulus</t>
  </si>
  <si>
    <t>S. nematoptera</t>
  </si>
  <si>
    <t>S. orbicularis</t>
  </si>
  <si>
    <t>S. marmoratus</t>
  </si>
  <si>
    <t>K. rainfordi</t>
  </si>
  <si>
    <t>P. hepatus</t>
  </si>
  <si>
    <t>A. japonicus</t>
  </si>
  <si>
    <t>C. ephippium</t>
  </si>
  <si>
    <t>R. quaesita</t>
  </si>
  <si>
    <t>O. cubicum</t>
  </si>
  <si>
    <t>C. lunula</t>
  </si>
  <si>
    <t>C. auriga</t>
  </si>
  <si>
    <t>C. tominiensis</t>
  </si>
  <si>
    <t>C. ferrugata</t>
  </si>
  <si>
    <t>C. xanthurus</t>
  </si>
  <si>
    <t>D. dactyliophorus</t>
  </si>
  <si>
    <t>O. cyanosoma</t>
  </si>
  <si>
    <t>family</t>
  </si>
  <si>
    <t>maxage</t>
  </si>
  <si>
    <t>maxsize</t>
  </si>
  <si>
    <t>trophiclevel</t>
  </si>
  <si>
    <t>breedingstrat</t>
  </si>
  <si>
    <t>fecund</t>
  </si>
  <si>
    <t>pld</t>
  </si>
  <si>
    <t>ecologicalnichedist</t>
  </si>
  <si>
    <t>cyan</t>
  </si>
  <si>
    <t>encounter</t>
  </si>
  <si>
    <t>aq</t>
  </si>
  <si>
    <t>vit</t>
  </si>
  <si>
    <t>lcsh</t>
  </si>
  <si>
    <t>Ecological niche + distribution</t>
  </si>
  <si>
    <t>Cyanide use</t>
  </si>
  <si>
    <t>Encounterability depth</t>
  </si>
  <si>
    <t>Aquarium suitability</t>
  </si>
  <si>
    <t>Larval duration</t>
  </si>
  <si>
    <t>Aq suitability</t>
  </si>
  <si>
    <t>LCSH</t>
  </si>
  <si>
    <t>Larval Duration</t>
  </si>
  <si>
    <t>Productivity avg</t>
  </si>
  <si>
    <t>Log Susceptibility avg</t>
  </si>
  <si>
    <t>Vulnerability avg</t>
  </si>
  <si>
    <t>P</t>
  </si>
  <si>
    <t>S</t>
  </si>
  <si>
    <t>V</t>
  </si>
  <si>
    <t xml:space="preserve">Log Susceptibility </t>
  </si>
  <si>
    <t>2023 data</t>
  </si>
  <si>
    <t>2020 data</t>
  </si>
  <si>
    <t>2020 species list, with 2022 PSA Data</t>
  </si>
  <si>
    <t>15 species</t>
  </si>
  <si>
    <t>7 species</t>
  </si>
  <si>
    <t>6 species</t>
  </si>
  <si>
    <t>13 species</t>
  </si>
  <si>
    <t>4 species</t>
  </si>
  <si>
    <t>(one species)</t>
  </si>
  <si>
    <t>10 species</t>
  </si>
  <si>
    <t>5 species</t>
  </si>
  <si>
    <t>(two species)</t>
  </si>
  <si>
    <t>22 species</t>
  </si>
  <si>
    <t>36 species</t>
  </si>
  <si>
    <t>three species</t>
  </si>
  <si>
    <t>60 species</t>
  </si>
  <si>
    <t>3 species</t>
  </si>
  <si>
    <t>2020 species list, with 2023 PSA Data</t>
  </si>
  <si>
    <t>5+?</t>
  </si>
  <si>
    <t>Updated 5/17</t>
  </si>
  <si>
    <t>2022 data</t>
  </si>
  <si>
    <t>2022PSArank</t>
  </si>
  <si>
    <t>Removed from list of 283 records:</t>
  </si>
  <si>
    <t>- 22 genus level records</t>
  </si>
  <si>
    <t>- 3 duplicate records (due to misspellings)</t>
  </si>
  <si>
    <t>- Left with list of 258 species, which we can remove 8 from</t>
  </si>
  <si>
    <t>When expanding the list, extra species records were taken, just in case they were needed</t>
  </si>
  <si>
    <t>Disclude?</t>
  </si>
  <si>
    <t>Reference</t>
  </si>
  <si>
    <t>Ref number</t>
  </si>
  <si>
    <r>
      <rPr>
        <sz val="11"/>
        <rFont val="Calibri"/>
        <family val="2"/>
      </rPr>
      <t xml:space="preserve">FishBase - </t>
    </r>
    <r>
      <rPr>
        <u/>
        <sz val="11"/>
        <color rgb="FF1155CC"/>
        <rFont val="Calibri"/>
        <family val="2"/>
      </rPr>
      <t>fishbase.org</t>
    </r>
  </si>
  <si>
    <t>animaldiversity.org</t>
  </si>
  <si>
    <t>gbif.org</t>
  </si>
  <si>
    <t>iucnredlist.org</t>
  </si>
  <si>
    <t>liveaquaria.com</t>
  </si>
  <si>
    <r>
      <rPr>
        <u/>
        <sz val="11"/>
        <rFont val="Calibri"/>
        <family val="2"/>
      </rPr>
      <t xml:space="preserve">Rhyne AL, Tlusty MF, Schofield PJ, Kaufman L, Morris JA Jr, Bruckner AW (2012) Revealing the Appetite of the Marine Aquarium Fish Trade: The Volume and Biodiversity of Fish Imported into the United States. PLoS ONE 7(5): e35808. </t>
    </r>
    <r>
      <rPr>
        <u/>
        <sz val="11"/>
        <color rgb="FF1155CC"/>
        <rFont val="Calibri"/>
        <family val="2"/>
      </rPr>
      <t>https://doi.org/10.1371/journal.pone.0035808</t>
    </r>
  </si>
  <si>
    <t>https://www.sciencedirect.com/science/article/abs/pii/S0044848613006820</t>
  </si>
  <si>
    <t>https://zslpublications.onlinelibrary.wiley.com/doi/abs/10.1111/j.1469-7998.2009.00688.x</t>
  </si>
  <si>
    <t>http://www.saltcorner.com/AquariumLibrary/browsesection.php</t>
  </si>
  <si>
    <t>https://www.reeflex.net/</t>
  </si>
  <si>
    <t>Luiz et al 2013</t>
  </si>
  <si>
    <t>IUCN SIS Database</t>
  </si>
  <si>
    <t>Allen, G.R. and Erdmann, M.V. 2012. Reef fishes of the East Indies. University of Hawai'i Press. Tropical Reef Research. Perth, Australia. Vol. I. P. 401.</t>
  </si>
  <si>
    <t>Michael, S. W. (2005). Reef Aquarium Fishes: 500+ essential-to-know species. T.F.H. Publications.</t>
  </si>
  <si>
    <t>Stier, A., Hein, A., Parravicini, V. et al. Larval dispersal drives trophic structure across Pacific coral reefs. Nat Commun 5, 5575 (2014). https://doi.org/10.1038/ncomms6575</t>
  </si>
  <si>
    <t>Mora, et al. (2011)</t>
  </si>
  <si>
    <t xml:space="preserve">Wellington, G. &amp; Victor, Benjamin. (1989). Planktonic larval duration of one hundred species of Pacific and Atlantic damselfishes (Pomacentridae). Marine Biology. 101. 557-567. 10.1007/BF00541659. </t>
  </si>
  <si>
    <t>Almany, G., M. Berumen, S. Thorrold, S. Planes, and G. Jones. 2007. Local replenishment of coral reef fish populations in a marine reserve. Science 316: 742–744.</t>
  </si>
  <si>
    <t>Bay, L.K., K. Buechler, M. Gagliano, M.J. Caley, Intraspecific variation in the pelagic larval duration of tropical reef fishes. J Fish Biol 68, 1206 (2006).</t>
  </si>
  <si>
    <t>Lin, HC., Hastings, P.A. Phylogeny and biogeography of a shallow water fish clade (Teleostei: Blenniiformes). BMC Evol Biol 13, 210 (2013). https://doi.org/10.1186/1471-2148-13-210</t>
  </si>
  <si>
    <r>
      <rPr>
        <sz val="11"/>
        <color theme="1"/>
        <rFont val="Calibri"/>
        <family val="2"/>
      </rPr>
      <t xml:space="preserve">Brothers, E.B. and Thresher, R.E. in </t>
    </r>
    <r>
      <rPr>
        <i/>
        <sz val="11"/>
        <color theme="1"/>
        <rFont val="Calibri"/>
        <family val="2"/>
      </rPr>
      <t>The ecology of coral reefs</t>
    </r>
    <r>
      <rPr>
        <sz val="11"/>
        <color theme="1"/>
        <rFont val="Calibri"/>
        <family val="2"/>
      </rPr>
      <t>, M.L. Reaka, Ed. (US Department of commerce, Washington, D.C., 1985), pp. 53-69.</t>
    </r>
  </si>
  <si>
    <t>Wilson, D.T. and M.I. McCormick, Microstructure of settlement-marks in the otoliths of tropical reef fishes. Mar Biol 134, 29 (1999)</t>
  </si>
  <si>
    <t xml:space="preserve">Wirtz, P. ( 1991). Does the larva of Pholidichthys leucotaenia give a clue to the systematic position of the monotypic fish family Pholidichthyidae? Tropical Fish Hobbyist, 76-80. </t>
  </si>
  <si>
    <t>Lou, D.C. Growth in juvenile Scarus rivulatus and Ctenochaetus binotatus: a comparison of families Scaridae and Acanthuridae. J Fish Biiol 42, 15 (1993).</t>
  </si>
  <si>
    <t>Breder, C.M. and Rosen, D.E. 1966. Modes of reproduction in fishes. T.F.H. Publications, Neptune City, New Jersey.</t>
  </si>
  <si>
    <t>Thresher, R.E. and E.B. Brothers, Reproductive ecology and biogeography of Indo-west Pacific angelfishes (Pisces: Pomacanthidae). Evolution 39, 878 (1985)</t>
  </si>
  <si>
    <t>Ruiz-Carus, R., R. E. Matheson, Jr., D. E. Roberts, Jr., and P. E. Whitfield. 2006. The western Pacific red lionfish, Pterois volitans (Scorpaenidae), in Florida: evidence for reproduction and parasitism in the first exotic marine fish established in state waters. Biol. Conserv. 128: 384–390.</t>
  </si>
  <si>
    <t>Thresher, Ronald E. "Reproduction in reef fishes." (1984).</t>
  </si>
  <si>
    <t>Tucker, John W. "Obtaining Fish for Stocking." Marine Fish Culture. Springer, Boston, MA, 1998. 211-298.</t>
  </si>
  <si>
    <t>Breeders registry website: https://breedersregistry.org/</t>
  </si>
  <si>
    <t>Vijay Anand, P. E., and N. G. K. Pillai. "Reproductive biology of some common coral reef fishes of the Indian EEZ." Journal of the Marine Biological Association of India 44.1 &amp; 2 (2002): 122-135.</t>
  </si>
  <si>
    <t>Sang, Huynh Minh, and Ho Son Lam. "Reproductive biology of blue tang fish (Paracanthurus hepatus Linnaeus, 1776) in Khanh Hoa seawater, Viet Nam." (2018).</t>
  </si>
  <si>
    <t>Setu, Subodh Kant, and T. T. Ajithkumar. "Spawning behaviour and Embryonic development of Regal damsel fish, Neopomacentrus cyanomus (Bleeker, 1856)." World J Fish Mar Sci 2.5 (2010): 410-415.</t>
  </si>
  <si>
    <t>Olivotto, Ike, et al. "Coral reef fish breeding: the secrets of each species." Aquaculture 224.1-4 (2003): 69-78.</t>
  </si>
  <si>
    <t>Madhu, K., and Rema Madhu. "Neoglyphidodon oxyodon (Bleeker, 1858)." (2017): 323-326.</t>
  </si>
  <si>
    <t>Madhu, K. et al. â€œBroodstock development, breeding, embryonic development andlarviculture of spine-cheek anemonefish, Premnas biaculeatus (Bloch, 1790).â€ Indian Journal of Fisheries 59 (2012): 65-75.</t>
  </si>
  <si>
    <t>Pressley, P.H. Lunar periodicity in the spawning of yellowtail damselfish,Microspathodon chrysurus . Environ Biol Fish 5, 155â€“159 (1980). https://doi.org/10.1007/BF02391622</t>
  </si>
  <si>
    <t>https://www.orafarm.com/product/neon-goby/</t>
  </si>
  <si>
    <t>https://nas.er.usgs.gov/queries/factsheet.aspx?SpeciesID=2294</t>
  </si>
  <si>
    <t>Leu, Mingâ€Nih, et al. "Natural spawning, early development and first feeding of the semicircle angelfish [Pomacanthus semicirculatus (Cuvier, 1831)] in captivity." Aquaculture Research 40.9 (2009): 1019-1030.</t>
  </si>
  <si>
    <t>https://animaldiversity.org/accounts/Holacanthus_ciliaris/</t>
  </si>
  <si>
    <t>Schemmel, Eva. "Size at maturity for yellow tang (Zebrasoma flavescens) from the Oahu, HI, aquarium fishery." Environmental Biology of Fishes 104.9 (2021): 1139-1147.</t>
  </si>
  <si>
    <t>Emel’yanova, N. G., D. A. Pavlov, and Luong Thi Bich Thuan. "Hormonal stimulation of maturation and ovulation of oocytes in Zebrasoma scopas (Acanthuridae)." Journal of Ichthyology 46 (2006): 768-778.</t>
  </si>
  <si>
    <t>https://www.reef2rainforest.com/2021/05/04/captive-bred-copperband-butterflyfish-chelmon-rostratus/</t>
  </si>
  <si>
    <t>http://www.mbisite.org/Forums</t>
  </si>
  <si>
    <t>Leu, Ming-Nih, et al. "Natural spawning, early development and first successful hatchery production of the bluestreak cleaner wrasse, Labroides dimidiatus (Valenciennes, 1839), with application of an inorganic fertilization method in larviculture." Aquaculture 553 (2022): 738056.</t>
  </si>
  <si>
    <t>Chiu, Pei-Sheng, and Ming-Nih Leu. "Captive spawning, early development and larviculture of the dwarf hawkfish, Cirrhitichthys falco () with experimental evaluation of the effects of temperature, salinity and initial prey on hatching success and first feeding." Aquaculture 542 (2021): 736866.</t>
  </si>
  <si>
    <t>Carlson, Bruce Allan. The life history and reproductive success of the coral blenny, Exallias brevis (Kner, 1868). University of Hawai'i at Manoa, 1992.</t>
  </si>
  <si>
    <t>Suyani, Nitin Kanji, Mridula Rajesh, and Kothanahally Mallegowda Rajesh. "First report on the diet and reproductive biology of red-toothed triggerfish Odonus niger (Ruppell, 1836) from the south-eastern Arabian Sea." Journal of the Marine Biological Association of the United Kingdom 101.5 (2021): 827-837.</t>
  </si>
  <si>
    <t>Kawase, Hiroshi. "Spawning behavior and biparental egg care of the crosshatch triggerfish, Xanthichthys mento (Balistidae)." Environmental Biology of Fishes 66.3 (2003): 211-219.</t>
  </si>
  <si>
    <t>Itzkowitz, M., et al. "Does it matter that male beaugregory damselfish have a mate preference?." Behavioral Ecology and Sociobiology 42.3 (1998): 149-155.</t>
  </si>
  <si>
    <t>Anikuttan, K. K., et al. "Chromis viridis (Cuvier, 1830)." (2017): 295-299.</t>
  </si>
  <si>
    <t>Nakazono, Akinobu. "One-parent removal experiment in the brood-caring damselfish, Acanthochromis polyacanthus, with preliminary data on reproductive biology." Marine and Freshwater Research 44.5 (1993): 699-707.</t>
  </si>
  <si>
    <t>Queiroz, Railma Maria Vilanova Rocha. "Estratégia reprodutiva da caraúna-azul Acanthurus coeruleus BLOCH &amp; SCHNEIDER, 1801 (Perciformes: ACANTHURIDAE) capturada no litoral norte de Pernambuco." (2018).</t>
  </si>
  <si>
    <t>Randall, John E. "Contribution to the biology of the convict surgeonfish of the Hawaiian Islands, Acanthurus triostegus sandvicensis." (1961).</t>
  </si>
  <si>
    <t>Caillart, B., et al. "Reef Fish Communities and Fishery Yields of Tikehau Atoll (Tuamotu Archipelago French Polynesia)." Atoll Research Bulletin (1994).</t>
  </si>
  <si>
    <t>Kuiter, Helmut, and Rudie H. Debelius. Surgeonfishes, Rabbitfishes and Their Relatives: A Comprehensive Guide to Acanthuroidei. House Brand (Books), 2001.</t>
  </si>
  <si>
    <t>Priyadharsini, S., et al. "Reproductive biology and histological study of red lionfish Pterois volitans from Cuddalore, south east coast of India." Journal of Aquaculture Research and Development 4.6 (2013).</t>
  </si>
  <si>
    <t>Awata, Satoshi, et al. "Seasonal changes in reproductive and physical condition, sexual dimorphism, and male mating tactics in the jewelled blenny Salarias fasciatus." Ichthyological research 57.2 (2010): 161-168.</t>
  </si>
  <si>
    <t>larvalcultureproject.org</t>
  </si>
  <si>
    <t>Fischer, Eric A., and Preston D. Hardison. "The timing of spawning and egg production as constraints on male mating success in a simultaneously hermaphroditic fish." Environmental Biology of Fishes 20.4 (1987): 301-310.</t>
  </si>
  <si>
    <t>Tucker Jr, John W., and Peter N. Woodward. "Egg production and completion of the life cycle of belted sandfish (Serranus subligarius) in captivity." Bulletin of marine science 56.2 (1995): 701-707.</t>
  </si>
  <si>
    <t>Petersen, C. W. (1990). The Relationships Among Population Density, Individual Size, Mating Tactics, and Reproductive Success in a Hermaphroditic Fish, Serranus Fasciatus. Behaviour, 113(1), 57–80. doi:10.1163/156853990x00437</t>
  </si>
  <si>
    <t>Selvam, J., et al. "Distribution and abundance of finfish eggs from Muthupettai, south east coast of India." Fisheries and Aquaculture Journal (2013): 1-20.</t>
  </si>
  <si>
    <t>Leu, Ming‐Yih, et al. "Spawning behaviour, early development and first feeding of the bluestriped angelfish [Chaetodontoplus septentrionalis (Temminck &amp; Schlegel, 1844)] in captivity." Aquaculture Research 41.9 (2010): e39-e52.</t>
  </si>
  <si>
    <t>https://www.diveandrelax.com/koh-lanta-marine-life/actinopterygii/muraenoidei</t>
  </si>
  <si>
    <t>https://belombrepedia.heritagebelombre.com/en/content/long-nosed-butterflyfish</t>
  </si>
  <si>
    <t>Sadovy de Mitcheson, Yvonne J., George R. Mitcheson, and Maria B. Rasotto. "Mating system in a small pelagic spawner: field case study of the mandarinfish, Synchiropus splendidus." Environmental Biology of Fishes 105.6 (2022): 699-716.</t>
  </si>
  <si>
    <t>https://www.risingtideconservation.org/uf-ifas-tal-making-advances-in-fire-goby-nemeteleotris-magnifica-aquaculture/</t>
  </si>
  <si>
    <t>Madhu, K., and Rema Madhu. "Captive spawning and embryonic development of marine ornamental purple firefish Nemateleotris decora (Randall &amp; Allen, 1973)." Aquaculture 424 (2014): 1-9.</t>
  </si>
  <si>
    <t>Clarke, Thomas A. "Larvae of nearshore fishes in oceanic waters near Oahu, Hawaii." (1991).</t>
  </si>
  <si>
    <t>Yoshida, Tomohiro, Shigeru Harazaki, and Hiroyuki Motomura. "Apogonid fishes (Teleostei: Perciformes) of Yaku-shima Island, Kagoshima Prefecture, southern Japan." Fishes of Yaku-shima Island–A World Heritage island in the Osumi Group, Kagoshima Prefecture, southern Japan. National Museum of Nature and Science, Tokyo (2010): 27-64.</t>
  </si>
  <si>
    <t>Longenecker, Ken, et al. "Rapid reproductive analysis and length–weight relations of three reef fishes (Actinopterygii: Perciformes and Tetraodontiformes) from a remote site in Papua New Guinea." Acta Ichthyologica et Piscatoria 46.3 (2016): 263-270.</t>
  </si>
  <si>
    <t>Longenecker, Ken, et al. "Rapid reproductive analysis and length–weight relations for five species of coral-reef fishes (Actinopterygii) from Papua New Guinea: Nemipterus isacanthus, Parupeneus barberinus, Kyphosus cinerascens, Ctenochaetus striatus (Perciformes), and Balistapus undulatus (Tetraodontiformes)." Acta Ichthyologica et Piscatoria 47.2 (2017): 107-124.</t>
  </si>
  <si>
    <t>Holt, G. Joan, and Cecilia M. Riley. "Laboratory spawning of coral reef fishes: effects of temperature and photoperiod." Proceedings of the 28th US-Japan Natural Resources Aquaculture Panel: Spawning and Maturation of Aquaculture Species. UJNR Technical Report 28 (2001): 33-38.</t>
  </si>
  <si>
    <t>Alonso-Fernández, Alexandre, Josep Alós, and Miquel Palmer. "Variability in reproductive traits in the sex-changing fish, Coris julis, in the Mediterranean." Mediterranean Marine Science 15.1 (2014): 106-114.</t>
  </si>
  <si>
    <t>González Pérez, José Antonio, Ignacio J. Lozano Soldevilla, and C. M. Hernandez-Cruz. "Fecundidad de Sparisoma (Euscarus) cretense (L.)(Osteichthyes, Scaridae) en Canarias." (1993).</t>
  </si>
  <si>
    <t>Anikuttan, K. K., et al. "Pseudanthias squamipinnis (Peters, 1855)." (2017): 359-352.</t>
  </si>
  <si>
    <t>Breeding Strategy Level (SL = species level; GL = genus level; FL = Family level)</t>
  </si>
  <si>
    <t xml:space="preserve">Sorenson, L., Santini, F., Carnevale, G., &amp; Alfaro, M. E. (2013). A multi-locus timetree of surgeonfishes (Acanthuridae,Percomorpha), with revised family taxonomy. Mol Phylogenet Evol, 68(1), 150-160. https://doi.org/10.1016/j.ympev.2013.03.014 
</t>
  </si>
  <si>
    <t>Ave Local Density</t>
  </si>
  <si>
    <t>Max size score</t>
  </si>
  <si>
    <t>Max size  weight (2)</t>
  </si>
  <si>
    <t>Trophic level score</t>
  </si>
  <si>
    <t>Trophic level weight (1)</t>
  </si>
  <si>
    <t>Breeding Strategy</t>
  </si>
  <si>
    <t>48, 69</t>
  </si>
  <si>
    <t>Brothers, E.B., D.M. Williams, P.F. Sale, Length of larval life in twelve families of fishes at "One Tree Lagoon", Great Barrier Reef, Australia. Mar Biol 76, 319 (1983)</t>
  </si>
  <si>
    <t xml:space="preserve">48, 69, 
</t>
  </si>
  <si>
    <t>Egan, Joshua P., Thaddaeus J Buser, Michael D Burns, Andrew M Simons, Peter J Hundt, Patterns of Body Shape Diversity and Evolution in Intertidal and Subtidal Lineages of Combtooth Blennies (Blenniidae), Integrative Organismal Biology, Volume 3, Issue 1, 2021, obab004, https://doi.org/10.1093/iob/obab004</t>
  </si>
  <si>
    <t>89, 98</t>
  </si>
  <si>
    <t>Allen, G.R., Erdmann, M.V., &amp; Yusmalinda, N.L. (2016). Review of the Indo-Pacific Flasherwrasses of the genus Paracheilinus (Perciformes: Labridae), with descriptions of three new species</t>
  </si>
  <si>
    <t>72,  85, 174</t>
  </si>
  <si>
    <t>Thresher, R.E., Colin, P. L., &amp; Bell, L. J. (1989). Planktonic Duration, Distribution and Population Structure of Western and Central Pacific Damselfishes (Pomacentridae). Copeia, 1989(2), 420–434. https://doi.org/10.2307/1445439</t>
  </si>
  <si>
    <t>62, 180</t>
  </si>
  <si>
    <t>48, 175</t>
  </si>
  <si>
    <t>PSA</t>
  </si>
  <si>
    <t>PH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</si>
</sst>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
    <numFmt numFmtId="165" formatCode="0.0000"/>
    <numFmt numFmtId="166" formatCode="_(* #,##0_);_(* \(#,##0\);_(* &quot;-&quot;??_);_(@_)"/>
  </numFmts>
  <fonts count="56">
    <font>
      <sz val="10"/>
      <color rgb="FF000000"/>
      <name val="Arial"/>
      <scheme val="minor"/>
    </font>
    <font>
      <b/>
      <sz val="11"/>
      <color theme="1"/>
      <name val="Calibri"/>
      <family val="2"/>
    </font>
    <font>
      <b/>
      <sz val="12"/>
      <color theme="1"/>
      <name val="Calibri"/>
      <family val="2"/>
    </font>
    <font>
      <b/>
      <sz val="10"/>
      <color theme="1"/>
      <name val="Arial"/>
      <family val="2"/>
      <scheme val="minor"/>
    </font>
    <font>
      <b/>
      <sz val="10"/>
      <color theme="1"/>
      <name val="Arial"/>
      <family val="2"/>
    </font>
    <font>
      <sz val="10"/>
      <color theme="1"/>
      <name val="Arial"/>
      <family val="2"/>
      <scheme val="minor"/>
    </font>
    <font>
      <b/>
      <sz val="10"/>
      <color rgb="FF000000"/>
      <name val="Roboto"/>
    </font>
    <font>
      <b/>
      <sz val="12"/>
      <color rgb="FF000000"/>
      <name val="Calibri"/>
      <family val="2"/>
    </font>
    <font>
      <sz val="11"/>
      <color theme="1"/>
      <name val="Calibri"/>
      <family val="2"/>
    </font>
    <font>
      <sz val="12"/>
      <color theme="1"/>
      <name val="Calibri"/>
      <family val="2"/>
    </font>
    <font>
      <sz val="10"/>
      <color theme="1"/>
      <name val="Arial"/>
      <family val="2"/>
    </font>
    <font>
      <sz val="11"/>
      <color rgb="FF000000"/>
      <name val="Inconsolata"/>
      <charset val="1"/>
    </font>
    <font>
      <sz val="11"/>
      <color rgb="FF201F1E"/>
      <name val="Calibri"/>
      <family val="2"/>
    </font>
    <font>
      <sz val="9"/>
      <color rgb="FF000000"/>
      <name val="&quot;Google Sans Mono&quot;"/>
    </font>
    <font>
      <sz val="11"/>
      <color rgb="FF000000"/>
      <name val="Arial"/>
      <family val="2"/>
    </font>
    <font>
      <sz val="11"/>
      <color theme="1"/>
      <name val="Inconsolata"/>
      <charset val="1"/>
    </font>
    <font>
      <sz val="12"/>
      <color rgb="FF000000"/>
      <name val="Calibri"/>
      <family val="2"/>
    </font>
    <font>
      <sz val="11"/>
      <color theme="1"/>
      <name val="Arial"/>
      <family val="2"/>
    </font>
    <font>
      <sz val="10"/>
      <color rgb="FF000000"/>
      <name val="Arial"/>
      <family val="2"/>
    </font>
    <font>
      <u/>
      <sz val="10"/>
      <color rgb="FF1155CC"/>
      <name val="Arial"/>
      <family val="2"/>
    </font>
    <font>
      <i/>
      <sz val="10"/>
      <color theme="1"/>
      <name val="Arial"/>
      <family val="2"/>
    </font>
    <font>
      <sz val="11"/>
      <color rgb="FF2E2E2E"/>
      <name val="Calibri"/>
      <family val="2"/>
    </font>
    <font>
      <u/>
      <sz val="11"/>
      <color rgb="FF0000FF"/>
      <name val="Calibri"/>
      <family val="2"/>
    </font>
    <font>
      <sz val="10"/>
      <color rgb="FF000000"/>
      <name val="Calibri"/>
      <family val="2"/>
    </font>
    <font>
      <sz val="11"/>
      <color rgb="FF000000"/>
      <name val="Calibri"/>
      <family val="2"/>
    </font>
    <font>
      <sz val="10"/>
      <color rgb="FF222222"/>
      <name val="Arial"/>
      <family val="2"/>
    </font>
    <font>
      <sz val="10"/>
      <color rgb="FF000000"/>
      <name val="Arial"/>
      <family val="2"/>
      <scheme val="minor"/>
    </font>
    <font>
      <sz val="11"/>
      <color rgb="FF1C1D1E"/>
      <name val="Calibri"/>
      <family val="2"/>
    </font>
    <font>
      <u/>
      <sz val="10"/>
      <color rgb="FF0000FF"/>
      <name val="Arial"/>
      <family val="2"/>
    </font>
    <font>
      <sz val="11"/>
      <color rgb="FF000000"/>
      <name val="Docs-Calibri"/>
    </font>
    <font>
      <sz val="10"/>
      <color theme="1"/>
      <name val="Roboto"/>
    </font>
    <font>
      <u/>
      <sz val="11"/>
      <color theme="1"/>
      <name val="Calibri"/>
      <family val="2"/>
    </font>
    <font>
      <sz val="10"/>
      <color rgb="FF000000"/>
      <name val="Roboto"/>
    </font>
    <font>
      <u/>
      <sz val="11"/>
      <color rgb="FF0563C1"/>
      <name val="Calibri"/>
      <family val="2"/>
    </font>
    <font>
      <sz val="11"/>
      <color rgb="FF222222"/>
      <name val="Calibri"/>
      <family val="2"/>
    </font>
    <font>
      <u/>
      <sz val="11"/>
      <color rgb="FF1155CC"/>
      <name val="Calibri"/>
      <family val="2"/>
    </font>
    <font>
      <sz val="11"/>
      <color rgb="FF1F1F1F"/>
      <name val="Calibri"/>
      <family val="2"/>
    </font>
    <font>
      <u/>
      <sz val="11"/>
      <color rgb="FF222222"/>
      <name val="Calibri"/>
      <family val="2"/>
    </font>
    <font>
      <u/>
      <sz val="11"/>
      <color rgb="FF1F1F1F"/>
      <name val="Calibri"/>
      <family val="2"/>
    </font>
    <font>
      <sz val="10"/>
      <name val="Arial"/>
      <family val="2"/>
    </font>
    <font>
      <sz val="12"/>
      <color theme="1"/>
      <name val="Calibri, Arial"/>
    </font>
    <font>
      <i/>
      <sz val="12"/>
      <color theme="1"/>
      <name val="Calibri, Arial"/>
    </font>
    <font>
      <sz val="11"/>
      <name val="Calibri"/>
      <family val="2"/>
    </font>
    <font>
      <u/>
      <sz val="11"/>
      <name val="Calibri"/>
      <family val="2"/>
    </font>
    <font>
      <i/>
      <sz val="11"/>
      <color theme="1"/>
      <name val="Calibri"/>
      <family val="2"/>
    </font>
    <font>
      <sz val="12"/>
      <color theme="1"/>
      <name val="Aptos"/>
      <family val="2"/>
    </font>
    <font>
      <sz val="12"/>
      <color rgb="FF000000"/>
      <name val="Aptos"/>
      <family val="2"/>
    </font>
    <font>
      <i/>
      <sz val="12"/>
      <color rgb="FF000000"/>
      <name val="Aptos"/>
      <family val="2"/>
    </font>
    <font>
      <b/>
      <sz val="11"/>
      <color rgb="FF000000"/>
      <name val="Calibri"/>
      <family val="2"/>
    </font>
    <font>
      <b/>
      <sz val="10"/>
      <color rgb="FF000000"/>
      <name val="Arial"/>
      <family val="2"/>
      <scheme val="minor"/>
    </font>
    <font>
      <sz val="11"/>
      <color rgb="FF000000"/>
      <name val="Arial"/>
      <family val="2"/>
      <scheme val="minor"/>
    </font>
    <font>
      <sz val="10"/>
      <color rgb="FF1F1F1F"/>
      <name val="Arial"/>
      <family val="2"/>
      <scheme val="minor"/>
    </font>
    <font>
      <i/>
      <sz val="12"/>
      <color rgb="FF000000"/>
      <name val="Calibri"/>
      <family val="2"/>
    </font>
    <font>
      <sz val="11"/>
      <color rgb="FF1F1F1F"/>
      <name val="&quot;Google Sans&quot;"/>
    </font>
    <font>
      <sz val="10"/>
      <color rgb="FF000000"/>
      <name val="Arial"/>
      <family val="2"/>
      <scheme val="minor"/>
    </font>
    <font>
      <sz val="11"/>
      <color theme="3"/>
      <name val="Calibri"/>
      <family val="2"/>
    </font>
  </fonts>
  <fills count="18">
    <fill>
      <patternFill patternType="none"/>
    </fill>
    <fill>
      <patternFill patternType="gray125"/>
    </fill>
    <fill>
      <patternFill patternType="solid">
        <fgColor rgb="FFB4A7D6"/>
        <bgColor rgb="FFB4A7D6"/>
      </patternFill>
    </fill>
    <fill>
      <patternFill patternType="solid">
        <fgColor rgb="FFC9DAF8"/>
        <bgColor rgb="FFC9DAF8"/>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
      <patternFill patternType="solid">
        <fgColor rgb="FFFFFFFF"/>
        <bgColor rgb="FFFFFFFF"/>
      </patternFill>
    </fill>
    <fill>
      <patternFill patternType="solid">
        <fgColor rgb="FFDDEBF7"/>
        <bgColor rgb="FFDDEBF7"/>
      </patternFill>
    </fill>
    <fill>
      <patternFill patternType="solid">
        <fgColor rgb="FFF4CCCC"/>
        <bgColor rgb="FFF4CCCC"/>
      </patternFill>
    </fill>
    <fill>
      <patternFill patternType="solid">
        <fgColor rgb="FFD9D2E9"/>
        <bgColor rgb="FFD9D2E9"/>
      </patternFill>
    </fill>
    <fill>
      <patternFill patternType="solid">
        <fgColor rgb="FFFCE5CD"/>
        <bgColor rgb="FFFCE5CD"/>
      </patternFill>
    </fill>
    <fill>
      <patternFill patternType="solid">
        <fgColor theme="6"/>
        <bgColor theme="6"/>
      </patternFill>
    </fill>
    <fill>
      <patternFill patternType="solid">
        <fgColor theme="4"/>
        <bgColor theme="4"/>
      </patternFill>
    </fill>
    <fill>
      <patternFill patternType="solid">
        <fgColor rgb="FFEDECEF"/>
        <bgColor rgb="FFEDECEF"/>
      </patternFill>
    </fill>
    <fill>
      <patternFill patternType="solid">
        <fgColor theme="2" tint="-4.9989318521683403E-2"/>
        <bgColor rgb="FFCCCCCC"/>
      </patternFill>
    </fill>
    <fill>
      <patternFill patternType="solid">
        <fgColor theme="0"/>
        <bgColor indexed="64"/>
      </patternFill>
    </fill>
    <fill>
      <patternFill patternType="solid">
        <fgColor theme="7" tint="0.79998168889431442"/>
        <bgColor indexed="64"/>
      </patternFill>
    </fill>
  </fills>
  <borders count="16">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indexed="64"/>
      </left>
      <right/>
      <top style="thin">
        <color rgb="FF000000"/>
      </top>
      <bottom style="thin">
        <color rgb="FF000000"/>
      </bottom>
      <diagonal/>
    </border>
    <border>
      <left/>
      <right style="thin">
        <color indexed="64"/>
      </right>
      <top/>
      <bottom/>
      <diagonal/>
    </border>
    <border>
      <left style="thin">
        <color rgb="FFCCCCCC"/>
      </left>
      <right style="thin">
        <color rgb="FF000000"/>
      </right>
      <top style="thin">
        <color rgb="FF000000"/>
      </top>
      <bottom style="thin">
        <color rgb="FF000000"/>
      </bottom>
      <diagonal/>
    </border>
    <border>
      <left style="thin">
        <color indexed="64"/>
      </left>
      <right/>
      <top/>
      <bottom style="thin">
        <color rgb="FF000000"/>
      </bottom>
      <diagonal/>
    </border>
    <border>
      <left/>
      <right/>
      <top/>
      <bottom style="thin">
        <color indexed="64"/>
      </bottom>
      <diagonal/>
    </border>
  </borders>
  <cellStyleXfs count="2">
    <xf numFmtId="0" fontId="0" fillId="0" borderId="0"/>
    <xf numFmtId="43" fontId="54" fillId="0" borderId="0" applyFont="0" applyFill="0" applyBorder="0" applyAlignment="0" applyProtection="0"/>
  </cellStyleXfs>
  <cellXfs count="321">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3" fillId="2" borderId="2" xfId="0" applyFont="1" applyFill="1" applyBorder="1"/>
    <xf numFmtId="0" fontId="3" fillId="2" borderId="3" xfId="0" applyFont="1" applyFill="1" applyBorder="1" applyAlignment="1">
      <alignment horizontal="right"/>
    </xf>
    <xf numFmtId="0" fontId="3" fillId="2" borderId="3" xfId="0" applyFont="1" applyFill="1" applyBorder="1"/>
    <xf numFmtId="0" fontId="3" fillId="2" borderId="4" xfId="0" applyFont="1" applyFill="1" applyBorder="1"/>
    <xf numFmtId="0" fontId="1" fillId="2" borderId="1" xfId="0" applyFont="1" applyFill="1" applyBorder="1" applyAlignment="1">
      <alignment horizontal="right"/>
    </xf>
    <xf numFmtId="0" fontId="5" fillId="2" borderId="1" xfId="0" applyFont="1" applyFill="1" applyBorder="1"/>
    <xf numFmtId="0" fontId="3" fillId="2" borderId="1" xfId="0" applyFont="1" applyFill="1" applyBorder="1" applyAlignment="1">
      <alignment horizontal="right"/>
    </xf>
    <xf numFmtId="0" fontId="6" fillId="2" borderId="3" xfId="0" applyFont="1" applyFill="1" applyBorder="1"/>
    <xf numFmtId="0" fontId="6" fillId="2" borderId="4" xfId="0" applyFont="1" applyFill="1" applyBorder="1"/>
    <xf numFmtId="2" fontId="3" fillId="2" borderId="1" xfId="0" applyNumberFormat="1" applyFont="1" applyFill="1" applyBorder="1"/>
    <xf numFmtId="0" fontId="2" fillId="3" borderId="1" xfId="0" applyFont="1" applyFill="1" applyBorder="1" applyAlignment="1">
      <alignment wrapText="1"/>
    </xf>
    <xf numFmtId="0" fontId="2" fillId="4" borderId="5" xfId="0" applyFont="1" applyFill="1" applyBorder="1" applyAlignment="1">
      <alignment wrapText="1"/>
    </xf>
    <xf numFmtId="0" fontId="2" fillId="4" borderId="1" xfId="0" applyFont="1" applyFill="1" applyBorder="1" applyAlignment="1">
      <alignment wrapText="1"/>
    </xf>
    <xf numFmtId="0" fontId="2" fillId="5" borderId="5" xfId="0" applyFont="1" applyFill="1" applyBorder="1" applyAlignment="1">
      <alignment wrapText="1"/>
    </xf>
    <xf numFmtId="0" fontId="2" fillId="5" borderId="1" xfId="0" applyFont="1" applyFill="1" applyBorder="1" applyAlignment="1">
      <alignment wrapText="1"/>
    </xf>
    <xf numFmtId="0" fontId="2" fillId="5" borderId="6" xfId="0" applyFont="1" applyFill="1" applyBorder="1" applyAlignment="1">
      <alignment wrapText="1"/>
    </xf>
    <xf numFmtId="0" fontId="2" fillId="5" borderId="2" xfId="0" applyFont="1" applyFill="1" applyBorder="1" applyAlignment="1">
      <alignment horizontal="left" wrapText="1"/>
    </xf>
    <xf numFmtId="0" fontId="2" fillId="5" borderId="3" xfId="0" applyFont="1" applyFill="1" applyBorder="1" applyAlignment="1">
      <alignment horizontal="left" wrapText="1"/>
    </xf>
    <xf numFmtId="0" fontId="2" fillId="5" borderId="4" xfId="0" applyFont="1" applyFill="1" applyBorder="1" applyAlignment="1">
      <alignment horizontal="left" wrapText="1"/>
    </xf>
    <xf numFmtId="0" fontId="2" fillId="4" borderId="6" xfId="0" applyFont="1" applyFill="1" applyBorder="1" applyAlignment="1">
      <alignment wrapText="1"/>
    </xf>
    <xf numFmtId="0" fontId="2" fillId="4" borderId="2" xfId="0" applyFont="1" applyFill="1" applyBorder="1" applyAlignment="1">
      <alignment wrapText="1"/>
    </xf>
    <xf numFmtId="0" fontId="2" fillId="4" borderId="3" xfId="0" applyFont="1" applyFill="1" applyBorder="1" applyAlignment="1">
      <alignment horizontal="center" wrapText="1"/>
    </xf>
    <xf numFmtId="0" fontId="2" fillId="4" borderId="3" xfId="0" applyFont="1" applyFill="1" applyBorder="1" applyAlignment="1">
      <alignment wrapText="1"/>
    </xf>
    <xf numFmtId="0" fontId="2" fillId="5" borderId="2" xfId="0" applyFont="1" applyFill="1" applyBorder="1" applyAlignment="1">
      <alignment wrapText="1"/>
    </xf>
    <xf numFmtId="0" fontId="2" fillId="5" borderId="3" xfId="0" applyFont="1" applyFill="1" applyBorder="1" applyAlignment="1">
      <alignment wrapText="1"/>
    </xf>
    <xf numFmtId="0" fontId="2" fillId="5" borderId="4" xfId="0" applyFont="1" applyFill="1" applyBorder="1" applyAlignment="1">
      <alignment wrapText="1"/>
    </xf>
    <xf numFmtId="0" fontId="2" fillId="4" borderId="5" xfId="0" applyFont="1" applyFill="1" applyBorder="1" applyAlignment="1">
      <alignment horizontal="center" wrapText="1"/>
    </xf>
    <xf numFmtId="0" fontId="7" fillId="5" borderId="5" xfId="0" applyFont="1" applyFill="1" applyBorder="1" applyAlignment="1">
      <alignment horizontal="left" wrapText="1"/>
    </xf>
    <xf numFmtId="0" fontId="1" fillId="5" borderId="1" xfId="0" applyFont="1" applyFill="1" applyBorder="1" applyAlignment="1">
      <alignment horizontal="left" wrapText="1"/>
    </xf>
    <xf numFmtId="0" fontId="1" fillId="5" borderId="6" xfId="0" applyFont="1" applyFill="1" applyBorder="1" applyAlignment="1">
      <alignment horizontal="left" wrapText="1"/>
    </xf>
    <xf numFmtId="2" fontId="2" fillId="3" borderId="1" xfId="0" applyNumberFormat="1" applyFont="1" applyFill="1" applyBorder="1" applyAlignment="1">
      <alignment wrapText="1"/>
    </xf>
    <xf numFmtId="0" fontId="8" fillId="0" borderId="0" xfId="0" applyFont="1"/>
    <xf numFmtId="0" fontId="9" fillId="0" borderId="0" xfId="0" applyFont="1"/>
    <xf numFmtId="0" fontId="8" fillId="6" borderId="0" xfId="0" applyFont="1" applyFill="1"/>
    <xf numFmtId="0" fontId="10" fillId="0" borderId="7" xfId="0" applyFont="1" applyBorder="1" applyAlignment="1">
      <alignment horizontal="right"/>
    </xf>
    <xf numFmtId="0" fontId="10" fillId="0" borderId="8" xfId="0" applyFont="1" applyBorder="1"/>
    <xf numFmtId="0" fontId="10" fillId="0" borderId="8" xfId="0" applyFont="1" applyBorder="1" applyAlignment="1">
      <alignment horizontal="right"/>
    </xf>
    <xf numFmtId="0" fontId="10" fillId="0" borderId="0" xfId="0" applyFont="1" applyAlignment="1">
      <alignment horizontal="right"/>
    </xf>
    <xf numFmtId="2" fontId="5" fillId="0" borderId="9" xfId="0" applyNumberFormat="1" applyFont="1" applyBorder="1"/>
    <xf numFmtId="0" fontId="11" fillId="7" borderId="0" xfId="0" applyFont="1" applyFill="1"/>
    <xf numFmtId="0" fontId="5" fillId="0" borderId="0" xfId="0" applyFont="1"/>
    <xf numFmtId="0" fontId="5" fillId="0" borderId="10" xfId="0" applyFont="1" applyBorder="1"/>
    <xf numFmtId="0" fontId="8" fillId="7" borderId="8" xfId="0" applyFont="1" applyFill="1" applyBorder="1"/>
    <xf numFmtId="0" fontId="12" fillId="7" borderId="8" xfId="0" applyFont="1" applyFill="1" applyBorder="1" applyAlignment="1">
      <alignment horizontal="right"/>
    </xf>
    <xf numFmtId="0" fontId="8" fillId="7" borderId="9" xfId="0" applyFont="1" applyFill="1" applyBorder="1" applyAlignment="1">
      <alignment horizontal="left"/>
    </xf>
    <xf numFmtId="0" fontId="8" fillId="7" borderId="0" xfId="0" applyFont="1" applyFill="1" applyAlignment="1">
      <alignment horizontal="left"/>
    </xf>
    <xf numFmtId="0" fontId="8" fillId="7" borderId="10" xfId="0" applyFont="1" applyFill="1" applyBorder="1" applyAlignment="1">
      <alignment horizontal="left"/>
    </xf>
    <xf numFmtId="3" fontId="8" fillId="0" borderId="0" xfId="0" applyNumberFormat="1" applyFont="1" applyAlignment="1">
      <alignment horizontal="right"/>
    </xf>
    <xf numFmtId="0" fontId="10" fillId="0" borderId="0" xfId="0" applyFont="1"/>
    <xf numFmtId="0" fontId="13" fillId="7" borderId="0" xfId="0" applyFont="1" applyFill="1"/>
    <xf numFmtId="0" fontId="10" fillId="0" borderId="10" xfId="0" applyFont="1" applyBorder="1"/>
    <xf numFmtId="0" fontId="14" fillId="7" borderId="0" xfId="0" applyFont="1" applyFill="1"/>
    <xf numFmtId="0" fontId="8" fillId="7" borderId="9" xfId="0" applyFont="1" applyFill="1" applyBorder="1"/>
    <xf numFmtId="0" fontId="8" fillId="7" borderId="0" xfId="0" applyFont="1" applyFill="1"/>
    <xf numFmtId="0" fontId="8" fillId="7" borderId="0" xfId="0" applyFont="1" applyFill="1" applyAlignment="1">
      <alignment horizontal="right"/>
    </xf>
    <xf numFmtId="0" fontId="9" fillId="0" borderId="9" xfId="0" applyFont="1" applyBorder="1"/>
    <xf numFmtId="0" fontId="8" fillId="0" borderId="0" xfId="0" applyFont="1" applyAlignment="1">
      <alignment horizontal="right"/>
    </xf>
    <xf numFmtId="0" fontId="8" fillId="7" borderId="0" xfId="0" applyFont="1" applyFill="1" applyAlignment="1">
      <alignment horizontal="right" wrapText="1"/>
    </xf>
    <xf numFmtId="0" fontId="15" fillId="7" borderId="0" xfId="0" applyFont="1" applyFill="1" applyAlignment="1">
      <alignment horizontal="right"/>
    </xf>
    <xf numFmtId="164" fontId="8" fillId="0" borderId="9" xfId="0" applyNumberFormat="1" applyFont="1" applyBorder="1" applyAlignment="1">
      <alignment horizontal="right"/>
    </xf>
    <xf numFmtId="0" fontId="8" fillId="7" borderId="9" xfId="0" applyFont="1" applyFill="1" applyBorder="1" applyAlignment="1">
      <alignment horizontal="right"/>
    </xf>
    <xf numFmtId="0" fontId="16" fillId="0" borderId="0" xfId="0" applyFont="1" applyAlignment="1">
      <alignment horizontal="left"/>
    </xf>
    <xf numFmtId="0" fontId="9" fillId="0" borderId="0" xfId="0" applyFont="1" applyAlignment="1">
      <alignment horizontal="right"/>
    </xf>
    <xf numFmtId="0" fontId="17" fillId="0" borderId="0" xfId="0" applyFont="1" applyAlignment="1">
      <alignment horizontal="left"/>
    </xf>
    <xf numFmtId="0" fontId="17" fillId="0" borderId="10" xfId="0" applyFont="1" applyBorder="1" applyAlignment="1">
      <alignment horizontal="left"/>
    </xf>
    <xf numFmtId="2" fontId="5" fillId="0" borderId="0" xfId="0" applyNumberFormat="1" applyFont="1"/>
    <xf numFmtId="0" fontId="18" fillId="7" borderId="0" xfId="0" applyFont="1" applyFill="1"/>
    <xf numFmtId="0" fontId="10" fillId="0" borderId="9" xfId="0" applyFont="1" applyBorder="1" applyAlignment="1">
      <alignment horizontal="right"/>
    </xf>
    <xf numFmtId="0" fontId="12" fillId="7" borderId="0" xfId="0" applyFont="1" applyFill="1" applyAlignment="1">
      <alignment horizontal="right"/>
    </xf>
    <xf numFmtId="3" fontId="8" fillId="7" borderId="0" xfId="0" applyNumberFormat="1" applyFont="1" applyFill="1" applyAlignment="1">
      <alignment horizontal="right"/>
    </xf>
    <xf numFmtId="0" fontId="10" fillId="7" borderId="0" xfId="0" applyFont="1" applyFill="1" applyAlignment="1">
      <alignment horizontal="right"/>
    </xf>
    <xf numFmtId="0" fontId="19" fillId="0" borderId="0" xfId="0" applyFont="1" applyAlignment="1">
      <alignment horizontal="right"/>
    </xf>
    <xf numFmtId="0" fontId="20" fillId="0" borderId="0" xfId="0" applyFont="1"/>
    <xf numFmtId="0" fontId="8" fillId="0" borderId="0" xfId="0" applyFont="1" applyAlignment="1">
      <alignment horizontal="left"/>
    </xf>
    <xf numFmtId="0" fontId="8" fillId="0" borderId="10" xfId="0" applyFont="1" applyBorder="1" applyAlignment="1">
      <alignment horizontal="left"/>
    </xf>
    <xf numFmtId="1" fontId="8" fillId="0" borderId="0" xfId="0" applyNumberFormat="1" applyFont="1" applyAlignment="1">
      <alignment horizontal="right"/>
    </xf>
    <xf numFmtId="0" fontId="8" fillId="0" borderId="9" xfId="0" applyFont="1" applyBorder="1"/>
    <xf numFmtId="3" fontId="21" fillId="0" borderId="0" xfId="0" applyNumberFormat="1" applyFont="1" applyAlignment="1">
      <alignment horizontal="right"/>
    </xf>
    <xf numFmtId="0" fontId="5" fillId="6" borderId="0" xfId="0" applyFont="1" applyFill="1"/>
    <xf numFmtId="0" fontId="22" fillId="7" borderId="0" xfId="0" applyFont="1" applyFill="1" applyAlignment="1">
      <alignment horizontal="left"/>
    </xf>
    <xf numFmtId="0" fontId="16" fillId="0" borderId="0" xfId="0" applyFont="1" applyAlignment="1">
      <alignment horizontal="right"/>
    </xf>
    <xf numFmtId="0" fontId="8" fillId="7" borderId="0" xfId="0" applyFont="1" applyFill="1" applyAlignment="1">
      <alignment horizontal="center"/>
    </xf>
    <xf numFmtId="0" fontId="10" fillId="0" borderId="9" xfId="0" applyFont="1" applyBorder="1" applyAlignment="1">
      <alignment horizontal="center"/>
    </xf>
    <xf numFmtId="0" fontId="12" fillId="7" borderId="0" xfId="0" applyFont="1" applyFill="1" applyAlignment="1">
      <alignment horizontal="center"/>
    </xf>
    <xf numFmtId="0" fontId="10" fillId="0" borderId="0" xfId="0" applyFont="1" applyAlignment="1">
      <alignment horizontal="center"/>
    </xf>
    <xf numFmtId="0" fontId="15" fillId="7" borderId="0" xfId="0" applyFont="1" applyFill="1" applyAlignment="1">
      <alignment horizontal="center"/>
    </xf>
    <xf numFmtId="0" fontId="23" fillId="6" borderId="0" xfId="0" applyFont="1" applyFill="1"/>
    <xf numFmtId="0" fontId="24" fillId="0" borderId="0" xfId="0" applyFont="1" applyAlignment="1">
      <alignment horizontal="right"/>
    </xf>
    <xf numFmtId="0" fontId="5" fillId="7" borderId="0" xfId="0" applyFont="1" applyFill="1"/>
    <xf numFmtId="0" fontId="5" fillId="7" borderId="10" xfId="0" applyFont="1" applyFill="1" applyBorder="1"/>
    <xf numFmtId="0" fontId="25" fillId="7" borderId="0" xfId="0" applyFont="1" applyFill="1"/>
    <xf numFmtId="0" fontId="26" fillId="0" borderId="0" xfId="0" applyFont="1" applyAlignment="1">
      <alignment horizontal="left"/>
    </xf>
    <xf numFmtId="3" fontId="27" fillId="7" borderId="0" xfId="0" applyNumberFormat="1" applyFont="1" applyFill="1" applyAlignment="1">
      <alignment horizontal="right"/>
    </xf>
    <xf numFmtId="0" fontId="9" fillId="7" borderId="0" xfId="0" applyFont="1" applyFill="1"/>
    <xf numFmtId="0" fontId="24" fillId="6" borderId="0" xfId="0" applyFont="1" applyFill="1"/>
    <xf numFmtId="0" fontId="28" fillId="0" borderId="10" xfId="0" applyFont="1" applyBorder="1"/>
    <xf numFmtId="0" fontId="29" fillId="6" borderId="0" xfId="0" applyFont="1" applyFill="1" applyAlignment="1">
      <alignment horizontal="left"/>
    </xf>
    <xf numFmtId="0" fontId="8" fillId="3" borderId="9" xfId="0" applyFont="1" applyFill="1" applyBorder="1" applyAlignment="1">
      <alignment horizontal="right"/>
    </xf>
    <xf numFmtId="3" fontId="8" fillId="0" borderId="0" xfId="0" applyNumberFormat="1" applyFont="1"/>
    <xf numFmtId="0" fontId="30" fillId="7" borderId="0" xfId="0" applyFont="1" applyFill="1"/>
    <xf numFmtId="0" fontId="30" fillId="7" borderId="10" xfId="0" applyFont="1" applyFill="1" applyBorder="1"/>
    <xf numFmtId="0" fontId="31" fillId="7" borderId="0" xfId="0" applyFont="1" applyFill="1" applyAlignment="1">
      <alignment horizontal="left"/>
    </xf>
    <xf numFmtId="0" fontId="8" fillId="0" borderId="0" xfId="0" applyFont="1" applyAlignment="1">
      <alignment horizontal="center"/>
    </xf>
    <xf numFmtId="0" fontId="9" fillId="7" borderId="0" xfId="0" applyFont="1" applyFill="1" applyAlignment="1">
      <alignment horizontal="right"/>
    </xf>
    <xf numFmtId="0" fontId="8" fillId="0" borderId="1" xfId="0" applyFont="1" applyBorder="1"/>
    <xf numFmtId="0" fontId="9" fillId="0" borderId="1" xfId="0" applyFont="1" applyBorder="1"/>
    <xf numFmtId="0" fontId="8" fillId="6" borderId="1" xfId="0" applyFont="1" applyFill="1" applyBorder="1"/>
    <xf numFmtId="0" fontId="10" fillId="0" borderId="5" xfId="0" applyFont="1" applyBorder="1" applyAlignment="1">
      <alignment horizontal="right"/>
    </xf>
    <xf numFmtId="0" fontId="10" fillId="0" borderId="1" xfId="0" applyFont="1" applyBorder="1"/>
    <xf numFmtId="0" fontId="10" fillId="0" borderId="1" xfId="0" applyFont="1" applyBorder="1" applyAlignment="1">
      <alignment horizontal="right"/>
    </xf>
    <xf numFmtId="2" fontId="5" fillId="0" borderId="5" xfId="0" applyNumberFormat="1" applyFont="1" applyBorder="1"/>
    <xf numFmtId="0" fontId="5" fillId="0" borderId="1" xfId="0" applyFont="1" applyBorder="1"/>
    <xf numFmtId="0" fontId="5" fillId="0" borderId="6" xfId="0" applyFont="1" applyBorder="1"/>
    <xf numFmtId="0" fontId="8" fillId="7" borderId="1" xfId="0" applyFont="1" applyFill="1" applyBorder="1"/>
    <xf numFmtId="0" fontId="9" fillId="7" borderId="1" xfId="0" applyFont="1" applyFill="1" applyBorder="1" applyAlignment="1">
      <alignment horizontal="right"/>
    </xf>
    <xf numFmtId="0" fontId="11" fillId="7" borderId="1" xfId="0" applyFont="1" applyFill="1" applyBorder="1"/>
    <xf numFmtId="0" fontId="8" fillId="7" borderId="5" xfId="0" applyFont="1" applyFill="1" applyBorder="1" applyAlignment="1">
      <alignment horizontal="left"/>
    </xf>
    <xf numFmtId="0" fontId="8" fillId="7" borderId="1" xfId="0" applyFont="1" applyFill="1" applyBorder="1" applyAlignment="1">
      <alignment horizontal="left"/>
    </xf>
    <xf numFmtId="0" fontId="8" fillId="7" borderId="6" xfId="0" applyFont="1" applyFill="1" applyBorder="1" applyAlignment="1">
      <alignment horizontal="left"/>
    </xf>
    <xf numFmtId="0" fontId="8" fillId="0" borderId="1" xfId="0" applyFont="1" applyBorder="1" applyAlignment="1">
      <alignment horizontal="right"/>
    </xf>
    <xf numFmtId="0" fontId="10" fillId="0" borderId="6" xfId="0" applyFont="1" applyBorder="1"/>
    <xf numFmtId="0" fontId="14" fillId="7" borderId="1" xfId="0" applyFont="1" applyFill="1" applyBorder="1"/>
    <xf numFmtId="0" fontId="8" fillId="7" borderId="5" xfId="0" applyFont="1" applyFill="1" applyBorder="1"/>
    <xf numFmtId="0" fontId="8" fillId="7" borderId="1" xfId="0" applyFont="1" applyFill="1" applyBorder="1" applyAlignment="1">
      <alignment horizontal="right"/>
    </xf>
    <xf numFmtId="0" fontId="9" fillId="0" borderId="5" xfId="0" applyFont="1" applyBorder="1"/>
    <xf numFmtId="0" fontId="9" fillId="0" borderId="1" xfId="0" applyFont="1" applyBorder="1" applyAlignment="1">
      <alignment horizontal="right"/>
    </xf>
    <xf numFmtId="0" fontId="8" fillId="7" borderId="1" xfId="0" applyFont="1" applyFill="1" applyBorder="1" applyAlignment="1">
      <alignment horizontal="right" wrapText="1"/>
    </xf>
    <xf numFmtId="0" fontId="15" fillId="7" borderId="1" xfId="0" applyFont="1" applyFill="1" applyBorder="1" applyAlignment="1">
      <alignment horizontal="right"/>
    </xf>
    <xf numFmtId="164" fontId="8" fillId="0" borderId="5" xfId="0" applyNumberFormat="1" applyFont="1" applyBorder="1" applyAlignment="1">
      <alignment horizontal="right"/>
    </xf>
    <xf numFmtId="0" fontId="8" fillId="7" borderId="5" xfId="0" applyFont="1" applyFill="1" applyBorder="1" applyAlignment="1">
      <alignment horizontal="right"/>
    </xf>
    <xf numFmtId="0" fontId="16" fillId="0" borderId="1" xfId="0" applyFont="1" applyBorder="1" applyAlignment="1">
      <alignment horizontal="left"/>
    </xf>
    <xf numFmtId="0" fontId="17" fillId="0" borderId="1" xfId="0" applyFont="1" applyBorder="1" applyAlignment="1">
      <alignment horizontal="left"/>
    </xf>
    <xf numFmtId="0" fontId="17" fillId="0" borderId="6" xfId="0" applyFont="1" applyBorder="1" applyAlignment="1">
      <alignment horizontal="left"/>
    </xf>
    <xf numFmtId="0" fontId="18" fillId="7" borderId="1" xfId="0" applyFont="1" applyFill="1" applyBorder="1"/>
    <xf numFmtId="0" fontId="24" fillId="0" borderId="0" xfId="0" applyFont="1" applyAlignment="1">
      <alignment horizontal="left"/>
    </xf>
    <xf numFmtId="0" fontId="3" fillId="3" borderId="0" xfId="0" applyFont="1" applyFill="1"/>
    <xf numFmtId="0" fontId="3" fillId="3" borderId="1" xfId="0" applyFont="1" applyFill="1" applyBorder="1"/>
    <xf numFmtId="0" fontId="8" fillId="9" borderId="0" xfId="0" applyFont="1" applyFill="1"/>
    <xf numFmtId="0" fontId="8" fillId="10" borderId="0" xfId="0" applyFont="1" applyFill="1"/>
    <xf numFmtId="0" fontId="8" fillId="3" borderId="0" xfId="0" applyFont="1" applyFill="1"/>
    <xf numFmtId="0" fontId="5" fillId="3" borderId="0" xfId="0" applyFont="1" applyFill="1"/>
    <xf numFmtId="0" fontId="24" fillId="0" borderId="0" xfId="0" applyFont="1"/>
    <xf numFmtId="0" fontId="24" fillId="11" borderId="0" xfId="0" applyFont="1" applyFill="1"/>
    <xf numFmtId="0" fontId="24" fillId="3" borderId="0" xfId="0" applyFont="1" applyFill="1"/>
    <xf numFmtId="0" fontId="24" fillId="11" borderId="0" xfId="0" applyFont="1" applyFill="1" applyAlignment="1">
      <alignment horizontal="right"/>
    </xf>
    <xf numFmtId="0" fontId="24" fillId="11" borderId="8" xfId="0" applyFont="1" applyFill="1" applyBorder="1" applyAlignment="1">
      <alignment horizontal="right"/>
    </xf>
    <xf numFmtId="0" fontId="24" fillId="3" borderId="8" xfId="0" applyFont="1" applyFill="1" applyBorder="1" applyAlignment="1">
      <alignment horizontal="right"/>
    </xf>
    <xf numFmtId="0" fontId="11" fillId="3" borderId="8" xfId="0" applyFont="1" applyFill="1" applyBorder="1" applyAlignment="1">
      <alignment horizontal="right"/>
    </xf>
    <xf numFmtId="0" fontId="24" fillId="3" borderId="7" xfId="0" applyFont="1" applyFill="1" applyBorder="1" applyAlignment="1">
      <alignment horizontal="right"/>
    </xf>
    <xf numFmtId="0" fontId="16" fillId="3" borderId="8" xfId="0" applyFont="1" applyFill="1" applyBorder="1" applyAlignment="1">
      <alignment horizontal="right"/>
    </xf>
    <xf numFmtId="0" fontId="24" fillId="3" borderId="0" xfId="0" applyFont="1" applyFill="1" applyAlignment="1">
      <alignment horizontal="right"/>
    </xf>
    <xf numFmtId="0" fontId="11" fillId="3" borderId="0" xfId="0" applyFont="1" applyFill="1" applyAlignment="1">
      <alignment horizontal="right"/>
    </xf>
    <xf numFmtId="0" fontId="24" fillId="3" borderId="9" xfId="0" applyFont="1" applyFill="1" applyBorder="1" applyAlignment="1">
      <alignment horizontal="right"/>
    </xf>
    <xf numFmtId="0" fontId="16" fillId="3" borderId="0" xfId="0" applyFont="1" applyFill="1" applyAlignment="1">
      <alignment horizontal="right"/>
    </xf>
    <xf numFmtId="0" fontId="11" fillId="3" borderId="0" xfId="0" applyFont="1" applyFill="1" applyAlignment="1">
      <alignment horizontal="center"/>
    </xf>
    <xf numFmtId="0" fontId="24" fillId="11" borderId="1" xfId="0" applyFont="1" applyFill="1" applyBorder="1" applyAlignment="1">
      <alignment horizontal="right"/>
    </xf>
    <xf numFmtId="0" fontId="24" fillId="3" borderId="1" xfId="0" applyFont="1" applyFill="1" applyBorder="1" applyAlignment="1">
      <alignment horizontal="right"/>
    </xf>
    <xf numFmtId="0" fontId="16" fillId="3" borderId="1" xfId="0" applyFont="1" applyFill="1" applyBorder="1" applyAlignment="1">
      <alignment horizontal="right"/>
    </xf>
    <xf numFmtId="0" fontId="11" fillId="3" borderId="1" xfId="0" applyFont="1" applyFill="1" applyBorder="1" applyAlignment="1">
      <alignment horizontal="right"/>
    </xf>
    <xf numFmtId="0" fontId="24" fillId="3" borderId="5" xfId="0" applyFont="1" applyFill="1" applyBorder="1" applyAlignment="1">
      <alignment horizontal="right"/>
    </xf>
    <xf numFmtId="0" fontId="5" fillId="11" borderId="0" xfId="0" applyFont="1" applyFill="1"/>
    <xf numFmtId="0" fontId="5" fillId="12" borderId="0" xfId="0" applyFont="1" applyFill="1"/>
    <xf numFmtId="0" fontId="32" fillId="13" borderId="0" xfId="0" applyFont="1" applyFill="1"/>
    <xf numFmtId="0" fontId="5" fillId="13" borderId="0" xfId="0" applyFont="1" applyFill="1"/>
    <xf numFmtId="165" fontId="3" fillId="3" borderId="0" xfId="0" applyNumberFormat="1" applyFont="1" applyFill="1" applyAlignment="1">
      <alignment wrapText="1"/>
    </xf>
    <xf numFmtId="165" fontId="2" fillId="3" borderId="0" xfId="0" applyNumberFormat="1" applyFont="1" applyFill="1" applyAlignment="1">
      <alignment wrapText="1"/>
    </xf>
    <xf numFmtId="0" fontId="2" fillId="3" borderId="0" xfId="0" applyFont="1" applyFill="1" applyAlignment="1">
      <alignment wrapText="1"/>
    </xf>
    <xf numFmtId="0" fontId="3" fillId="7" borderId="0" xfId="0" applyFont="1" applyFill="1"/>
    <xf numFmtId="165" fontId="5" fillId="14" borderId="1" xfId="0" applyNumberFormat="1" applyFont="1" applyFill="1" applyBorder="1"/>
    <xf numFmtId="0" fontId="5" fillId="14" borderId="1" xfId="0" applyFont="1" applyFill="1" applyBorder="1"/>
    <xf numFmtId="0" fontId="5" fillId="7" borderId="1" xfId="0" applyFont="1" applyFill="1" applyBorder="1"/>
    <xf numFmtId="0" fontId="5" fillId="4" borderId="1" xfId="0" applyFont="1" applyFill="1" applyBorder="1"/>
    <xf numFmtId="165" fontId="5" fillId="14" borderId="0" xfId="0" applyNumberFormat="1" applyFont="1" applyFill="1"/>
    <xf numFmtId="0" fontId="5" fillId="14" borderId="0" xfId="0" applyFont="1" applyFill="1"/>
    <xf numFmtId="0" fontId="5" fillId="4" borderId="0" xfId="0" applyFont="1" applyFill="1"/>
    <xf numFmtId="165" fontId="5" fillId="0" borderId="0" xfId="0" applyNumberFormat="1" applyFont="1"/>
    <xf numFmtId="165" fontId="3" fillId="3" borderId="1" xfId="0" applyNumberFormat="1" applyFont="1" applyFill="1" applyBorder="1" applyAlignment="1">
      <alignment wrapText="1"/>
    </xf>
    <xf numFmtId="165" fontId="2" fillId="3" borderId="1" xfId="0" applyNumberFormat="1" applyFont="1" applyFill="1" applyBorder="1" applyAlignment="1">
      <alignment wrapText="1"/>
    </xf>
    <xf numFmtId="0" fontId="1" fillId="8" borderId="0" xfId="0" applyFont="1" applyFill="1"/>
    <xf numFmtId="0" fontId="2" fillId="8" borderId="0" xfId="0" applyFont="1" applyFill="1"/>
    <xf numFmtId="0" fontId="2" fillId="7" borderId="0" xfId="0" applyFont="1" applyFill="1"/>
    <xf numFmtId="0" fontId="5" fillId="9" borderId="0" xfId="0" applyFont="1" applyFill="1"/>
    <xf numFmtId="0" fontId="26" fillId="0" borderId="0" xfId="0" applyFont="1"/>
    <xf numFmtId="0" fontId="47" fillId="0" borderId="0" xfId="0" applyFont="1"/>
    <xf numFmtId="0" fontId="48" fillId="2" borderId="1" xfId="0" applyFont="1" applyFill="1" applyBorder="1"/>
    <xf numFmtId="0" fontId="7" fillId="2" borderId="1" xfId="0" applyFont="1" applyFill="1" applyBorder="1"/>
    <xf numFmtId="0" fontId="49" fillId="2" borderId="1" xfId="0" applyFont="1" applyFill="1" applyBorder="1"/>
    <xf numFmtId="0" fontId="49" fillId="2" borderId="2" xfId="0" applyFont="1" applyFill="1" applyBorder="1"/>
    <xf numFmtId="0" fontId="49" fillId="2" borderId="3" xfId="0" applyFont="1" applyFill="1" applyBorder="1" applyAlignment="1">
      <alignment horizontal="right"/>
    </xf>
    <xf numFmtId="0" fontId="49" fillId="2" borderId="3" xfId="0" applyFont="1" applyFill="1" applyBorder="1"/>
    <xf numFmtId="0" fontId="49" fillId="2" borderId="3" xfId="0" applyFont="1" applyFill="1" applyBorder="1" applyAlignment="1">
      <alignment horizontal="left"/>
    </xf>
    <xf numFmtId="0" fontId="49" fillId="2" borderId="1" xfId="0" applyFont="1" applyFill="1" applyBorder="1" applyAlignment="1">
      <alignment horizontal="right"/>
    </xf>
    <xf numFmtId="0" fontId="7" fillId="3" borderId="1" xfId="0" applyFont="1" applyFill="1" applyBorder="1" applyAlignment="1">
      <alignment wrapText="1"/>
    </xf>
    <xf numFmtId="0" fontId="7" fillId="5" borderId="5" xfId="0" applyFont="1" applyFill="1" applyBorder="1" applyAlignment="1">
      <alignment wrapText="1"/>
    </xf>
    <xf numFmtId="0" fontId="7" fillId="5" borderId="1" xfId="0" applyFont="1" applyFill="1" applyBorder="1" applyAlignment="1">
      <alignment wrapText="1"/>
    </xf>
    <xf numFmtId="0" fontId="7" fillId="5" borderId="1" xfId="0" applyFont="1" applyFill="1" applyBorder="1" applyAlignment="1">
      <alignment horizontal="left" wrapText="1"/>
    </xf>
    <xf numFmtId="0" fontId="7" fillId="4" borderId="1" xfId="0" applyFont="1" applyFill="1" applyBorder="1" applyAlignment="1">
      <alignment wrapText="1"/>
    </xf>
    <xf numFmtId="0" fontId="48" fillId="5" borderId="1" xfId="0" applyFont="1" applyFill="1" applyBorder="1" applyAlignment="1">
      <alignment horizontal="left" wrapText="1"/>
    </xf>
    <xf numFmtId="0" fontId="16" fillId="0" borderId="0" xfId="0" applyFont="1"/>
    <xf numFmtId="0" fontId="26" fillId="0" borderId="0" xfId="0" applyFont="1" applyAlignment="1">
      <alignment horizontal="right"/>
    </xf>
    <xf numFmtId="164" fontId="24" fillId="0" borderId="0" xfId="0" applyNumberFormat="1" applyFont="1" applyAlignment="1">
      <alignment horizontal="right"/>
    </xf>
    <xf numFmtId="0" fontId="50" fillId="0" borderId="0" xfId="0" applyFont="1" applyAlignment="1">
      <alignment horizontal="left"/>
    </xf>
    <xf numFmtId="0" fontId="26" fillId="6" borderId="0" xfId="0" applyFont="1" applyFill="1"/>
    <xf numFmtId="0" fontId="2" fillId="15" borderId="0" xfId="0" applyFont="1" applyFill="1" applyAlignment="1">
      <alignment wrapText="1"/>
    </xf>
    <xf numFmtId="0" fontId="10" fillId="0" borderId="0" xfId="0" applyFont="1" applyAlignment="1">
      <alignment horizontal="right" wrapText="1"/>
    </xf>
    <xf numFmtId="0" fontId="2" fillId="15" borderId="12" xfId="0" applyFont="1" applyFill="1" applyBorder="1" applyAlignment="1">
      <alignment wrapText="1"/>
    </xf>
    <xf numFmtId="0" fontId="10" fillId="0" borderId="12" xfId="0" applyFont="1" applyBorder="1" applyAlignment="1">
      <alignment horizontal="right"/>
    </xf>
    <xf numFmtId="0" fontId="0" fillId="0" borderId="12" xfId="0" applyBorder="1"/>
    <xf numFmtId="0" fontId="18" fillId="0" borderId="0" xfId="0" applyFont="1" applyAlignment="1">
      <alignment horizontal="left"/>
    </xf>
    <xf numFmtId="0" fontId="19" fillId="0" borderId="0" xfId="0" applyFont="1"/>
    <xf numFmtId="0" fontId="19" fillId="0" borderId="10" xfId="0" applyFont="1" applyBorder="1"/>
    <xf numFmtId="0" fontId="18" fillId="11" borderId="8" xfId="0" applyFont="1" applyFill="1" applyBorder="1" applyAlignment="1">
      <alignment horizontal="right"/>
    </xf>
    <xf numFmtId="0" fontId="18" fillId="3" borderId="8" xfId="0" applyFont="1" applyFill="1" applyBorder="1" applyAlignment="1">
      <alignment horizontal="right"/>
    </xf>
    <xf numFmtId="0" fontId="18" fillId="11" borderId="0" xfId="0" applyFont="1" applyFill="1" applyAlignment="1">
      <alignment horizontal="right"/>
    </xf>
    <xf numFmtId="0" fontId="18" fillId="3" borderId="0" xfId="0" applyFont="1" applyFill="1" applyAlignment="1">
      <alignment horizontal="right"/>
    </xf>
    <xf numFmtId="0" fontId="18" fillId="11" borderId="1" xfId="0" applyFont="1" applyFill="1" applyBorder="1" applyAlignment="1">
      <alignment horizontal="right"/>
    </xf>
    <xf numFmtId="0" fontId="18" fillId="3" borderId="1" xfId="0" applyFont="1" applyFill="1" applyBorder="1" applyAlignment="1">
      <alignment horizontal="right"/>
    </xf>
    <xf numFmtId="0" fontId="7" fillId="0" borderId="1" xfId="0" applyFont="1" applyBorder="1" applyAlignment="1">
      <alignment wrapText="1"/>
    </xf>
    <xf numFmtId="2" fontId="7" fillId="0" borderId="1" xfId="0" applyNumberFormat="1" applyFont="1" applyBorder="1" applyAlignment="1">
      <alignment wrapText="1"/>
    </xf>
    <xf numFmtId="2" fontId="26" fillId="0" borderId="0" xfId="0" applyNumberFormat="1" applyFont="1"/>
    <xf numFmtId="0" fontId="7" fillId="0" borderId="0" xfId="0" applyFont="1" applyAlignment="1">
      <alignment wrapText="1"/>
    </xf>
    <xf numFmtId="0" fontId="24" fillId="0" borderId="0" xfId="0" applyFont="1" applyAlignment="1">
      <alignment horizontal="right" wrapText="1"/>
    </xf>
    <xf numFmtId="0" fontId="8" fillId="0" borderId="0" xfId="0" applyFont="1" applyAlignment="1">
      <alignment horizontal="right" wrapText="1"/>
    </xf>
    <xf numFmtId="0" fontId="52" fillId="0" borderId="0" xfId="0" applyFont="1"/>
    <xf numFmtId="0" fontId="11" fillId="7" borderId="0" xfId="0" applyFont="1" applyFill="1" applyAlignment="1">
      <alignment horizontal="right"/>
    </xf>
    <xf numFmtId="164" fontId="8" fillId="0" borderId="0" xfId="0" applyNumberFormat="1" applyFont="1" applyAlignment="1">
      <alignment horizontal="right"/>
    </xf>
    <xf numFmtId="166" fontId="7" fillId="4" borderId="1" xfId="1" applyNumberFormat="1" applyFont="1" applyFill="1" applyBorder="1" applyAlignment="1">
      <alignment horizontal="center" wrapText="1"/>
    </xf>
    <xf numFmtId="166" fontId="0" fillId="0" borderId="0" xfId="1" applyNumberFormat="1" applyFont="1"/>
    <xf numFmtId="0" fontId="18" fillId="0" borderId="0" xfId="0" applyFont="1" applyAlignment="1">
      <alignment readingOrder="1"/>
    </xf>
    <xf numFmtId="166" fontId="0" fillId="0" borderId="0" xfId="1" applyNumberFormat="1" applyFont="1" applyBorder="1"/>
    <xf numFmtId="166" fontId="49" fillId="2" borderId="2" xfId="1" applyNumberFormat="1" applyFont="1" applyFill="1" applyBorder="1"/>
    <xf numFmtId="166" fontId="46" fillId="0" borderId="0" xfId="1" applyNumberFormat="1" applyFont="1" applyFill="1"/>
    <xf numFmtId="0" fontId="55" fillId="6" borderId="0" xfId="0" applyFont="1" applyFill="1"/>
    <xf numFmtId="0" fontId="18" fillId="0" borderId="0" xfId="0" applyFont="1"/>
    <xf numFmtId="0" fontId="11" fillId="0" borderId="0" xfId="0" applyFont="1"/>
    <xf numFmtId="0" fontId="13" fillId="0" borderId="0" xfId="0" applyFont="1"/>
    <xf numFmtId="166" fontId="45" fillId="0" borderId="0" xfId="1" applyNumberFormat="1" applyFont="1" applyFill="1" applyAlignment="1">
      <alignment horizontal="right" vertical="center" wrapText="1"/>
    </xf>
    <xf numFmtId="166" fontId="46" fillId="0" borderId="0" xfId="1" applyNumberFormat="1" applyFont="1" applyFill="1" applyAlignment="1">
      <alignment wrapText="1"/>
    </xf>
    <xf numFmtId="0" fontId="18" fillId="0" borderId="0" xfId="0" applyFont="1" applyBorder="1" applyAlignment="1">
      <alignment readingOrder="1"/>
    </xf>
    <xf numFmtId="0" fontId="26" fillId="0" borderId="0" xfId="0" applyFont="1" applyAlignment="1">
      <alignment horizontal="right" wrapText="1"/>
    </xf>
    <xf numFmtId="0" fontId="48" fillId="5" borderId="1" xfId="0" applyFont="1" applyFill="1" applyBorder="1" applyAlignment="1">
      <alignment horizontal="right" wrapText="1"/>
    </xf>
    <xf numFmtId="0" fontId="50" fillId="0" borderId="0" xfId="0" applyFont="1" applyAlignment="1">
      <alignment horizontal="right"/>
    </xf>
    <xf numFmtId="0" fontId="17" fillId="0" borderId="0" xfId="0" applyFont="1" applyAlignment="1">
      <alignment horizontal="right"/>
    </xf>
    <xf numFmtId="0" fontId="0" fillId="0" borderId="0" xfId="0" applyAlignment="1">
      <alignment horizontal="right"/>
    </xf>
    <xf numFmtId="0" fontId="7" fillId="4" borderId="1" xfId="0" applyFont="1" applyFill="1" applyBorder="1" applyAlignment="1">
      <alignment horizontal="right" wrapText="1"/>
    </xf>
    <xf numFmtId="0" fontId="51" fillId="0" borderId="0" xfId="0" applyFont="1" applyAlignment="1">
      <alignment horizontal="right"/>
    </xf>
    <xf numFmtId="3" fontId="26" fillId="0" borderId="0" xfId="0" applyNumberFormat="1" applyFont="1" applyAlignment="1">
      <alignment horizontal="right"/>
    </xf>
    <xf numFmtId="0" fontId="26" fillId="0" borderId="10" xfId="0" applyFont="1" applyBorder="1" applyAlignment="1">
      <alignment horizontal="right"/>
    </xf>
    <xf numFmtId="0" fontId="18" fillId="0" borderId="0" xfId="0" applyFont="1" applyAlignment="1">
      <alignment horizontal="right"/>
    </xf>
    <xf numFmtId="0" fontId="18" fillId="0" borderId="13" xfId="0" applyFont="1" applyBorder="1" applyAlignment="1">
      <alignment horizontal="right" readingOrder="1"/>
    </xf>
    <xf numFmtId="0" fontId="49" fillId="2" borderId="11" xfId="0" applyFont="1" applyFill="1" applyBorder="1" applyAlignment="1">
      <alignment horizontal="right"/>
    </xf>
    <xf numFmtId="0" fontId="48" fillId="2" borderId="14" xfId="0" applyFont="1" applyFill="1" applyBorder="1" applyAlignment="1">
      <alignment horizontal="right"/>
    </xf>
    <xf numFmtId="0" fontId="49" fillId="2" borderId="11" xfId="0" applyFont="1" applyFill="1" applyBorder="1"/>
    <xf numFmtId="0" fontId="6" fillId="2" borderId="15" xfId="0" applyFont="1" applyFill="1" applyBorder="1"/>
    <xf numFmtId="0" fontId="16" fillId="0" borderId="0" xfId="0" applyFont="1" applyBorder="1" applyAlignment="1">
      <alignment horizontal="left"/>
    </xf>
    <xf numFmtId="0" fontId="9" fillId="0" borderId="0" xfId="0" applyFont="1" applyBorder="1" applyAlignment="1">
      <alignment horizontal="right"/>
    </xf>
    <xf numFmtId="0" fontId="11" fillId="0" borderId="0" xfId="0" applyFont="1" applyFill="1"/>
    <xf numFmtId="0" fontId="5" fillId="0" borderId="0" xfId="0" applyFont="1" applyFill="1"/>
    <xf numFmtId="0" fontId="24" fillId="0" borderId="0" xfId="0" applyFont="1" applyFill="1" applyAlignment="1">
      <alignment horizontal="left"/>
    </xf>
    <xf numFmtId="0" fontId="26" fillId="0" borderId="0" xfId="0" applyFont="1" applyFill="1"/>
    <xf numFmtId="0" fontId="18" fillId="0" borderId="0" xfId="0" applyFont="1" applyFill="1"/>
    <xf numFmtId="0" fontId="24" fillId="0" borderId="0" xfId="0" applyFont="1" applyFill="1"/>
    <xf numFmtId="0" fontId="0" fillId="0" borderId="0" xfId="0" applyFill="1"/>
    <xf numFmtId="0" fontId="18" fillId="0" borderId="0" xfId="0" applyFont="1" applyFill="1" applyAlignment="1">
      <alignment readingOrder="1"/>
    </xf>
    <xf numFmtId="0" fontId="26" fillId="0" borderId="0" xfId="0" applyFont="1" applyFill="1" applyAlignment="1">
      <alignment horizontal="left"/>
    </xf>
    <xf numFmtId="0" fontId="0" fillId="16" borderId="0" xfId="0" applyFill="1"/>
    <xf numFmtId="0" fontId="13" fillId="0" borderId="0" xfId="0" applyFont="1" applyFill="1"/>
    <xf numFmtId="0" fontId="10" fillId="0" borderId="0" xfId="0" applyFont="1" applyFill="1"/>
    <xf numFmtId="0" fontId="10" fillId="0" borderId="0" xfId="0" applyFont="1" applyFill="1" applyAlignment="1">
      <alignment horizontal="right"/>
    </xf>
    <xf numFmtId="0" fontId="10" fillId="0" borderId="10" xfId="0" applyFont="1" applyFill="1" applyBorder="1" applyAlignment="1">
      <alignment horizontal="right"/>
    </xf>
    <xf numFmtId="0" fontId="26" fillId="0" borderId="0" xfId="0" applyFont="1" applyFill="1" applyAlignment="1">
      <alignment horizontal="right"/>
    </xf>
    <xf numFmtId="0" fontId="26" fillId="0" borderId="10" xfId="0" applyFont="1" applyFill="1" applyBorder="1" applyAlignment="1">
      <alignment horizontal="right"/>
    </xf>
    <xf numFmtId="0" fontId="5" fillId="0" borderId="0" xfId="0" applyFont="1" applyFill="1" applyAlignment="1">
      <alignment horizontal="right"/>
    </xf>
    <xf numFmtId="0" fontId="53" fillId="0" borderId="0" xfId="0" applyFont="1" applyFill="1" applyAlignment="1">
      <alignment horizontal="right"/>
    </xf>
    <xf numFmtId="0" fontId="11" fillId="0" borderId="0" xfId="0" applyFont="1" applyFill="1" applyAlignment="1">
      <alignment horizontal="right"/>
    </xf>
    <xf numFmtId="0" fontId="15" fillId="0" borderId="0" xfId="0" applyFont="1" applyFill="1" applyAlignment="1">
      <alignment horizontal="right"/>
    </xf>
    <xf numFmtId="0" fontId="0" fillId="0" borderId="0" xfId="0" applyAlignment="1"/>
    <xf numFmtId="0" fontId="15" fillId="0" borderId="0" xfId="0" applyFont="1" applyFill="1" applyAlignment="1"/>
    <xf numFmtId="0" fontId="11" fillId="0" borderId="0" xfId="0" applyFont="1" applyFill="1" applyAlignment="1"/>
    <xf numFmtId="0" fontId="26" fillId="0" borderId="0" xfId="0" applyFont="1" applyFill="1" applyAlignment="1">
      <alignment horizontal="right" wrapText="1"/>
    </xf>
    <xf numFmtId="0" fontId="7" fillId="5" borderId="1" xfId="0" applyFont="1" applyFill="1" applyBorder="1" applyAlignment="1">
      <alignment horizontal="right" wrapText="1"/>
    </xf>
    <xf numFmtId="0" fontId="1" fillId="0" borderId="0" xfId="0" applyFont="1" applyFill="1" applyAlignment="1">
      <alignment horizontal="right"/>
    </xf>
    <xf numFmtId="0" fontId="26" fillId="0" borderId="0" xfId="0" applyFont="1" applyFill="1" applyAlignment="1">
      <alignment horizontal="left" vertical="top"/>
    </xf>
    <xf numFmtId="0" fontId="8" fillId="0" borderId="0" xfId="0" applyFont="1" applyFill="1" applyAlignment="1">
      <alignment horizontal="right"/>
    </xf>
    <xf numFmtId="0" fontId="24" fillId="0" borderId="0" xfId="0" applyFont="1" applyFill="1" applyAlignment="1">
      <alignment horizontal="right"/>
    </xf>
    <xf numFmtId="0" fontId="8" fillId="0" borderId="0" xfId="0" applyFont="1" applyFill="1"/>
    <xf numFmtId="0" fontId="8" fillId="0" borderId="0" xfId="0" applyFont="1" applyFill="1" applyBorder="1" applyAlignment="1">
      <alignment horizontal="right"/>
    </xf>
    <xf numFmtId="0" fontId="22" fillId="0" borderId="0" xfId="0" applyFont="1" applyFill="1" applyAlignment="1">
      <alignment horizontal="right"/>
    </xf>
    <xf numFmtId="0" fontId="8" fillId="0" borderId="10" xfId="0" applyFont="1" applyFill="1" applyBorder="1" applyAlignment="1">
      <alignment horizontal="right"/>
    </xf>
    <xf numFmtId="0" fontId="26" fillId="0" borderId="0" xfId="0" applyFont="1" applyFill="1" applyAlignment="1">
      <alignment horizontal="left" vertical="top" wrapText="1"/>
    </xf>
    <xf numFmtId="0" fontId="34" fillId="0" borderId="0" xfId="0" applyFont="1" applyFill="1" applyAlignment="1">
      <alignment horizontal="right" vertical="top"/>
    </xf>
    <xf numFmtId="0" fontId="0" fillId="0" borderId="0" xfId="0" applyFill="1" applyAlignment="1">
      <alignment horizontal="left" vertical="top"/>
    </xf>
    <xf numFmtId="0" fontId="26" fillId="0" borderId="10" xfId="0" applyFont="1" applyFill="1" applyBorder="1" applyAlignment="1">
      <alignment horizontal="left" vertical="top"/>
    </xf>
    <xf numFmtId="0" fontId="18" fillId="0" borderId="0" xfId="0" applyFont="1" applyFill="1" applyBorder="1" applyAlignment="1">
      <alignment horizontal="left" vertical="top" readingOrder="1"/>
    </xf>
    <xf numFmtId="0" fontId="10" fillId="0" borderId="10" xfId="0" applyFont="1" applyFill="1" applyBorder="1" applyAlignment="1">
      <alignment horizontal="left" vertical="top"/>
    </xf>
    <xf numFmtId="0" fontId="26" fillId="0" borderId="0" xfId="0" applyFont="1" applyFill="1" applyBorder="1" applyAlignment="1">
      <alignment horizontal="left" vertical="top"/>
    </xf>
    <xf numFmtId="0" fontId="10" fillId="0" borderId="0" xfId="0" applyFont="1" applyFill="1" applyAlignment="1">
      <alignment horizontal="left" vertical="top"/>
    </xf>
    <xf numFmtId="0" fontId="51" fillId="0" borderId="10" xfId="0" applyFont="1" applyFill="1" applyBorder="1" applyAlignment="1">
      <alignment horizontal="left" vertical="top"/>
    </xf>
    <xf numFmtId="0" fontId="34" fillId="0" borderId="0" xfId="0" applyFont="1" applyFill="1" applyAlignment="1">
      <alignment vertical="top" wrapText="1"/>
    </xf>
    <xf numFmtId="0" fontId="1" fillId="0" borderId="0" xfId="0" applyFont="1" applyFill="1" applyAlignment="1">
      <alignment vertical="top" wrapText="1"/>
    </xf>
    <xf numFmtId="0" fontId="22" fillId="0" borderId="0" xfId="0" applyFont="1" applyFill="1" applyBorder="1" applyAlignment="1">
      <alignment vertical="top" wrapText="1"/>
    </xf>
    <xf numFmtId="0" fontId="8" fillId="0" borderId="0" xfId="0" applyFont="1" applyFill="1" applyAlignment="1">
      <alignment vertical="top" wrapText="1"/>
    </xf>
    <xf numFmtId="0" fontId="8" fillId="0" borderId="0" xfId="0" applyFont="1" applyFill="1" applyBorder="1" applyAlignment="1">
      <alignment vertical="top" wrapText="1"/>
    </xf>
    <xf numFmtId="0" fontId="22" fillId="0" borderId="0" xfId="0" applyFont="1" applyFill="1" applyAlignment="1">
      <alignment vertical="top" wrapText="1"/>
    </xf>
    <xf numFmtId="0" fontId="33" fillId="0" borderId="0" xfId="0" applyFont="1" applyFill="1" applyAlignment="1">
      <alignment vertical="top" wrapText="1"/>
    </xf>
    <xf numFmtId="0" fontId="8" fillId="0" borderId="1" xfId="0" applyFont="1" applyFill="1" applyBorder="1" applyAlignment="1">
      <alignment vertical="top" wrapText="1"/>
    </xf>
    <xf numFmtId="0" fontId="8" fillId="0" borderId="6" xfId="0" applyFont="1" applyFill="1" applyBorder="1" applyAlignment="1">
      <alignment vertical="top" wrapText="1"/>
    </xf>
    <xf numFmtId="0" fontId="36" fillId="0" borderId="0" xfId="0" applyFont="1" applyFill="1" applyAlignment="1">
      <alignment vertical="top" wrapText="1"/>
    </xf>
    <xf numFmtId="0" fontId="37" fillId="0" borderId="0" xfId="0" applyFont="1" applyFill="1" applyAlignment="1">
      <alignment vertical="top" wrapText="1"/>
    </xf>
    <xf numFmtId="0" fontId="38" fillId="0" borderId="0" xfId="0" applyFont="1" applyFill="1" applyAlignment="1">
      <alignment vertical="top" wrapText="1"/>
    </xf>
    <xf numFmtId="0" fontId="35" fillId="0" borderId="0" xfId="0" applyFont="1" applyFill="1" applyAlignment="1">
      <alignment vertical="top" wrapText="1"/>
    </xf>
    <xf numFmtId="0" fontId="34" fillId="0" borderId="0" xfId="0" applyFont="1" applyFill="1" applyBorder="1" applyAlignment="1">
      <alignment vertical="top" wrapText="1"/>
    </xf>
    <xf numFmtId="0" fontId="0" fillId="0" borderId="0" xfId="0" applyFill="1" applyAlignment="1">
      <alignment vertical="top" wrapText="1"/>
    </xf>
    <xf numFmtId="2" fontId="49" fillId="17" borderId="1" xfId="0" applyNumberFormat="1" applyFont="1" applyFill="1" applyBorder="1"/>
    <xf numFmtId="0" fontId="49" fillId="17" borderId="1" xfId="0" applyFont="1" applyFill="1" applyBorder="1"/>
    <xf numFmtId="0" fontId="49" fillId="2" borderId="15" xfId="0"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5.xml"/><Relationship Id="rId18" Type="http://schemas.openxmlformats.org/officeDocument/2006/relationships/worksheet" Target="worksheets/sheet1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chartsheet" Target="chartsheets/sheet1.xml"/><Relationship Id="rId12" Type="http://schemas.openxmlformats.org/officeDocument/2006/relationships/chartsheet" Target="chartsheets/sheet4.xml"/><Relationship Id="rId17" Type="http://schemas.openxmlformats.org/officeDocument/2006/relationships/chartsheet" Target="chartsheets/sheet7.xml"/><Relationship Id="rId2" Type="http://schemas.openxmlformats.org/officeDocument/2006/relationships/worksheet" Target="worksheets/sheet2.xml"/><Relationship Id="rId16" Type="http://schemas.openxmlformats.org/officeDocument/2006/relationships/worksheet" Target="worksheets/sheet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8.xml"/><Relationship Id="rId5" Type="http://schemas.openxmlformats.org/officeDocument/2006/relationships/worksheet" Target="worksheets/sheet5.xml"/><Relationship Id="rId15" Type="http://schemas.openxmlformats.org/officeDocument/2006/relationships/worksheet" Target="worksheets/sheet9.xml"/><Relationship Id="rId23" Type="http://schemas.openxmlformats.org/officeDocument/2006/relationships/calcChain" Target="calcChain.xml"/><Relationship Id="rId10" Type="http://schemas.openxmlformats.org/officeDocument/2006/relationships/chartsheet" Target="chartsheets/sheet3.xml"/><Relationship Id="rId19" Type="http://schemas.openxmlformats.org/officeDocument/2006/relationships/worksheet" Target="worksheets/sheet12.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chartsheet" Target="chartsheets/sheet6.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Top 20 in vulnerability - 2022 PSA</a:t>
            </a:r>
          </a:p>
        </c:rich>
      </c:tx>
      <c:overlay val="0"/>
    </c:title>
    <c:autoTitleDeleted val="0"/>
    <c:plotArea>
      <c:layout/>
      <c:barChart>
        <c:barDir val="bar"/>
        <c:grouping val="clustered"/>
        <c:varyColors val="1"/>
        <c:ser>
          <c:idx val="0"/>
          <c:order val="0"/>
          <c:tx>
            <c:strRef>
              <c:f>'2022 PSA Weighting - Top 20 Vul'!$C$1</c:f>
              <c:strCache>
                <c:ptCount val="1"/>
                <c:pt idx="0">
                  <c:v>Vulnerability</c:v>
                </c:pt>
              </c:strCache>
            </c:strRef>
          </c:tx>
          <c:spPr>
            <a:solidFill>
              <a:srgbClr val="4285F4"/>
            </a:solidFill>
            <a:ln cmpd="sng">
              <a:solidFill>
                <a:srgbClr val="000000"/>
              </a:solidFill>
            </a:ln>
          </c:spPr>
          <c:invertIfNegative val="1"/>
          <c:cat>
            <c:strRef>
              <c:f>'2022 PSA Weighting - Top 20 Vul'!$A$2:$A$21</c:f>
              <c:strCache>
                <c:ptCount val="20"/>
                <c:pt idx="0">
                  <c:v>Pterapogon kauderni</c:v>
                </c:pt>
                <c:pt idx="1">
                  <c:v>Zoramia leptacanthus</c:v>
                </c:pt>
                <c:pt idx="2">
                  <c:v>Arothron nigropunctatus</c:v>
                </c:pt>
                <c:pt idx="3">
                  <c:v>Synchiropus marmoratus</c:v>
                </c:pt>
                <c:pt idx="4">
                  <c:v>Rhinomuraena quaesita</c:v>
                </c:pt>
                <c:pt idx="5">
                  <c:v>Paracanthurus hepatus</c:v>
                </c:pt>
                <c:pt idx="6">
                  <c:v>Koumansetta rainfordi</c:v>
                </c:pt>
                <c:pt idx="7">
                  <c:v>Pomacanthus semicirculatus</c:v>
                </c:pt>
                <c:pt idx="8">
                  <c:v>Ostorhinchus parvulus</c:v>
                </c:pt>
                <c:pt idx="9">
                  <c:v>Acanthurus japonicus</c:v>
                </c:pt>
                <c:pt idx="10">
                  <c:v>Ctenochaetus tominiensis</c:v>
                </c:pt>
                <c:pt idx="11">
                  <c:v>Centropyge ferrugata</c:v>
                </c:pt>
                <c:pt idx="12">
                  <c:v>Chaetodon ephippium</c:v>
                </c:pt>
                <c:pt idx="13">
                  <c:v>Sphaeramia nematoptera</c:v>
                </c:pt>
                <c:pt idx="14">
                  <c:v>Amphiprion bicinctus</c:v>
                </c:pt>
                <c:pt idx="15">
                  <c:v>Chaetodon xanthurus</c:v>
                </c:pt>
                <c:pt idx="16">
                  <c:v>Ostracion cubicum</c:v>
                </c:pt>
                <c:pt idx="17">
                  <c:v>Sphaeramia orbicularis</c:v>
                </c:pt>
                <c:pt idx="18">
                  <c:v>Ecsenius pulcher</c:v>
                </c:pt>
                <c:pt idx="19">
                  <c:v>Chaetodon lunula</c:v>
                </c:pt>
              </c:strCache>
            </c:strRef>
          </c:cat>
          <c:val>
            <c:numRef>
              <c:f>'2022 PSA Weighting - Top 20 Vul'!$C$2:$C$21</c:f>
              <c:numCache>
                <c:formatCode>General</c:formatCode>
                <c:ptCount val="20"/>
                <c:pt idx="0">
                  <c:v>2.1546683723935134</c:v>
                </c:pt>
                <c:pt idx="1">
                  <c:v>2.0441733100118151</c:v>
                </c:pt>
                <c:pt idx="2">
                  <c:v>1.9802896005019721</c:v>
                </c:pt>
                <c:pt idx="3">
                  <c:v>1.9540746949986123</c:v>
                </c:pt>
                <c:pt idx="4">
                  <c:v>1.9125639607313873</c:v>
                </c:pt>
                <c:pt idx="5">
                  <c:v>1.9098851502571919</c:v>
                </c:pt>
                <c:pt idx="6">
                  <c:v>1.9004070358363387</c:v>
                </c:pt>
                <c:pt idx="7">
                  <c:v>1.8961498353828292</c:v>
                </c:pt>
                <c:pt idx="8">
                  <c:v>1.894228029100933</c:v>
                </c:pt>
                <c:pt idx="9">
                  <c:v>1.8918418771392806</c:v>
                </c:pt>
                <c:pt idx="10">
                  <c:v>1.8578069913024231</c:v>
                </c:pt>
                <c:pt idx="11">
                  <c:v>1.8578069913024231</c:v>
                </c:pt>
                <c:pt idx="12">
                  <c:v>1.8526337486845774</c:v>
                </c:pt>
                <c:pt idx="13">
                  <c:v>1.8366018619464182</c:v>
                </c:pt>
                <c:pt idx="14">
                  <c:v>1.8366018619464182</c:v>
                </c:pt>
                <c:pt idx="15">
                  <c:v>1.8313449774770043</c:v>
                </c:pt>
                <c:pt idx="16">
                  <c:v>1.8170531579261398</c:v>
                </c:pt>
                <c:pt idx="17">
                  <c:v>1.8170531579261398</c:v>
                </c:pt>
                <c:pt idx="18">
                  <c:v>1.8159538364927628</c:v>
                </c:pt>
                <c:pt idx="19">
                  <c:v>1.8102180579471396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444-7643-B926-B4A9EE1F940B}"/>
            </c:ext>
          </c:extLst>
        </c:ser>
        <c:dLbls>
          <c:showLegendKey val="0"/>
          <c:showVal val="0"/>
          <c:showCatName val="0"/>
          <c:showSerName val="0"/>
          <c:showPercent val="0"/>
          <c:showBubbleSize val="0"/>
        </c:dLbls>
        <c:gapWidth val="150"/>
        <c:axId val="1741512133"/>
        <c:axId val="1590566729"/>
      </c:barChart>
      <c:catAx>
        <c:axId val="174151213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Species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90566729"/>
        <c:crosses val="autoZero"/>
        <c:auto val="1"/>
        <c:lblAlgn val="ctr"/>
        <c:lblOffset val="100"/>
        <c:noMultiLvlLbl val="1"/>
      </c:catAx>
      <c:valAx>
        <c:axId val="15905667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Vulnerability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4151213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Top 20 in vulnerability - 2023 PSA</a:t>
            </a:r>
          </a:p>
        </c:rich>
      </c:tx>
      <c:overlay val="0"/>
    </c:title>
    <c:autoTitleDeleted val="0"/>
    <c:plotArea>
      <c:layout/>
      <c:barChart>
        <c:barDir val="bar"/>
        <c:grouping val="clustered"/>
        <c:varyColors val="1"/>
        <c:ser>
          <c:idx val="0"/>
          <c:order val="0"/>
          <c:tx>
            <c:strRef>
              <c:f>'2023 PSA Weighting - Top 20 Vul'!$H$1</c:f>
              <c:strCache>
                <c:ptCount val="1"/>
                <c:pt idx="0">
                  <c:v>Vulnerability</c:v>
                </c:pt>
              </c:strCache>
            </c:strRef>
          </c:tx>
          <c:spPr>
            <a:solidFill>
              <a:srgbClr val="4285F4"/>
            </a:solidFill>
            <a:ln cmpd="sng">
              <a:solidFill>
                <a:srgbClr val="000000"/>
              </a:solidFill>
            </a:ln>
          </c:spPr>
          <c:invertIfNegative val="1"/>
          <c:cat>
            <c:strRef>
              <c:f>'2023 PSA Weighting - Top 20 Vul'!$A$2:$A$21</c:f>
              <c:strCache>
                <c:ptCount val="20"/>
                <c:pt idx="0">
                  <c:v>Z. leptacanthus</c:v>
                </c:pt>
                <c:pt idx="1">
                  <c:v>P. kauderni</c:v>
                </c:pt>
                <c:pt idx="2">
                  <c:v>A. nigropunctatus</c:v>
                </c:pt>
                <c:pt idx="3">
                  <c:v>O. parvulus</c:v>
                </c:pt>
                <c:pt idx="4">
                  <c:v>S. nematoptera</c:v>
                </c:pt>
                <c:pt idx="5">
                  <c:v>S. orbicularis</c:v>
                </c:pt>
                <c:pt idx="6">
                  <c:v>S. marmoratus</c:v>
                </c:pt>
                <c:pt idx="7">
                  <c:v>K. rainfordi</c:v>
                </c:pt>
                <c:pt idx="8">
                  <c:v>P. hepatus</c:v>
                </c:pt>
                <c:pt idx="9">
                  <c:v>A. japonicus</c:v>
                </c:pt>
                <c:pt idx="10">
                  <c:v>C. ephippium</c:v>
                </c:pt>
                <c:pt idx="11">
                  <c:v>R. quaesita</c:v>
                </c:pt>
                <c:pt idx="12">
                  <c:v>O. cubicum</c:v>
                </c:pt>
                <c:pt idx="13">
                  <c:v>C. lunula</c:v>
                </c:pt>
                <c:pt idx="14">
                  <c:v>C. auriga</c:v>
                </c:pt>
                <c:pt idx="15">
                  <c:v>C. tominiensis</c:v>
                </c:pt>
                <c:pt idx="16">
                  <c:v>C. ferrugata</c:v>
                </c:pt>
                <c:pt idx="17">
                  <c:v>C. xanthurus</c:v>
                </c:pt>
                <c:pt idx="18">
                  <c:v>D. dactyliophorus</c:v>
                </c:pt>
                <c:pt idx="19">
                  <c:v>O. cyanosoma</c:v>
                </c:pt>
              </c:strCache>
            </c:strRef>
          </c:cat>
          <c:val>
            <c:numRef>
              <c:f>'2023 PSA Weighting - Top 20 Vul'!$H$2:$H$21</c:f>
              <c:numCache>
                <c:formatCode>General</c:formatCode>
                <c:ptCount val="20"/>
                <c:pt idx="0">
                  <c:v>2.2472151412607531</c:v>
                </c:pt>
                <c:pt idx="1">
                  <c:v>2.1938125688629357</c:v>
                </c:pt>
                <c:pt idx="2">
                  <c:v>2.0813039697309912</c:v>
                </c:pt>
                <c:pt idx="3">
                  <c:v>2.0576434866537006</c:v>
                </c:pt>
                <c:pt idx="4">
                  <c:v>2.023578915204979</c:v>
                </c:pt>
                <c:pt idx="5">
                  <c:v>2.0216553275728097</c:v>
                </c:pt>
                <c:pt idx="6">
                  <c:v>1.9936068622577667</c:v>
                </c:pt>
                <c:pt idx="7">
                  <c:v>1.9934396211222345</c:v>
                </c:pt>
                <c:pt idx="8">
                  <c:v>1.9647337040709338</c:v>
                </c:pt>
                <c:pt idx="9">
                  <c:v>1.9370288278525651</c:v>
                </c:pt>
                <c:pt idx="10">
                  <c:v>1.9362452249885307</c:v>
                </c:pt>
                <c:pt idx="11">
                  <c:v>1.9333975468740323</c:v>
                </c:pt>
                <c:pt idx="12">
                  <c:v>1.9246750931315157</c:v>
                </c:pt>
                <c:pt idx="13">
                  <c:v>1.9078378825896876</c:v>
                </c:pt>
                <c:pt idx="14">
                  <c:v>1.9078378825896876</c:v>
                </c:pt>
                <c:pt idx="15">
                  <c:v>1.9059498723564827</c:v>
                </c:pt>
                <c:pt idx="16">
                  <c:v>1.9059498723564827</c:v>
                </c:pt>
                <c:pt idx="17">
                  <c:v>1.9043240524542104</c:v>
                </c:pt>
                <c:pt idx="18">
                  <c:v>1.9042581445104749</c:v>
                </c:pt>
                <c:pt idx="19">
                  <c:v>1.8965289772594329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6D0-0348-B55F-22D9A4F542F5}"/>
            </c:ext>
          </c:extLst>
        </c:ser>
        <c:dLbls>
          <c:showLegendKey val="0"/>
          <c:showVal val="0"/>
          <c:showCatName val="0"/>
          <c:showSerName val="0"/>
          <c:showPercent val="0"/>
          <c:showBubbleSize val="0"/>
        </c:dLbls>
        <c:gapWidth val="150"/>
        <c:axId val="1320277926"/>
        <c:axId val="790322949"/>
      </c:barChart>
      <c:catAx>
        <c:axId val="132027792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Species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90322949"/>
        <c:crosses val="autoZero"/>
        <c:auto val="1"/>
        <c:lblAlgn val="ctr"/>
        <c:lblOffset val="100"/>
        <c:noMultiLvlLbl val="1"/>
      </c:catAx>
      <c:valAx>
        <c:axId val="7903229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Vulnerability 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2027792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1C1D1E"/>
                </a:solidFill>
                <a:latin typeface="+mn-lt"/>
              </a:defRPr>
            </a:pPr>
            <a:r>
              <a:rPr b="0">
                <a:solidFill>
                  <a:srgbClr val="1C1D1E"/>
                </a:solidFill>
                <a:latin typeface="+mn-lt"/>
              </a:rPr>
              <a:t>Mean factor score for all species (susceptibility)</a:t>
            </a:r>
          </a:p>
        </c:rich>
      </c:tx>
      <c:overlay val="0"/>
    </c:title>
    <c:autoTitleDeleted val="0"/>
    <c:plotArea>
      <c:layout/>
      <c:barChart>
        <c:barDir val="bar"/>
        <c:grouping val="clustered"/>
        <c:varyColors val="1"/>
        <c:ser>
          <c:idx val="0"/>
          <c:order val="0"/>
          <c:spPr>
            <a:solidFill>
              <a:srgbClr val="999999"/>
            </a:solidFill>
            <a:ln cmpd="sng">
              <a:solidFill>
                <a:srgbClr val="000000"/>
              </a:solidFill>
            </a:ln>
          </c:spPr>
          <c:invertIfNegative val="1"/>
          <c:errBars>
            <c:errBarType val="both"/>
            <c:errValType val="percentage"/>
            <c:noEndCap val="0"/>
            <c:val val="10"/>
          </c:errBars>
          <c:cat>
            <c:strRef>
              <c:f>'Data for factor score average ('!$C$267:$C$272</c:f>
              <c:strCache>
                <c:ptCount val="6"/>
                <c:pt idx="0">
                  <c:v>Max age</c:v>
                </c:pt>
                <c:pt idx="1">
                  <c:v>Max size</c:v>
                </c:pt>
                <c:pt idx="2">
                  <c:v>Trophic Level</c:v>
                </c:pt>
                <c:pt idx="3">
                  <c:v>Breeding strategy</c:v>
                </c:pt>
                <c:pt idx="4">
                  <c:v>Fecundity</c:v>
                </c:pt>
                <c:pt idx="5">
                  <c:v>Larval duration</c:v>
                </c:pt>
              </c:strCache>
            </c:strRef>
          </c:cat>
          <c:val>
            <c:numRef>
              <c:f>'Data for factor score average ('!$D$267:$D$272</c:f>
              <c:numCache>
                <c:formatCode>General</c:formatCode>
                <c:ptCount val="6"/>
                <c:pt idx="0">
                  <c:v>2.1821705426356588</c:v>
                </c:pt>
                <c:pt idx="1">
                  <c:v>1.6201550387596899</c:v>
                </c:pt>
                <c:pt idx="2">
                  <c:v>2.0038759689922481</c:v>
                </c:pt>
                <c:pt idx="3">
                  <c:v>2.8139534883720931</c:v>
                </c:pt>
                <c:pt idx="4">
                  <c:v>2.5968992248062017</c:v>
                </c:pt>
                <c:pt idx="5">
                  <c:v>1.5968992248062015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268-E64B-9BEE-6A06CC896057}"/>
            </c:ext>
          </c:extLst>
        </c:ser>
        <c:dLbls>
          <c:showLegendKey val="0"/>
          <c:showVal val="0"/>
          <c:showCatName val="0"/>
          <c:showSerName val="0"/>
          <c:showPercent val="0"/>
          <c:showBubbleSize val="0"/>
        </c:dLbls>
        <c:gapWidth val="150"/>
        <c:axId val="818605423"/>
        <c:axId val="704947462"/>
      </c:barChart>
      <c:catAx>
        <c:axId val="818605423"/>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400" b="1">
                <a:solidFill>
                  <a:srgbClr val="1C1D1E"/>
                </a:solidFill>
                <a:latin typeface="+mn-lt"/>
              </a:defRPr>
            </a:pPr>
            <a:endParaRPr lang="en-US"/>
          </a:p>
        </c:txPr>
        <c:crossAx val="704947462"/>
        <c:crosses val="autoZero"/>
        <c:auto val="1"/>
        <c:lblAlgn val="ctr"/>
        <c:lblOffset val="100"/>
        <c:noMultiLvlLbl val="1"/>
      </c:catAx>
      <c:valAx>
        <c:axId val="704947462"/>
        <c:scaling>
          <c:orientation val="minMax"/>
          <c:min val="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1860542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1C1D1E"/>
                </a:solidFill>
                <a:latin typeface="+mn-lt"/>
              </a:defRPr>
            </a:pPr>
            <a:r>
              <a:rPr b="0">
                <a:solidFill>
                  <a:srgbClr val="1C1D1E"/>
                </a:solidFill>
                <a:latin typeface="+mn-lt"/>
              </a:rPr>
              <a:t>Mean factor score for 2020 PSA species (vulnerability)</a:t>
            </a:r>
          </a:p>
        </c:rich>
      </c:tx>
      <c:overlay val="0"/>
    </c:title>
    <c:autoTitleDeleted val="0"/>
    <c:plotArea>
      <c:layout/>
      <c:barChart>
        <c:barDir val="bar"/>
        <c:grouping val="clustered"/>
        <c:varyColors val="1"/>
        <c:ser>
          <c:idx val="0"/>
          <c:order val="0"/>
          <c:spPr>
            <a:solidFill>
              <a:srgbClr val="B7B7B7"/>
            </a:solidFill>
            <a:ln cmpd="sng">
              <a:solidFill>
                <a:srgbClr val="000000"/>
              </a:solidFill>
            </a:ln>
          </c:spPr>
          <c:invertIfNegative val="1"/>
          <c:errBars>
            <c:errBarType val="both"/>
            <c:errValType val="percentage"/>
            <c:noEndCap val="0"/>
            <c:val val="10"/>
          </c:errBars>
          <c:cat>
            <c:strRef>
              <c:f>Sheet18!$F$34:$F$39</c:f>
              <c:strCache>
                <c:ptCount val="6"/>
                <c:pt idx="0">
                  <c:v>Ecological niche + Distribution</c:v>
                </c:pt>
                <c:pt idx="1">
                  <c:v>Cyanide use</c:v>
                </c:pt>
                <c:pt idx="2">
                  <c:v>Encounterability depth</c:v>
                </c:pt>
                <c:pt idx="3">
                  <c:v>Aquarium suitability</c:v>
                </c:pt>
                <c:pt idx="4">
                  <c:v>Volume in trade</c:v>
                </c:pt>
                <c:pt idx="5">
                  <c:v>Life cycle stage of harvest</c:v>
                </c:pt>
              </c:strCache>
            </c:strRef>
          </c:cat>
          <c:val>
            <c:numRef>
              <c:f>Sheet18!$G$34:$G$39</c:f>
              <c:numCache>
                <c:formatCode>General</c:formatCode>
                <c:ptCount val="6"/>
                <c:pt idx="0">
                  <c:v>1.8148148148148149</c:v>
                </c:pt>
                <c:pt idx="1">
                  <c:v>1.3703703703703705</c:v>
                </c:pt>
                <c:pt idx="2">
                  <c:v>2.074074074074074</c:v>
                </c:pt>
                <c:pt idx="3">
                  <c:v>1.6358024691481481</c:v>
                </c:pt>
                <c:pt idx="4">
                  <c:v>2.8518518518518516</c:v>
                </c:pt>
                <c:pt idx="5">
                  <c:v>2.925925925925926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F43-E04D-9C51-19EAFD6A6F0E}"/>
            </c:ext>
          </c:extLst>
        </c:ser>
        <c:dLbls>
          <c:showLegendKey val="0"/>
          <c:showVal val="0"/>
          <c:showCatName val="0"/>
          <c:showSerName val="0"/>
          <c:showPercent val="0"/>
          <c:showBubbleSize val="0"/>
        </c:dLbls>
        <c:gapWidth val="150"/>
        <c:axId val="412929616"/>
        <c:axId val="84661303"/>
      </c:barChart>
      <c:catAx>
        <c:axId val="412929616"/>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a:solidFill>
                  <a:srgbClr val="000000"/>
                </a:solidFill>
                <a:latin typeface="+mn-lt"/>
              </a:defRPr>
            </a:pPr>
            <a:endParaRPr lang="en-US"/>
          </a:p>
        </c:txPr>
        <c:crossAx val="84661303"/>
        <c:crosses val="autoZero"/>
        <c:auto val="1"/>
        <c:lblAlgn val="ctr"/>
        <c:lblOffset val="100"/>
        <c:noMultiLvlLbl val="1"/>
      </c:catAx>
      <c:valAx>
        <c:axId val="846613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1292961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1C1D1E"/>
                </a:solidFill>
                <a:latin typeface="+mn-lt"/>
              </a:defRPr>
            </a:pPr>
            <a:r>
              <a:rPr b="0">
                <a:solidFill>
                  <a:srgbClr val="1C1D1E"/>
                </a:solidFill>
                <a:latin typeface="+mn-lt"/>
              </a:rPr>
              <a:t>Mean factor score for 2020 PSA species (susceptibility)</a:t>
            </a:r>
          </a:p>
        </c:rich>
      </c:tx>
      <c:overlay val="0"/>
    </c:title>
    <c:autoTitleDeleted val="0"/>
    <c:plotArea>
      <c:layout/>
      <c:barChart>
        <c:barDir val="bar"/>
        <c:grouping val="clustered"/>
        <c:varyColors val="1"/>
        <c:ser>
          <c:idx val="0"/>
          <c:order val="0"/>
          <c:tx>
            <c:strRef>
              <c:f>Sheet18!$D$34</c:f>
              <c:strCache>
                <c:ptCount val="1"/>
                <c:pt idx="0">
                  <c:v>1</c:v>
                </c:pt>
              </c:strCache>
            </c:strRef>
          </c:tx>
          <c:spPr>
            <a:solidFill>
              <a:srgbClr val="B7B7B7"/>
            </a:solidFill>
            <a:ln cmpd="sng">
              <a:solidFill>
                <a:srgbClr val="000000"/>
              </a:solidFill>
            </a:ln>
          </c:spPr>
          <c:invertIfNegative val="1"/>
          <c:errBars>
            <c:errBarType val="both"/>
            <c:errValType val="percentage"/>
            <c:noEndCap val="0"/>
            <c:val val="10"/>
          </c:errBars>
          <c:cat>
            <c:strRef>
              <c:f>Sheet18!$C$35:$C$39</c:f>
              <c:strCache>
                <c:ptCount val="5"/>
                <c:pt idx="0">
                  <c:v>Max size</c:v>
                </c:pt>
                <c:pt idx="1">
                  <c:v>Trophic level</c:v>
                </c:pt>
                <c:pt idx="2">
                  <c:v>Breeding strategy</c:v>
                </c:pt>
                <c:pt idx="3">
                  <c:v>Fecundity</c:v>
                </c:pt>
                <c:pt idx="4">
                  <c:v>Larval Duration</c:v>
                </c:pt>
              </c:strCache>
            </c:strRef>
          </c:cat>
          <c:val>
            <c:numRef>
              <c:f>Sheet18!$D$35:$D$39</c:f>
              <c:numCache>
                <c:formatCode>General</c:formatCode>
                <c:ptCount val="5"/>
                <c:pt idx="0">
                  <c:v>1.7777777777777777</c:v>
                </c:pt>
                <c:pt idx="1">
                  <c:v>2.0370370370370372</c:v>
                </c:pt>
                <c:pt idx="2">
                  <c:v>2.8148148148148149</c:v>
                </c:pt>
                <c:pt idx="3">
                  <c:v>2.5555555555555554</c:v>
                </c:pt>
                <c:pt idx="4">
                  <c:v>1.8888888888888888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EBF-A84F-B1A1-ED3BDD2A5D44}"/>
            </c:ext>
          </c:extLst>
        </c:ser>
        <c:dLbls>
          <c:showLegendKey val="0"/>
          <c:showVal val="0"/>
          <c:showCatName val="0"/>
          <c:showSerName val="0"/>
          <c:showPercent val="0"/>
          <c:showBubbleSize val="0"/>
        </c:dLbls>
        <c:gapWidth val="150"/>
        <c:axId val="1877294116"/>
        <c:axId val="634569221"/>
      </c:barChart>
      <c:catAx>
        <c:axId val="1877294116"/>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a:solidFill>
                  <a:srgbClr val="000000"/>
                </a:solidFill>
                <a:latin typeface="+mn-lt"/>
              </a:defRPr>
            </a:pPr>
            <a:endParaRPr lang="en-US"/>
          </a:p>
        </c:txPr>
        <c:crossAx val="634569221"/>
        <c:crosses val="autoZero"/>
        <c:auto val="1"/>
        <c:lblAlgn val="ctr"/>
        <c:lblOffset val="100"/>
        <c:noMultiLvlLbl val="1"/>
      </c:catAx>
      <c:valAx>
        <c:axId val="63456922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87729411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1C1D1E"/>
                </a:solidFill>
                <a:latin typeface="+mn-lt"/>
              </a:defRPr>
            </a:pPr>
            <a:r>
              <a:rPr b="0">
                <a:solidFill>
                  <a:srgbClr val="1C1D1E"/>
                </a:solidFill>
                <a:latin typeface="+mn-lt"/>
              </a:rPr>
              <a:t>Mean factor score for all species (productivity)</a:t>
            </a:r>
          </a:p>
        </c:rich>
      </c:tx>
      <c:overlay val="0"/>
    </c:title>
    <c:autoTitleDeleted val="0"/>
    <c:plotArea>
      <c:layout/>
      <c:barChart>
        <c:barDir val="bar"/>
        <c:grouping val="clustered"/>
        <c:varyColors val="1"/>
        <c:ser>
          <c:idx val="0"/>
          <c:order val="0"/>
          <c:spPr>
            <a:solidFill>
              <a:srgbClr val="999999"/>
            </a:solidFill>
            <a:ln cmpd="sng">
              <a:solidFill>
                <a:srgbClr val="000000"/>
              </a:solidFill>
            </a:ln>
          </c:spPr>
          <c:invertIfNegative val="1"/>
          <c:errBars>
            <c:errBarType val="both"/>
            <c:errValType val="percentage"/>
            <c:noEndCap val="0"/>
            <c:val val="10"/>
          </c:errBars>
          <c:cat>
            <c:strRef>
              <c:f>'Data for factor score average ('!$I$267:$I$272</c:f>
              <c:strCache>
                <c:ptCount val="6"/>
                <c:pt idx="0">
                  <c:v>Ecological niche + distribution</c:v>
                </c:pt>
                <c:pt idx="1">
                  <c:v>Cyanide use</c:v>
                </c:pt>
                <c:pt idx="2">
                  <c:v>Encounterability depth</c:v>
                </c:pt>
                <c:pt idx="3">
                  <c:v>Aquarium suitability</c:v>
                </c:pt>
                <c:pt idx="4">
                  <c:v>Volume in trade</c:v>
                </c:pt>
                <c:pt idx="5">
                  <c:v>Life cycle stage of harvest</c:v>
                </c:pt>
              </c:strCache>
            </c:strRef>
          </c:cat>
          <c:val>
            <c:numRef>
              <c:f>'Data for factor score average ('!$J$267:$J$272</c:f>
              <c:numCache>
                <c:formatCode>General</c:formatCode>
                <c:ptCount val="6"/>
                <c:pt idx="0">
                  <c:v>1.5310077519379846</c:v>
                </c:pt>
                <c:pt idx="1">
                  <c:v>1.2790697674418605</c:v>
                </c:pt>
                <c:pt idx="2">
                  <c:v>1.9573643410852712</c:v>
                </c:pt>
                <c:pt idx="3">
                  <c:v>1.9200465116279075</c:v>
                </c:pt>
                <c:pt idx="4">
                  <c:v>2.5116279069767442</c:v>
                </c:pt>
                <c:pt idx="5">
                  <c:v>2.8837209302325579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C40-1F40-80E2-86D024E5EF7F}"/>
            </c:ext>
          </c:extLst>
        </c:ser>
        <c:dLbls>
          <c:showLegendKey val="0"/>
          <c:showVal val="0"/>
          <c:showCatName val="0"/>
          <c:showSerName val="0"/>
          <c:showPercent val="0"/>
          <c:showBubbleSize val="0"/>
        </c:dLbls>
        <c:gapWidth val="150"/>
        <c:axId val="1816032767"/>
        <c:axId val="1607666271"/>
      </c:barChart>
      <c:catAx>
        <c:axId val="1816032767"/>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400" b="1">
                <a:solidFill>
                  <a:srgbClr val="000000"/>
                </a:solidFill>
                <a:latin typeface="+mn-lt"/>
              </a:defRPr>
            </a:pPr>
            <a:endParaRPr lang="en-US"/>
          </a:p>
        </c:txPr>
        <c:crossAx val="1607666271"/>
        <c:crosses val="autoZero"/>
        <c:auto val="1"/>
        <c:lblAlgn val="ctr"/>
        <c:lblOffset val="100"/>
        <c:noMultiLvlLbl val="1"/>
      </c:catAx>
      <c:valAx>
        <c:axId val="16076662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816032767"/>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000000"/>
                </a:solidFill>
                <a:latin typeface="+mn-lt"/>
              </a:defRPr>
            </a:pPr>
            <a:r>
              <a:rPr b="0">
                <a:solidFill>
                  <a:srgbClr val="000000"/>
                </a:solidFill>
                <a:latin typeface="+mn-lt"/>
              </a:rPr>
              <a:t>Top 10 most vulnerable families - 2022 model</a:t>
            </a:r>
          </a:p>
        </c:rich>
      </c:tx>
      <c:overlay val="0"/>
    </c:title>
    <c:autoTitleDeleted val="0"/>
    <c:plotArea>
      <c:layout/>
      <c:barChart>
        <c:barDir val="bar"/>
        <c:grouping val="clustered"/>
        <c:varyColors val="1"/>
        <c:ser>
          <c:idx val="0"/>
          <c:order val="0"/>
          <c:invertIfNegative val="1"/>
          <c:cat>
            <c:strRef>
              <c:f>'P,S,V Averages per family - 202'!$A$3:$A$12</c:f>
              <c:strCache>
                <c:ptCount val="10"/>
                <c:pt idx="0">
                  <c:v>Acanthuridae</c:v>
                </c:pt>
                <c:pt idx="1">
                  <c:v>Anthiadidae</c:v>
                </c:pt>
                <c:pt idx="2">
                  <c:v>Apogonidae</c:v>
                </c:pt>
                <c:pt idx="3">
                  <c:v>Balistidae</c:v>
                </c:pt>
                <c:pt idx="4">
                  <c:v>Blenniidae</c:v>
                </c:pt>
                <c:pt idx="5">
                  <c:v>Callionymidae</c:v>
                </c:pt>
                <c:pt idx="6">
                  <c:v>Carangidae</c:v>
                </c:pt>
                <c:pt idx="7">
                  <c:v>Chaetodontidae</c:v>
                </c:pt>
                <c:pt idx="8">
                  <c:v>Cirrhitidae</c:v>
                </c:pt>
                <c:pt idx="9">
                  <c:v>Diodontidae</c:v>
                </c:pt>
              </c:strCache>
            </c:strRef>
          </c:cat>
          <c:val>
            <c:numRef>
              <c:f>'P,S,V Averages per family - 202'!$D$3:$D$12</c:f>
              <c:numCache>
                <c:formatCode>0.0000</c:formatCode>
                <c:ptCount val="10"/>
              </c:numCache>
            </c:numRef>
          </c:val>
          <c:extLst>
            <c:ext xmlns:c16="http://schemas.microsoft.com/office/drawing/2014/chart" uri="{C3380CC4-5D6E-409C-BE32-E72D297353CC}">
              <c16:uniqueId val="{00000000-3722-5045-972B-A196FC36DD9B}"/>
            </c:ext>
          </c:extLst>
        </c:ser>
        <c:dLbls>
          <c:showLegendKey val="0"/>
          <c:showVal val="0"/>
          <c:showCatName val="0"/>
          <c:showSerName val="0"/>
          <c:showPercent val="0"/>
          <c:showBubbleSize val="0"/>
        </c:dLbls>
        <c:gapWidth val="150"/>
        <c:axId val="1029877024"/>
        <c:axId val="468008701"/>
      </c:barChart>
      <c:catAx>
        <c:axId val="1029877024"/>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68008701"/>
        <c:crosses val="autoZero"/>
        <c:auto val="1"/>
        <c:lblAlgn val="ctr"/>
        <c:lblOffset val="100"/>
        <c:noMultiLvlLbl val="1"/>
      </c:catAx>
      <c:valAx>
        <c:axId val="468008701"/>
        <c:scaling>
          <c:orientation val="minMax"/>
        </c:scaling>
        <c:delete val="0"/>
        <c:axPos val="b"/>
        <c:numFmt formatCode="0.0000" sourceLinked="1"/>
        <c:majorTickMark val="cross"/>
        <c:minorTickMark val="cross"/>
        <c:tickLblPos val="nextTo"/>
        <c:spPr>
          <a:ln>
            <a:noFill/>
          </a:ln>
        </c:spPr>
        <c:crossAx val="1029877024"/>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E00-000000000000}">
  <sheetPr/>
  <sheetViews>
    <sheetView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F00-000000000000}">
  <sheetPr/>
  <sheetViews>
    <sheetView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000-000000000000}">
  <sheetPr/>
  <sheetViews>
    <sheetView workbookViewId="0"/>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8610600" cy="6276975"/>
    <xdr:graphicFrame macro="">
      <xdr:nvGraphicFramePr>
        <xdr:cNvPr id="2" name="Chart 1" title="Chart">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2.xml><?xml version="1.0" encoding="utf-8"?>
<xdr:wsDr xmlns:xdr="http://schemas.openxmlformats.org/drawingml/2006/spreadsheetDrawing" xmlns:a="http://schemas.openxmlformats.org/drawingml/2006/main">
  <xdr:absoluteAnchor>
    <xdr:pos x="0" y="0"/>
    <xdr:ext cx="8610600" cy="6276975"/>
    <xdr:graphicFrame macro="">
      <xdr:nvGraphicFramePr>
        <xdr:cNvPr id="2" name="Chart 2" title="Chart">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dr:absoluteAnchor>
    <xdr:pos x="0" y="0"/>
    <xdr:ext cx="8610600" cy="6276975"/>
    <xdr:graphicFrame macro="">
      <xdr:nvGraphicFramePr>
        <xdr:cNvPr id="3" name="Chart 3" title="Chart">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dr:absoluteAnchor>
    <xdr:pos x="0" y="0"/>
    <xdr:ext cx="8610600" cy="6276975"/>
    <xdr:graphicFrame macro="">
      <xdr:nvGraphicFramePr>
        <xdr:cNvPr id="4" name="Chart 4" title="Chart">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dr:absoluteAnchor>
    <xdr:pos x="0" y="0"/>
    <xdr:ext cx="8610600" cy="6276975"/>
    <xdr:graphicFrame macro="">
      <xdr:nvGraphicFramePr>
        <xdr:cNvPr id="5" name="Chart 5" title="Chart">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dr:absoluteAnchor>
    <xdr:pos x="0" y="0"/>
    <xdr:ext cx="8610600" cy="6276975"/>
    <xdr:graphicFrame macro="">
      <xdr:nvGraphicFramePr>
        <xdr:cNvPr id="6" name="Chart 6" title="Chart">
          <a:extLst>
            <a:ext uri="{FF2B5EF4-FFF2-40B4-BE49-F238E27FC236}">
              <a16:creationId xmlns:a16="http://schemas.microsoft.com/office/drawing/2014/main" id="{00000000-0008-0000-1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7.xml><?xml version="1.0" encoding="utf-8"?>
<xdr:wsDr xmlns:xdr="http://schemas.openxmlformats.org/drawingml/2006/spreadsheetDrawing" xmlns:a="http://schemas.openxmlformats.org/drawingml/2006/main">
  <xdr:absoluteAnchor>
    <xdr:pos x="0" y="0"/>
    <xdr:ext cx="8610600" cy="6276975"/>
    <xdr:graphicFrame macro="">
      <xdr:nvGraphicFramePr>
        <xdr:cNvPr id="7" name="Chart 7" title="Chart">
          <a:extLst>
            <a:ext uri="{FF2B5EF4-FFF2-40B4-BE49-F238E27FC236}">
              <a16:creationId xmlns:a16="http://schemas.microsoft.com/office/drawing/2014/main" id="{00000000-0008-0000-1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livegemfactory.com/product/damsel-pink/" TargetMode="External"/><Relationship Id="rId18" Type="http://schemas.openxmlformats.org/officeDocument/2006/relationships/hyperlink" Target="https://animal-world.com/encyclo/marine/angels/koran.php" TargetMode="External"/><Relationship Id="rId26" Type="http://schemas.openxmlformats.org/officeDocument/2006/relationships/hyperlink" Target="https://fishkeepingfolks.com/ecsenius-pulcher-gulf-blenny-care/" TargetMode="External"/><Relationship Id="rId39" Type="http://schemas.openxmlformats.org/officeDocument/2006/relationships/hyperlink" Target="https://animal-world.com/encyclo/marine/Blennies/RedlippedBlenny.php" TargetMode="External"/><Relationship Id="rId21" Type="http://schemas.openxmlformats.org/officeDocument/2006/relationships/hyperlink" Target="https://animal-world.com/encyclo/marine/angels/heralds.php" TargetMode="External"/><Relationship Id="rId34" Type="http://schemas.openxmlformats.org/officeDocument/2006/relationships/hyperlink" Target="https://reefs.com/magazine/keeping-the-dwarf-cardinalfish-apogon-parvulus/" TargetMode="External"/><Relationship Id="rId42" Type="http://schemas.openxmlformats.org/officeDocument/2006/relationships/hyperlink" Target="https://animal-world.com/encyclo/marine/angels/bluegirdled.php" TargetMode="External"/><Relationship Id="rId47" Type="http://schemas.openxmlformats.org/officeDocument/2006/relationships/hyperlink" Target="https://seacave.com/index.php/points-of-interest/longevity-of-marine-tropicals-at-the-nancy-aquarium/" TargetMode="External"/><Relationship Id="rId50" Type="http://schemas.openxmlformats.org/officeDocument/2006/relationships/hyperlink" Target="https://fishkeepingfolks.com/bicolor-goatfish-parupeneus-barberinoides/" TargetMode="External"/><Relationship Id="rId55" Type="http://schemas.openxmlformats.org/officeDocument/2006/relationships/hyperlink" Target="https://www.reef2reef.com/threads/purple-tilefish.199909/" TargetMode="External"/><Relationship Id="rId7" Type="http://schemas.openxmlformats.org/officeDocument/2006/relationships/hyperlink" Target="https://animal-world.com/encyclo/marine/damsels/NeonVelvetDamsel.php" TargetMode="External"/><Relationship Id="rId2" Type="http://schemas.openxmlformats.org/officeDocument/2006/relationships/hyperlink" Target="https://animal-world.com/encyclo/marine/damsels/behns.php" TargetMode="External"/><Relationship Id="rId16" Type="http://schemas.openxmlformats.org/officeDocument/2006/relationships/hyperlink" Target="http://reefcentral.com/forums/showthread.php?t=1157146&amp;page=2" TargetMode="External"/><Relationship Id="rId29" Type="http://schemas.openxmlformats.org/officeDocument/2006/relationships/hyperlink" Target="https://pictolife.net/pages/popup.php?espece=Poissons&amp;id=457&amp;menu=1" TargetMode="External"/><Relationship Id="rId11" Type="http://schemas.openxmlformats.org/officeDocument/2006/relationships/hyperlink" Target="https://www.reef2reef.com/ams/genus-paracheilinus-the-flasher-wrasses.872/" TargetMode="External"/><Relationship Id="rId24" Type="http://schemas.openxmlformats.org/officeDocument/2006/relationships/hyperlink" Target="https://www.ncbi.nlm.nih.gov/pmc/articles/PMC4933090/" TargetMode="External"/><Relationship Id="rId32" Type="http://schemas.openxmlformats.org/officeDocument/2006/relationships/hyperlink" Target="https://animal-world.com/encyclo/marine/angels/chaemeso.php" TargetMode="External"/><Relationship Id="rId37" Type="http://schemas.openxmlformats.org/officeDocument/2006/relationships/hyperlink" Target="https://animal-world.com/encyclo/marine/angels/lamark.php" TargetMode="External"/><Relationship Id="rId40" Type="http://schemas.openxmlformats.org/officeDocument/2006/relationships/hyperlink" Target="https://www.baybridgeaquarium.com/products/bicolor-chromis" TargetMode="External"/><Relationship Id="rId45" Type="http://schemas.openxmlformats.org/officeDocument/2006/relationships/hyperlink" Target="https://animal-world.com/encyclo/marine/tangs/nasolopez.php" TargetMode="External"/><Relationship Id="rId53" Type="http://schemas.openxmlformats.org/officeDocument/2006/relationships/hyperlink" Target="https://www.encyclo-fish.com/EN/marine/fishes/macropharyngodon-bipartitus.php" TargetMode="External"/><Relationship Id="rId58" Type="http://schemas.openxmlformats.org/officeDocument/2006/relationships/hyperlink" Target="https://theaquariumguide.com/articles/firefish" TargetMode="External"/><Relationship Id="rId5" Type="http://schemas.openxmlformats.org/officeDocument/2006/relationships/hyperlink" Target="https://www.saltwateraquariumblog.com/yellow-coris-wrasse-care/" TargetMode="External"/><Relationship Id="rId61" Type="http://schemas.openxmlformats.org/officeDocument/2006/relationships/hyperlink" Target="https://livegemfactory.com/product/ornate-wrasse/" TargetMode="External"/><Relationship Id="rId19" Type="http://schemas.openxmlformats.org/officeDocument/2006/relationships/hyperlink" Target="https://www.baybridgeaquarium.com/products/staghorn-damselfish" TargetMode="External"/><Relationship Id="rId14" Type="http://schemas.openxmlformats.org/officeDocument/2006/relationships/hyperlink" Target="https://www.ultimatereef.net/threads/allens-damsel-lifespan.876458/" TargetMode="External"/><Relationship Id="rId22" Type="http://schemas.openxmlformats.org/officeDocument/2006/relationships/hyperlink" Target="https://onlinelibrary.wiley.com/doi/full/10.1111/j.1420-9101.2005.00969.x" TargetMode="External"/><Relationship Id="rId27" Type="http://schemas.openxmlformats.org/officeDocument/2006/relationships/hyperlink" Target="http://nimal-world.com/encyclo/marine/angels/rusty.php" TargetMode="External"/><Relationship Id="rId30" Type="http://schemas.openxmlformats.org/officeDocument/2006/relationships/hyperlink" Target="https://www.theaquariumwiki.com/wiki/Pictichromis_diadema" TargetMode="External"/><Relationship Id="rId35" Type="http://schemas.openxmlformats.org/officeDocument/2006/relationships/hyperlink" Target="https://www.reeflex.net/tiere/986_Ecsenius_bimaculatus.htm" TargetMode="External"/><Relationship Id="rId43" Type="http://schemas.openxmlformats.org/officeDocument/2006/relationships/hyperlink" Target="https://animal-world.com/encyclo/marine/damsels/GoldbellyDamsel.php" TargetMode="External"/><Relationship Id="rId48" Type="http://schemas.openxmlformats.org/officeDocument/2006/relationships/hyperlink" Target="https://www.baybridgeaquarium.com/products/radiant-wrasse" TargetMode="External"/><Relationship Id="rId56" Type="http://schemas.openxmlformats.org/officeDocument/2006/relationships/hyperlink" Target="https://www.reef2rainforest.com/2020/08/19/playing-with-darts/" TargetMode="External"/><Relationship Id="rId8" Type="http://schemas.openxmlformats.org/officeDocument/2006/relationships/hyperlink" Target="https://animal-world.com/encyclo/marine/clowns/sebae.php" TargetMode="External"/><Relationship Id="rId51" Type="http://schemas.openxmlformats.org/officeDocument/2006/relationships/hyperlink" Target="https://www.encyclo-fish.com/EN/marine/fishes/oxymonacanthus-longirostris.php" TargetMode="External"/><Relationship Id="rId3" Type="http://schemas.openxmlformats.org/officeDocument/2006/relationships/hyperlink" Target="https://www.fishparenting.com/engineer-goby/" TargetMode="External"/><Relationship Id="rId12" Type="http://schemas.openxmlformats.org/officeDocument/2006/relationships/hyperlink" Target="https://www.saltwateraquariumblog.com/red-coris-wrasse-care-guide/" TargetMode="External"/><Relationship Id="rId17" Type="http://schemas.openxmlformats.org/officeDocument/2006/relationships/hyperlink" Target="https://starthrower.org/products/DDDB/DDDB_100-149/DDDB_141%20zebra%20goby.htm" TargetMode="External"/><Relationship Id="rId25" Type="http://schemas.openxmlformats.org/officeDocument/2006/relationships/hyperlink" Target="https://aquainfo.org/acreichthys-tomentosus-bristle-tail-file-fish/" TargetMode="External"/><Relationship Id="rId33" Type="http://schemas.openxmlformats.org/officeDocument/2006/relationships/hyperlink" Target="https://www.baybridgeaquarium.com/products/hectors-goby" TargetMode="External"/><Relationship Id="rId38" Type="http://schemas.openxmlformats.org/officeDocument/2006/relationships/hyperlink" Target="https://animal-world.com/encyclo/marine/clowns/allards.php" TargetMode="External"/><Relationship Id="rId46" Type="http://schemas.openxmlformats.org/officeDocument/2006/relationships/hyperlink" Target="https://www.encyclo-fish.com/EN/marine/fishes/cirrhitichthys-falco.php" TargetMode="External"/><Relationship Id="rId59" Type="http://schemas.openxmlformats.org/officeDocument/2006/relationships/hyperlink" Target="https://animaldiversity.org/accounts/Amphiprion_akindynos" TargetMode="External"/><Relationship Id="rId20" Type="http://schemas.openxmlformats.org/officeDocument/2006/relationships/hyperlink" Target="https://www.baybridgeaquarium.com/products/staghorn-damselfish" TargetMode="External"/><Relationship Id="rId41" Type="http://schemas.openxmlformats.org/officeDocument/2006/relationships/hyperlink" Target="https://livefish.com.au/midnight-angelfish-medium" TargetMode="External"/><Relationship Id="rId54" Type="http://schemas.openxmlformats.org/officeDocument/2006/relationships/hyperlink" Target="http://www.panhandlereefers.com/index.php?app=forums&amp;module=forums&amp;controller=topic&amp;id=14061" TargetMode="External"/><Relationship Id="rId62" Type="http://schemas.openxmlformats.org/officeDocument/2006/relationships/hyperlink" Target="https://www.saltybottomreefcompany.com/sslawnmower" TargetMode="External"/><Relationship Id="rId1" Type="http://schemas.openxmlformats.org/officeDocument/2006/relationships/hyperlink" Target="https://aquainfo.org/pictichromis-paccagnellae-bicolor-dottyback/" TargetMode="External"/><Relationship Id="rId6" Type="http://schemas.openxmlformats.org/officeDocument/2006/relationships/hyperlink" Target="http://oceanaquaristic.blogspot.com/2011/02/dendrochirus-zebra.html" TargetMode="External"/><Relationship Id="rId15" Type="http://schemas.openxmlformats.org/officeDocument/2006/relationships/hyperlink" Target="https://www.baybridgeaquarium.com/products/marbled-dragonet" TargetMode="External"/><Relationship Id="rId23" Type="http://schemas.openxmlformats.org/officeDocument/2006/relationships/hyperlink" Target="https://animal-world.com/encyclo/marine/wrasses/LeopardWrasse.php" TargetMode="External"/><Relationship Id="rId28" Type="http://schemas.openxmlformats.org/officeDocument/2006/relationships/hyperlink" Target="https://www.orafarm.com/product/red-sea-two-band-clownfish/" TargetMode="External"/><Relationship Id="rId36" Type="http://schemas.openxmlformats.org/officeDocument/2006/relationships/hyperlink" Target="https://fishkeepingfolks.com/cirrhilabrus-rubripinnis/" TargetMode="External"/><Relationship Id="rId49" Type="http://schemas.openxmlformats.org/officeDocument/2006/relationships/hyperlink" Target="https://livefish.com.au/tiger-queen-anthias-medium" TargetMode="External"/><Relationship Id="rId57" Type="http://schemas.openxmlformats.org/officeDocument/2006/relationships/hyperlink" Target="http://fish-info000.blogspot.com/2014/07/harlequin-bass.html" TargetMode="External"/><Relationship Id="rId10" Type="http://schemas.openxmlformats.org/officeDocument/2006/relationships/hyperlink" Target="https://exotic-aquariums.com/two-spot-goby.html" TargetMode="External"/><Relationship Id="rId31" Type="http://schemas.openxmlformats.org/officeDocument/2006/relationships/hyperlink" Target="https://www.rosamondgiffordzoo.org/experience/animals/fish/freckled-porcupinefish/" TargetMode="External"/><Relationship Id="rId44" Type="http://schemas.openxmlformats.org/officeDocument/2006/relationships/hyperlink" Target="https://marinewise.com.au/fish-species/swallowtail-angelfish/" TargetMode="External"/><Relationship Id="rId52" Type="http://schemas.openxmlformats.org/officeDocument/2006/relationships/hyperlink" Target="https://seacave.com/index.php/points-of-interest/longevity-of-marine-tropicals-at-the-nancy-aquarium/" TargetMode="External"/><Relationship Id="rId60" Type="http://schemas.openxmlformats.org/officeDocument/2006/relationships/hyperlink" Target="http://nimal-world.com/encyclo/marine/eels/ribbon.php" TargetMode="External"/><Relationship Id="rId4" Type="http://schemas.openxmlformats.org/officeDocument/2006/relationships/hyperlink" Target="https://www.fishkeepingfolks.com/pholidichthys-leucotaenia-care/" TargetMode="External"/><Relationship Id="rId9" Type="http://schemas.openxmlformats.org/officeDocument/2006/relationships/hyperlink" Target="https://animal-world.com/encyclo/marine/damsels/talbots.php"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zslpublications.onlinelibrary.wiley.com/doi/abs/10.1111/j.1469-7998.2009.00688.x" TargetMode="External"/><Relationship Id="rId13" Type="http://schemas.openxmlformats.org/officeDocument/2006/relationships/hyperlink" Target="https://www.orafarm.com/product/neon-goby/" TargetMode="External"/><Relationship Id="rId18" Type="http://schemas.openxmlformats.org/officeDocument/2006/relationships/hyperlink" Target="http://larvalcultureproject.org/" TargetMode="External"/><Relationship Id="rId3" Type="http://schemas.openxmlformats.org/officeDocument/2006/relationships/hyperlink" Target="https://doi.org/10.1371/journal.pone.0035808" TargetMode="External"/><Relationship Id="rId21" Type="http://schemas.openxmlformats.org/officeDocument/2006/relationships/hyperlink" Target="https://www.risingtideconservation.org/uf-ifas-tal-making-advances-in-fire-goby-nemeteleotris-magnifica-aquaculture/" TargetMode="External"/><Relationship Id="rId7" Type="http://schemas.openxmlformats.org/officeDocument/2006/relationships/hyperlink" Target="https://zslpublications.onlinelibrary.wiley.com/doi/abs/10.1111/j.1469-7998.2009.00688.x" TargetMode="External"/><Relationship Id="rId12" Type="http://schemas.openxmlformats.org/officeDocument/2006/relationships/hyperlink" Target="https://www.reeflex.net/" TargetMode="External"/><Relationship Id="rId17" Type="http://schemas.openxmlformats.org/officeDocument/2006/relationships/hyperlink" Target="http://www.mbisite.org/Forums" TargetMode="External"/><Relationship Id="rId2" Type="http://schemas.openxmlformats.org/officeDocument/2006/relationships/hyperlink" Target="https://doi.org/10.1371/journal.pone.0035808" TargetMode="External"/><Relationship Id="rId16" Type="http://schemas.openxmlformats.org/officeDocument/2006/relationships/hyperlink" Target="https://www.reef2rainforest.com/2021/05/04/captive-bred-copperband-butterflyfish-chelmon-rostratus/" TargetMode="External"/><Relationship Id="rId20" Type="http://schemas.openxmlformats.org/officeDocument/2006/relationships/hyperlink" Target="https://belombrepedia.heritagebelombre.com/en/content/long-nosed-butterflyfish" TargetMode="External"/><Relationship Id="rId1" Type="http://schemas.openxmlformats.org/officeDocument/2006/relationships/hyperlink" Target="http://fishbase.org/" TargetMode="External"/><Relationship Id="rId6" Type="http://schemas.openxmlformats.org/officeDocument/2006/relationships/hyperlink" Target="https://www.sciencedirect.com/science/article/abs/pii/S0044848613006820" TargetMode="External"/><Relationship Id="rId11" Type="http://schemas.openxmlformats.org/officeDocument/2006/relationships/hyperlink" Target="https://www.reeflex.net/" TargetMode="External"/><Relationship Id="rId5" Type="http://schemas.openxmlformats.org/officeDocument/2006/relationships/hyperlink" Target="https://www.sciencedirect.com/science/article/abs/pii/S0044848613006820" TargetMode="External"/><Relationship Id="rId15" Type="http://schemas.openxmlformats.org/officeDocument/2006/relationships/hyperlink" Target="https://animaldiversity.org/accounts/Holacanthus_ciliaris/" TargetMode="External"/><Relationship Id="rId10" Type="http://schemas.openxmlformats.org/officeDocument/2006/relationships/hyperlink" Target="http://www.saltcorner.com/AquariumLibrary/browsesection.php" TargetMode="External"/><Relationship Id="rId19" Type="http://schemas.openxmlformats.org/officeDocument/2006/relationships/hyperlink" Target="https://www.diveandrelax.com/koh-lanta-marine-life/actinopterygii/muraenoidei" TargetMode="External"/><Relationship Id="rId4" Type="http://schemas.openxmlformats.org/officeDocument/2006/relationships/hyperlink" Target="https://www.fishkeepingfolks.com/pholidichthys-leucotaenia-care/" TargetMode="External"/><Relationship Id="rId9" Type="http://schemas.openxmlformats.org/officeDocument/2006/relationships/hyperlink" Target="http://www.saltcorner.com/AquariumLibrary/browsesection.php" TargetMode="External"/><Relationship Id="rId14" Type="http://schemas.openxmlformats.org/officeDocument/2006/relationships/hyperlink" Target="https://nas.er.usgs.gov/queries/factsheet.aspx?SpeciesID=2294" TargetMode="External"/><Relationship Id="rId22" Type="http://schemas.openxmlformats.org/officeDocument/2006/relationships/hyperlink" Target="https://starthrower.org/products/DDDB/DDDB_100-149/DDDB_141%20zebra%20goby.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0A44-D7F5-D242-92B2-E8C4DDA93BFC}">
  <dimension ref="A1:BK111"/>
  <sheetViews>
    <sheetView tabSelected="1" zoomScale="90" workbookViewId="0">
      <pane xSplit="2" ySplit="2" topLeftCell="C3" activePane="bottomRight" state="frozen"/>
      <selection pane="topRight"/>
      <selection pane="bottomLeft" activeCell="D2" sqref="D2"/>
      <selection pane="bottomRight" sqref="A1:A1048576"/>
    </sheetView>
  </sheetViews>
  <sheetFormatPr baseColWidth="10" defaultColWidth="11.5" defaultRowHeight="12.75" customHeight="1"/>
  <cols>
    <col min="2" max="2" width="25" customWidth="1"/>
    <col min="3" max="3" width="14.83203125" customWidth="1"/>
    <col min="19" max="19" width="14.6640625" customWidth="1"/>
    <col min="21" max="22" width="11.5" style="248"/>
    <col min="23" max="23" width="13" customWidth="1"/>
    <col min="34" max="34" width="10.83203125" style="212"/>
    <col min="43" max="43" width="11.5" customWidth="1"/>
    <col min="44" max="44" width="10.83203125"/>
    <col min="45" max="45" width="12.33203125" customWidth="1"/>
    <col min="46" max="46" width="10.83203125" customWidth="1"/>
    <col min="47" max="47" width="13.1640625" customWidth="1"/>
    <col min="48" max="48" width="12.1640625" bestFit="1" customWidth="1"/>
    <col min="49" max="49" width="10.6640625" bestFit="1" customWidth="1"/>
    <col min="50" max="51" width="10.1640625" customWidth="1"/>
    <col min="52" max="52" width="11.1640625" style="248" customWidth="1"/>
    <col min="53" max="53" width="10.1640625" customWidth="1"/>
    <col min="54" max="54" width="8.1640625" customWidth="1"/>
    <col min="55" max="55" width="9.83203125" customWidth="1"/>
    <col min="57" max="57" width="12.1640625" customWidth="1"/>
    <col min="58" max="58" width="13.5" customWidth="1"/>
    <col min="59" max="59" width="12.83203125" customWidth="1"/>
    <col min="60" max="60" width="13" customWidth="1"/>
    <col min="61" max="61" width="16.5" customWidth="1"/>
  </cols>
  <sheetData>
    <row r="1" spans="1:61" ht="16">
      <c r="A1" s="189"/>
      <c r="B1" s="190"/>
      <c r="C1" s="191"/>
      <c r="D1" s="191"/>
      <c r="E1" s="255"/>
      <c r="F1" s="193" t="s">
        <v>0</v>
      </c>
      <c r="G1" s="194" t="s">
        <v>1</v>
      </c>
      <c r="H1" s="195"/>
      <c r="I1" s="193" t="s">
        <v>2</v>
      </c>
      <c r="J1" s="194" t="s">
        <v>3</v>
      </c>
      <c r="K1" s="194"/>
      <c r="L1" s="256"/>
      <c r="M1" s="189" t="s">
        <v>1623</v>
      </c>
      <c r="N1" s="189"/>
      <c r="O1" s="189"/>
      <c r="P1" s="189"/>
      <c r="Q1" s="194"/>
      <c r="R1" s="194" t="s">
        <v>6</v>
      </c>
      <c r="S1" s="194"/>
      <c r="T1" s="194"/>
      <c r="U1" s="193"/>
      <c r="V1" s="193"/>
      <c r="W1" s="194" t="s">
        <v>7</v>
      </c>
      <c r="X1" s="191" t="s">
        <v>8</v>
      </c>
      <c r="Y1" s="191"/>
      <c r="Z1" s="191"/>
      <c r="AA1" s="235"/>
      <c r="AB1" s="194"/>
      <c r="AC1" s="194" t="s">
        <v>9</v>
      </c>
      <c r="AD1" s="194"/>
      <c r="AE1" s="194"/>
      <c r="AF1" s="191"/>
      <c r="AG1" s="191"/>
      <c r="AH1" s="191"/>
      <c r="AI1" s="192"/>
      <c r="AJ1" s="194"/>
      <c r="AK1" s="194"/>
      <c r="AL1" s="191"/>
      <c r="AM1" s="196"/>
      <c r="AN1" s="196" t="s">
        <v>10</v>
      </c>
      <c r="AO1" s="191" t="s">
        <v>11</v>
      </c>
      <c r="AP1" s="194"/>
      <c r="AQ1" s="194" t="s">
        <v>12</v>
      </c>
      <c r="AR1" s="194"/>
      <c r="AS1" s="257"/>
      <c r="AT1" s="258"/>
      <c r="AU1" s="12" t="s">
        <v>13</v>
      </c>
      <c r="AV1" s="12" t="s">
        <v>14</v>
      </c>
      <c r="AW1" s="12"/>
      <c r="AX1" s="192"/>
      <c r="AY1" s="194" t="s">
        <v>15</v>
      </c>
      <c r="AZ1" s="193"/>
      <c r="BA1" s="194"/>
      <c r="BB1" s="257"/>
      <c r="BC1" s="320" t="s">
        <v>1618</v>
      </c>
      <c r="BD1" s="191"/>
      <c r="BE1" s="318"/>
      <c r="BF1" s="319"/>
      <c r="BG1" s="319" t="s">
        <v>1634</v>
      </c>
      <c r="BH1" s="319"/>
    </row>
    <row r="2" spans="1:61" ht="49" customHeight="1">
      <c r="A2" s="197" t="s">
        <v>1635</v>
      </c>
      <c r="B2" s="197" t="s">
        <v>16</v>
      </c>
      <c r="C2" s="197" t="s">
        <v>18</v>
      </c>
      <c r="D2" s="197" t="s">
        <v>19</v>
      </c>
      <c r="E2" s="199" t="s">
        <v>1619</v>
      </c>
      <c r="F2" s="199" t="s">
        <v>1620</v>
      </c>
      <c r="G2" s="199" t="s">
        <v>21</v>
      </c>
      <c r="H2" s="200" t="s">
        <v>35</v>
      </c>
      <c r="I2" s="201" t="s">
        <v>1621</v>
      </c>
      <c r="J2" s="201" t="s">
        <v>1622</v>
      </c>
      <c r="K2" s="201" t="s">
        <v>28</v>
      </c>
      <c r="L2" s="200" t="s">
        <v>1616</v>
      </c>
      <c r="M2" s="200" t="s">
        <v>32</v>
      </c>
      <c r="N2" s="200" t="s">
        <v>33</v>
      </c>
      <c r="O2" s="200" t="s">
        <v>34</v>
      </c>
      <c r="P2" s="200" t="s">
        <v>35</v>
      </c>
      <c r="Q2" s="201" t="s">
        <v>36</v>
      </c>
      <c r="R2" s="201" t="s">
        <v>20</v>
      </c>
      <c r="S2" s="201" t="s">
        <v>37</v>
      </c>
      <c r="T2" s="201" t="s">
        <v>38</v>
      </c>
      <c r="U2" s="249" t="s">
        <v>35</v>
      </c>
      <c r="V2" s="285" t="s">
        <v>40</v>
      </c>
      <c r="W2" s="199" t="s">
        <v>20</v>
      </c>
      <c r="X2" s="199" t="s">
        <v>41</v>
      </c>
      <c r="Y2" s="199" t="s">
        <v>42</v>
      </c>
      <c r="Z2" s="199" t="s">
        <v>43</v>
      </c>
      <c r="AA2" s="231" t="s">
        <v>44</v>
      </c>
      <c r="AB2" s="201" t="s">
        <v>45</v>
      </c>
      <c r="AC2" s="201" t="s">
        <v>46</v>
      </c>
      <c r="AD2" s="201" t="s">
        <v>47</v>
      </c>
      <c r="AE2" s="201" t="s">
        <v>48</v>
      </c>
      <c r="AF2" s="208" t="s">
        <v>49</v>
      </c>
      <c r="AG2" s="208" t="s">
        <v>50</v>
      </c>
      <c r="AH2" s="210" t="s">
        <v>51</v>
      </c>
      <c r="AI2" s="201" t="s">
        <v>52</v>
      </c>
      <c r="AJ2" s="201" t="s">
        <v>54</v>
      </c>
      <c r="AK2" s="201" t="s">
        <v>55</v>
      </c>
      <c r="AL2" s="201" t="s">
        <v>56</v>
      </c>
      <c r="AM2" s="199" t="s">
        <v>58</v>
      </c>
      <c r="AN2" s="199" t="s">
        <v>59</v>
      </c>
      <c r="AO2" s="199" t="s">
        <v>60</v>
      </c>
      <c r="AP2" s="201" t="s">
        <v>61</v>
      </c>
      <c r="AQ2" s="201" t="s">
        <v>62</v>
      </c>
      <c r="AR2" s="222" t="s">
        <v>63</v>
      </c>
      <c r="AS2" s="199" t="s">
        <v>64</v>
      </c>
      <c r="AT2" s="198" t="s">
        <v>65</v>
      </c>
      <c r="AU2" s="199" t="s">
        <v>66</v>
      </c>
      <c r="AV2" s="199" t="s">
        <v>67</v>
      </c>
      <c r="AW2" s="199" t="s">
        <v>35</v>
      </c>
      <c r="AX2" s="200" t="s">
        <v>68</v>
      </c>
      <c r="AY2" s="199" t="s">
        <v>69</v>
      </c>
      <c r="AZ2" s="245" t="s">
        <v>70</v>
      </c>
      <c r="BA2" s="202" t="s">
        <v>71</v>
      </c>
      <c r="BB2" s="202" t="s">
        <v>73</v>
      </c>
      <c r="BC2" s="202" t="s">
        <v>74</v>
      </c>
      <c r="BD2" s="202" t="s">
        <v>75</v>
      </c>
      <c r="BE2" s="223" t="s">
        <v>76</v>
      </c>
      <c r="BF2" s="222" t="s">
        <v>77</v>
      </c>
      <c r="BG2" s="222" t="s">
        <v>78</v>
      </c>
      <c r="BH2" s="222" t="s">
        <v>79</v>
      </c>
      <c r="BI2" s="225"/>
    </row>
    <row r="3" spans="1:61" ht="16">
      <c r="A3" s="146">
        <v>1</v>
      </c>
      <c r="B3" s="99" t="s">
        <v>80</v>
      </c>
      <c r="C3" s="99" t="s">
        <v>83</v>
      </c>
      <c r="D3" t="s">
        <v>84</v>
      </c>
      <c r="E3" s="239">
        <v>3</v>
      </c>
      <c r="F3" s="187">
        <v>2</v>
      </c>
      <c r="G3" s="187">
        <v>6</v>
      </c>
      <c r="H3" s="139" t="s">
        <v>85</v>
      </c>
      <c r="I3" s="239">
        <v>2</v>
      </c>
      <c r="J3" s="187">
        <v>1</v>
      </c>
      <c r="K3" s="187">
        <v>2</v>
      </c>
      <c r="L3" s="139" t="s">
        <v>88</v>
      </c>
      <c r="M3" s="139">
        <v>3</v>
      </c>
      <c r="N3" s="139">
        <v>1</v>
      </c>
      <c r="O3" s="139">
        <v>3</v>
      </c>
      <c r="P3" s="139">
        <v>1</v>
      </c>
      <c r="Q3" s="187" t="s">
        <v>88</v>
      </c>
      <c r="R3" s="240">
        <v>3</v>
      </c>
      <c r="S3" s="187">
        <v>2</v>
      </c>
      <c r="T3" s="187">
        <v>6</v>
      </c>
      <c r="U3" s="204">
        <v>134</v>
      </c>
      <c r="V3" s="204" t="s">
        <v>88</v>
      </c>
      <c r="W3" s="239">
        <v>2</v>
      </c>
      <c r="X3" s="204">
        <v>1</v>
      </c>
      <c r="Y3" s="204">
        <v>2</v>
      </c>
      <c r="Z3" s="204"/>
      <c r="AA3" s="241">
        <v>472178</v>
      </c>
      <c r="AB3" s="187">
        <v>3</v>
      </c>
      <c r="AC3" s="187">
        <v>2</v>
      </c>
      <c r="AD3" s="240">
        <f>IF(AND(BE3&gt;=2.71, BE3&lt;=2.86, AA3&gt;23700), 1, IF(AND(BE3&gt;=2.71, BE3&lt;=2.86, AA3&gt;=6000, AA3&lt;=23700), 1, IF(AND(BE3&gt;=2.71, BE3&lt;=2.86, AA3&lt;6000), 1, IF(AND(BE3&gt;=2.57, BE3&lt;=2.71, AA3&gt;23700), 2, IF(AND(BE3&gt;=2.57, BE3&lt;=2.71, AA3&gt;=6000, AA3&lt;=23700), 2, IF(AND(BE3&gt;=2.57, BE3&lt;=2.71, AA3&lt;6000), 1, IF(AND(BE3&gt;=1, BE3&lt;=2.57, AA3&gt;23700), 3, IF(AND(BE3&gt;=1, BE3&lt;=2.71, AA3&gt;=6000, AA3&lt;=23700), 3, IF(AND(BE3&gt;=1, BE3&lt;=2.71, AA3&lt;6000), 2, 0 ) ) ) ) ) ) ) ) )</f>
        <v>1</v>
      </c>
      <c r="AE3" s="187">
        <f>AC3*LOG(AD3)</f>
        <v>0</v>
      </c>
      <c r="AF3" s="209">
        <v>2</v>
      </c>
      <c r="AG3" s="209">
        <v>1</v>
      </c>
      <c r="AH3" s="211">
        <v>0.3010299956639812</v>
      </c>
      <c r="AI3" s="146">
        <v>6</v>
      </c>
      <c r="AJ3" s="146">
        <v>1</v>
      </c>
      <c r="AK3" s="146">
        <v>1</v>
      </c>
      <c r="AL3" s="146">
        <v>0</v>
      </c>
      <c r="AM3" s="92">
        <v>1</v>
      </c>
      <c r="AN3" s="226">
        <v>1</v>
      </c>
      <c r="AO3" s="226">
        <f>AN3*LOG(AM3)</f>
        <v>0</v>
      </c>
      <c r="AP3" s="229">
        <v>2</v>
      </c>
      <c r="AQ3" s="187">
        <v>1</v>
      </c>
      <c r="AR3" s="187">
        <f>AQ3*LOG(AP3)</f>
        <v>0.3010299956639812</v>
      </c>
      <c r="AS3" s="205">
        <v>1.167</v>
      </c>
      <c r="AT3" s="54">
        <f>IF(AS3&lt;2.5,1,IF(AS3&gt;3.5,3,2))</f>
        <v>1</v>
      </c>
      <c r="AU3" s="187">
        <v>1</v>
      </c>
      <c r="AV3" s="187">
        <f>AU3*LOG(AT3)</f>
        <v>0</v>
      </c>
      <c r="AW3" s="92" t="s">
        <v>91</v>
      </c>
      <c r="AX3" s="66" t="s">
        <v>92</v>
      </c>
      <c r="AY3" s="85">
        <v>3</v>
      </c>
      <c r="AZ3" s="246">
        <v>2</v>
      </c>
      <c r="BA3" s="206">
        <f>AZ3*LOG(AY3)</f>
        <v>0.95424250943932487</v>
      </c>
      <c r="BB3" s="206">
        <v>1</v>
      </c>
      <c r="BC3" s="206">
        <v>1</v>
      </c>
      <c r="BD3" s="206">
        <v>0</v>
      </c>
      <c r="BE3" s="224">
        <v>2.7142857142857144</v>
      </c>
      <c r="BF3" s="187">
        <v>0.17292250008525414</v>
      </c>
      <c r="BG3" s="187">
        <v>1.4890953247181091</v>
      </c>
      <c r="BH3" s="187">
        <v>0.56643348216921019</v>
      </c>
    </row>
    <row r="4" spans="1:61" ht="16">
      <c r="A4" s="146">
        <v>2</v>
      </c>
      <c r="B4" s="99" t="s">
        <v>93</v>
      </c>
      <c r="C4" s="99" t="s">
        <v>83</v>
      </c>
      <c r="D4" t="s">
        <v>84</v>
      </c>
      <c r="E4" s="239">
        <v>3</v>
      </c>
      <c r="F4" s="187">
        <v>2</v>
      </c>
      <c r="G4" s="187">
        <v>6</v>
      </c>
      <c r="H4" s="139" t="s">
        <v>96</v>
      </c>
      <c r="I4" s="239">
        <v>2</v>
      </c>
      <c r="J4" s="187">
        <v>1</v>
      </c>
      <c r="K4" s="187">
        <v>2</v>
      </c>
      <c r="L4" s="139" t="s">
        <v>88</v>
      </c>
      <c r="M4" s="139">
        <v>3</v>
      </c>
      <c r="N4" s="139">
        <v>1</v>
      </c>
      <c r="O4" s="139">
        <v>3</v>
      </c>
      <c r="P4" s="139">
        <v>1</v>
      </c>
      <c r="Q4" s="187" t="s">
        <v>88</v>
      </c>
      <c r="R4" s="240">
        <v>2</v>
      </c>
      <c r="S4" s="187">
        <v>2</v>
      </c>
      <c r="T4" s="187">
        <v>4</v>
      </c>
      <c r="U4" s="204">
        <v>105</v>
      </c>
      <c r="V4" s="204" t="s">
        <v>88</v>
      </c>
      <c r="W4" s="239">
        <v>2</v>
      </c>
      <c r="X4" s="204">
        <v>1</v>
      </c>
      <c r="Y4" s="204">
        <v>2</v>
      </c>
      <c r="Z4" s="204">
        <v>105</v>
      </c>
      <c r="AA4" s="241">
        <v>225051</v>
      </c>
      <c r="AB4" s="187">
        <v>3</v>
      </c>
      <c r="AC4" s="187">
        <v>2</v>
      </c>
      <c r="AD4" s="240">
        <f>IF(AND(BE4&gt;=2.71, BE4&lt;=2.86, AA4&gt;23700), 1, IF(AND(BE4&gt;=2.71, BE4&lt;=2.86, AA4&gt;=6000, AA4&lt;=23700), 1, IF(AND(BE4&gt;=2.71, BE4&lt;=2.86, AA4&lt;6000), 1, IF(AND(BE4&gt;=2.57, BE4&lt;=2.71, AA4&gt;23700), 2, IF(AND(BE4&gt;=2.57, BE4&lt;=2.71, AA4&gt;=6000, AA4&lt;=23700), 2, IF(AND(BE4&gt;=2.57, BE4&lt;=2.71, AA4&lt;6000), 1, IF(AND(BE4&gt;=1, BE4&lt;=2.57, AA4&gt;23700), 3, IF(AND(BE4&gt;=1, BE4&lt;=2.71, AA4&gt;=6000, AA4&lt;=23700), 3, IF(AND(BE4&gt;=1, BE4&lt;=2.71, AA4&lt;6000), 2, 0 ) ) ) ) ) ) ) ) )</f>
        <v>3</v>
      </c>
      <c r="AE4" s="187">
        <f>AC4*LOG(AD4)</f>
        <v>0.95424250943932487</v>
      </c>
      <c r="AF4" s="209">
        <v>2</v>
      </c>
      <c r="AG4" s="209">
        <v>1</v>
      </c>
      <c r="AH4" s="211">
        <v>0.3010299956639812</v>
      </c>
      <c r="AI4" s="146">
        <v>6</v>
      </c>
      <c r="AJ4" s="146">
        <v>1</v>
      </c>
      <c r="AK4" s="146">
        <v>1</v>
      </c>
      <c r="AL4" s="146">
        <v>0</v>
      </c>
      <c r="AM4" s="92">
        <v>1</v>
      </c>
      <c r="AN4" s="226">
        <v>1</v>
      </c>
      <c r="AO4" s="226">
        <f t="shared" ref="AO4:AO33" si="0">AN4*LOG(AM4)</f>
        <v>0</v>
      </c>
      <c r="AP4" s="229">
        <v>2</v>
      </c>
      <c r="AQ4" s="187">
        <v>1</v>
      </c>
      <c r="AR4" s="187">
        <f t="shared" ref="AR4:AR65" si="1">AQ4*LOG(AP4)</f>
        <v>0.3010299956639812</v>
      </c>
      <c r="AS4" s="205">
        <v>1.125</v>
      </c>
      <c r="AT4" s="54">
        <f>IF(AS4&lt;2.5,1,IF(AS4&gt;3.5,3,2))</f>
        <v>1</v>
      </c>
      <c r="AU4" s="187">
        <v>1</v>
      </c>
      <c r="AV4" s="187">
        <f t="shared" ref="AV4:AV67" si="2">AU4*LOG(AT4)</f>
        <v>0</v>
      </c>
      <c r="AW4" s="92" t="s">
        <v>99</v>
      </c>
      <c r="AX4" s="66" t="s">
        <v>92</v>
      </c>
      <c r="AY4" s="85">
        <v>3</v>
      </c>
      <c r="AZ4" s="246">
        <v>2</v>
      </c>
      <c r="BA4" s="206">
        <f>AZ4*LOG(AY4)</f>
        <v>0.95424250943932487</v>
      </c>
      <c r="BB4" s="206">
        <v>1</v>
      </c>
      <c r="BC4" s="206">
        <v>1</v>
      </c>
      <c r="BD4" s="206">
        <v>0</v>
      </c>
      <c r="BE4" s="224">
        <v>2.4285714285714284</v>
      </c>
      <c r="BF4" s="187">
        <v>0.22823136456423745</v>
      </c>
      <c r="BG4" s="187">
        <v>1.6913417313152141</v>
      </c>
      <c r="BH4" s="187">
        <v>0.89693032154276953</v>
      </c>
    </row>
    <row r="5" spans="1:61" ht="16">
      <c r="A5" s="146">
        <v>3</v>
      </c>
      <c r="B5" s="99" t="s">
        <v>100</v>
      </c>
      <c r="C5" s="99" t="s">
        <v>83</v>
      </c>
      <c r="D5" t="s">
        <v>84</v>
      </c>
      <c r="E5" s="239">
        <v>3</v>
      </c>
      <c r="F5" s="187">
        <v>2</v>
      </c>
      <c r="G5" s="187">
        <v>6</v>
      </c>
      <c r="H5" s="139" t="s">
        <v>103</v>
      </c>
      <c r="I5" s="239">
        <v>2</v>
      </c>
      <c r="J5" s="187">
        <v>1</v>
      </c>
      <c r="K5" s="187">
        <v>2</v>
      </c>
      <c r="L5" s="139" t="s">
        <v>88</v>
      </c>
      <c r="M5" s="139">
        <v>3</v>
      </c>
      <c r="N5" s="139">
        <v>1</v>
      </c>
      <c r="O5" s="139">
        <v>3</v>
      </c>
      <c r="P5" s="139">
        <v>1</v>
      </c>
      <c r="Q5" s="187" t="s">
        <v>88</v>
      </c>
      <c r="R5" s="240">
        <v>3</v>
      </c>
      <c r="S5" s="187">
        <v>2</v>
      </c>
      <c r="T5" s="187">
        <v>6</v>
      </c>
      <c r="U5" s="204">
        <v>99</v>
      </c>
      <c r="V5" s="204" t="s">
        <v>88</v>
      </c>
      <c r="W5" s="239">
        <v>2</v>
      </c>
      <c r="X5" s="204">
        <v>1</v>
      </c>
      <c r="Y5" s="204">
        <v>2</v>
      </c>
      <c r="Z5" s="204"/>
      <c r="AA5" s="241">
        <v>173578</v>
      </c>
      <c r="AB5" s="187">
        <v>3</v>
      </c>
      <c r="AC5" s="187">
        <v>2</v>
      </c>
      <c r="AD5" s="240">
        <f>IF(AND(BE5&gt;=2.71, BE5&lt;=2.86, AA5&gt;23700), 1, IF(AND(BE5&gt;=2.71, BE5&lt;=2.86, AA5&gt;=6000, AA5&lt;=23700), 1, IF(AND(BE5&gt;=2.71, BE5&lt;=2.86, AA5&lt;6000), 1, IF(AND(BE5&gt;=2.57, BE5&lt;=2.71, AA5&gt;23700), 2, IF(AND(BE5&gt;=2.57, BE5&lt;=2.71, AA5&gt;=6000, AA5&lt;=23700), 2, IF(AND(BE5&gt;=2.57, BE5&lt;=2.71, AA5&lt;6000), 1, IF(AND(BE5&gt;=1, BE5&lt;=2.57, AA5&gt;23700), 3, IF(AND(BE5&gt;=1, BE5&lt;=2.71, AA5&gt;=6000, AA5&lt;=23700), 3, IF(AND(BE5&gt;=1, BE5&lt;=2.71, AA5&lt;6000), 2, 0 ) ) ) ) ) ) ) ) )</f>
        <v>1</v>
      </c>
      <c r="AE5" s="187">
        <f t="shared" ref="AE5:AE33" si="3">AC5*LOG(AD5)</f>
        <v>0</v>
      </c>
      <c r="AF5" s="209">
        <v>2</v>
      </c>
      <c r="AG5" s="209">
        <v>1</v>
      </c>
      <c r="AH5" s="211">
        <v>0.3010299956639812</v>
      </c>
      <c r="AI5" s="146">
        <v>6</v>
      </c>
      <c r="AJ5" s="146">
        <v>1</v>
      </c>
      <c r="AK5" s="146">
        <v>1</v>
      </c>
      <c r="AL5" s="146">
        <v>0</v>
      </c>
      <c r="AM5" s="92">
        <v>1</v>
      </c>
      <c r="AN5" s="226">
        <v>1</v>
      </c>
      <c r="AO5" s="226">
        <f t="shared" si="0"/>
        <v>0</v>
      </c>
      <c r="AP5" s="229">
        <v>2</v>
      </c>
      <c r="AQ5" s="187">
        <v>1</v>
      </c>
      <c r="AR5" s="187">
        <f t="shared" si="1"/>
        <v>0.3010299956639812</v>
      </c>
      <c r="AS5" s="205">
        <v>1.25</v>
      </c>
      <c r="AT5" s="54">
        <f>IF(AS5&lt;2.5,1,IF(AS5&gt;3.5,3,2))</f>
        <v>1</v>
      </c>
      <c r="AU5" s="187">
        <v>1</v>
      </c>
      <c r="AV5" s="187">
        <f t="shared" si="2"/>
        <v>0</v>
      </c>
      <c r="AW5" s="92" t="s">
        <v>99</v>
      </c>
      <c r="AX5" s="66" t="s">
        <v>106</v>
      </c>
      <c r="AY5" s="85">
        <v>3</v>
      </c>
      <c r="AZ5" s="246">
        <v>2</v>
      </c>
      <c r="BA5" s="206">
        <f t="shared" ref="BA5:BA33" si="4">AZ5*LOG(AY5)</f>
        <v>0.95424250943932487</v>
      </c>
      <c r="BB5" s="206">
        <v>1</v>
      </c>
      <c r="BC5" s="206">
        <v>1</v>
      </c>
      <c r="BD5" s="206">
        <v>0</v>
      </c>
      <c r="BE5" s="224">
        <v>2.7142857142857144</v>
      </c>
      <c r="BF5" s="187">
        <v>0.17292250008525414</v>
      </c>
      <c r="BG5" s="187">
        <v>1.4890953247181091</v>
      </c>
      <c r="BH5" s="187">
        <v>0.56643348216921019</v>
      </c>
    </row>
    <row r="6" spans="1:61" ht="16">
      <c r="A6" s="146">
        <v>4</v>
      </c>
      <c r="B6" s="99" t="s">
        <v>107</v>
      </c>
      <c r="C6" s="99" t="s">
        <v>110</v>
      </c>
      <c r="D6" t="s">
        <v>84</v>
      </c>
      <c r="E6" s="239">
        <v>3</v>
      </c>
      <c r="F6" s="187">
        <v>2</v>
      </c>
      <c r="G6" s="187">
        <v>6</v>
      </c>
      <c r="H6" s="139" t="s">
        <v>111</v>
      </c>
      <c r="I6" s="239">
        <v>2</v>
      </c>
      <c r="J6" s="187">
        <v>1</v>
      </c>
      <c r="K6" s="187">
        <v>2</v>
      </c>
      <c r="L6" s="139" t="s">
        <v>88</v>
      </c>
      <c r="M6" s="139">
        <v>3</v>
      </c>
      <c r="N6" s="139">
        <v>1</v>
      </c>
      <c r="O6" s="139">
        <v>3</v>
      </c>
      <c r="P6" s="139">
        <v>1</v>
      </c>
      <c r="Q6" s="187" t="s">
        <v>88</v>
      </c>
      <c r="R6" s="240">
        <v>3</v>
      </c>
      <c r="S6" s="187">
        <v>2</v>
      </c>
      <c r="T6" s="187">
        <v>6</v>
      </c>
      <c r="U6" s="204">
        <v>161</v>
      </c>
      <c r="V6" s="204" t="s">
        <v>115</v>
      </c>
      <c r="W6" s="239">
        <v>1</v>
      </c>
      <c r="X6" s="204">
        <v>1</v>
      </c>
      <c r="Y6" s="204">
        <v>1</v>
      </c>
      <c r="Z6" s="204">
        <v>22</v>
      </c>
      <c r="AA6" s="241">
        <v>172724</v>
      </c>
      <c r="AB6" s="187">
        <v>3</v>
      </c>
      <c r="AC6" s="187">
        <v>2</v>
      </c>
      <c r="AD6" s="240">
        <f>IF(AND(BE6&gt;=2.71, BE6&lt;=2.86, AA6&gt;23700), 1, IF(AND(BE6&gt;=2.71, BE6&lt;=2.86, AA6&gt;=6000, AA6&lt;=23700), 1, IF(AND(BE6&gt;=2.71, BE6&lt;=2.86, AA6&lt;6000), 1, IF(AND(BE6&gt;=2.57, BE6&lt;=2.71, AA6&gt;23700), 2, IF(AND(BE6&gt;=2.57, BE6&lt;=2.71, AA6&gt;=6000, AA6&lt;=23700), 2, IF(AND(BE6&gt;=2.57, BE6&lt;=2.71, AA6&lt;6000), 1, IF(AND(BE6&gt;=1, BE6&lt;=2.57, AA6&gt;23700), 3, IF(AND(BE6&gt;=1, BE6&lt;=2.71, AA6&gt;=6000, AA6&lt;=23700), 3, IF(AND(BE6&gt;=1, BE6&lt;=2.71, AA6&lt;6000), 2, 0 ) ) ) ) ) ) ) ) )</f>
        <v>2</v>
      </c>
      <c r="AE6" s="187">
        <f t="shared" si="3"/>
        <v>0.6020599913279624</v>
      </c>
      <c r="AF6" s="209">
        <v>1</v>
      </c>
      <c r="AG6" s="209">
        <v>1</v>
      </c>
      <c r="AH6" s="211">
        <v>0</v>
      </c>
      <c r="AI6" s="146">
        <v>4</v>
      </c>
      <c r="AJ6" s="146">
        <v>2</v>
      </c>
      <c r="AK6" s="146">
        <v>1</v>
      </c>
      <c r="AL6" s="146">
        <v>0.3010299956639812</v>
      </c>
      <c r="AM6" s="92">
        <v>1</v>
      </c>
      <c r="AN6" s="226">
        <v>1</v>
      </c>
      <c r="AO6" s="226">
        <f t="shared" si="0"/>
        <v>0</v>
      </c>
      <c r="AP6" s="229">
        <v>1</v>
      </c>
      <c r="AQ6" s="187">
        <v>1</v>
      </c>
      <c r="AR6" s="187">
        <f t="shared" si="1"/>
        <v>0</v>
      </c>
      <c r="AS6" s="205">
        <v>1.25</v>
      </c>
      <c r="AT6" s="54">
        <f>IF(AS6&lt;2.5,1,IF(AS6&gt;3.5,3,2))</f>
        <v>1</v>
      </c>
      <c r="AU6" s="187">
        <v>1</v>
      </c>
      <c r="AV6" s="187">
        <f t="shared" si="2"/>
        <v>0</v>
      </c>
      <c r="AW6" s="92" t="s">
        <v>99</v>
      </c>
      <c r="AX6" s="66" t="s">
        <v>106</v>
      </c>
      <c r="AY6" s="85">
        <v>3</v>
      </c>
      <c r="AZ6" s="246">
        <v>2</v>
      </c>
      <c r="BA6" s="206">
        <f t="shared" si="4"/>
        <v>0.95424250943932487</v>
      </c>
      <c r="BB6" s="206">
        <v>1</v>
      </c>
      <c r="BC6" s="206">
        <v>1</v>
      </c>
      <c r="BD6" s="206">
        <v>0</v>
      </c>
      <c r="BE6" s="224">
        <v>2.5714285714285716</v>
      </c>
      <c r="BF6" s="187">
        <v>0.18573324964312685</v>
      </c>
      <c r="BG6" s="187">
        <v>1.5336746868385576</v>
      </c>
      <c r="BH6" s="187">
        <v>0.68445755219734949</v>
      </c>
    </row>
    <row r="7" spans="1:61" ht="16">
      <c r="A7" s="146">
        <v>5</v>
      </c>
      <c r="B7" s="99" t="s">
        <v>116</v>
      </c>
      <c r="C7" s="99" t="s">
        <v>83</v>
      </c>
      <c r="D7" t="s">
        <v>84</v>
      </c>
      <c r="E7" s="239">
        <v>3</v>
      </c>
      <c r="F7" s="187">
        <v>2</v>
      </c>
      <c r="G7" s="187">
        <v>6</v>
      </c>
      <c r="H7" s="139" t="s">
        <v>103</v>
      </c>
      <c r="I7" s="239">
        <v>2</v>
      </c>
      <c r="J7" s="187">
        <v>1</v>
      </c>
      <c r="K7" s="187">
        <v>2</v>
      </c>
      <c r="L7" s="139" t="s">
        <v>88</v>
      </c>
      <c r="M7" s="139">
        <v>3</v>
      </c>
      <c r="N7" s="139">
        <v>1</v>
      </c>
      <c r="O7" s="139">
        <v>3</v>
      </c>
      <c r="P7" s="139">
        <v>1</v>
      </c>
      <c r="Q7" s="187" t="s">
        <v>88</v>
      </c>
      <c r="R7" s="240">
        <v>3</v>
      </c>
      <c r="S7" s="187">
        <v>2</v>
      </c>
      <c r="T7" s="187">
        <v>6</v>
      </c>
      <c r="U7" s="204">
        <v>99</v>
      </c>
      <c r="V7" s="204" t="s">
        <v>88</v>
      </c>
      <c r="W7" s="239">
        <v>2</v>
      </c>
      <c r="X7" s="204">
        <v>1</v>
      </c>
      <c r="Y7" s="204">
        <v>2</v>
      </c>
      <c r="Z7" s="204"/>
      <c r="AA7" s="241">
        <v>167859</v>
      </c>
      <c r="AB7" s="187">
        <v>3</v>
      </c>
      <c r="AC7" s="187">
        <v>2</v>
      </c>
      <c r="AD7" s="240">
        <f>IF(AND(BE7&gt;=2.71, BE7&lt;=2.86, AA7&gt;23700), 1, IF(AND(BE7&gt;=2.71, BE7&lt;=2.86, AA7&gt;=6000, AA7&lt;=23700), 1, IF(AND(BE7&gt;=2.71, BE7&lt;=2.86, AA7&lt;6000), 1, IF(AND(BE7&gt;=2.57, BE7&lt;=2.71, AA7&gt;23700), 2, IF(AND(BE7&gt;=2.57, BE7&lt;=2.71, AA7&gt;=6000, AA7&lt;=23700), 2, IF(AND(BE7&gt;=2.57, BE7&lt;=2.71, AA7&lt;6000), 1, IF(AND(BE7&gt;=1, BE7&lt;=2.57, AA7&gt;23700), 3, IF(AND(BE7&gt;=1, BE7&lt;=2.71, AA7&gt;=6000, AA7&lt;=23700), 3, IF(AND(BE7&gt;=1, BE7&lt;=2.71, AA7&lt;6000), 2, 0 ) ) ) ) ) ) ) ) )</f>
        <v>1</v>
      </c>
      <c r="AE7" s="187">
        <f t="shared" si="3"/>
        <v>0</v>
      </c>
      <c r="AF7" s="209">
        <v>1</v>
      </c>
      <c r="AG7" s="209">
        <v>1</v>
      </c>
      <c r="AH7" s="211">
        <v>0</v>
      </c>
      <c r="AI7" s="146">
        <v>2</v>
      </c>
      <c r="AJ7" s="146">
        <v>3</v>
      </c>
      <c r="AK7" s="146">
        <v>1</v>
      </c>
      <c r="AL7" s="146">
        <v>0.47712125471966244</v>
      </c>
      <c r="AM7" s="92">
        <v>1</v>
      </c>
      <c r="AN7" s="226">
        <v>1</v>
      </c>
      <c r="AO7" s="226">
        <f t="shared" si="0"/>
        <v>0</v>
      </c>
      <c r="AP7" s="229">
        <v>2</v>
      </c>
      <c r="AQ7" s="187">
        <v>1</v>
      </c>
      <c r="AR7" s="187">
        <f t="shared" si="1"/>
        <v>0.3010299956639812</v>
      </c>
      <c r="AS7" s="205">
        <v>1.25</v>
      </c>
      <c r="AT7" s="54">
        <f>IF(AS7&lt;2.5,1,IF(AS7&gt;3.5,3,2))</f>
        <v>1</v>
      </c>
      <c r="AU7" s="187">
        <v>1</v>
      </c>
      <c r="AV7" s="187">
        <f t="shared" si="2"/>
        <v>0</v>
      </c>
      <c r="AW7" s="92" t="s">
        <v>99</v>
      </c>
      <c r="AX7" s="66" t="s">
        <v>92</v>
      </c>
      <c r="AY7" s="85">
        <v>3</v>
      </c>
      <c r="AZ7" s="246">
        <v>2</v>
      </c>
      <c r="BA7" s="206">
        <f t="shared" si="4"/>
        <v>0.95424250943932487</v>
      </c>
      <c r="BB7" s="206">
        <v>2</v>
      </c>
      <c r="BC7" s="206">
        <v>1</v>
      </c>
      <c r="BD7" s="206">
        <v>0.3010299956639812</v>
      </c>
      <c r="BE7" s="224">
        <v>2.7142857142857144</v>
      </c>
      <c r="BF7" s="187">
        <v>0.22593597283188332</v>
      </c>
      <c r="BG7" s="187">
        <v>1.682426006079768</v>
      </c>
      <c r="BH7" s="187">
        <v>0.73982288882894665</v>
      </c>
    </row>
    <row r="8" spans="1:61" ht="16">
      <c r="A8" s="146">
        <v>6</v>
      </c>
      <c r="B8" s="99" t="s">
        <v>119</v>
      </c>
      <c r="C8" s="99" t="s">
        <v>83</v>
      </c>
      <c r="D8" t="s">
        <v>84</v>
      </c>
      <c r="E8" s="239">
        <v>3</v>
      </c>
      <c r="F8" s="187">
        <v>2</v>
      </c>
      <c r="G8" s="187">
        <v>6</v>
      </c>
      <c r="H8" s="139" t="s">
        <v>103</v>
      </c>
      <c r="I8" s="239">
        <v>2</v>
      </c>
      <c r="J8" s="187">
        <v>1</v>
      </c>
      <c r="K8" s="187">
        <v>2</v>
      </c>
      <c r="L8" s="139" t="s">
        <v>88</v>
      </c>
      <c r="M8" s="139">
        <v>3</v>
      </c>
      <c r="N8" s="139">
        <v>1</v>
      </c>
      <c r="O8" s="139">
        <v>3</v>
      </c>
      <c r="P8" s="139">
        <v>1</v>
      </c>
      <c r="Q8" s="187" t="s">
        <v>88</v>
      </c>
      <c r="R8" s="240">
        <v>3</v>
      </c>
      <c r="S8" s="187">
        <v>2</v>
      </c>
      <c r="T8" s="187">
        <v>6</v>
      </c>
      <c r="U8" s="204">
        <v>99</v>
      </c>
      <c r="V8" s="204" t="s">
        <v>88</v>
      </c>
      <c r="W8" s="239">
        <v>2</v>
      </c>
      <c r="X8" s="204">
        <v>1</v>
      </c>
      <c r="Y8" s="204">
        <v>2</v>
      </c>
      <c r="Z8" s="204"/>
      <c r="AA8" s="241">
        <v>146748</v>
      </c>
      <c r="AB8" s="187">
        <v>3</v>
      </c>
      <c r="AC8" s="187">
        <v>2</v>
      </c>
      <c r="AD8" s="240">
        <f>IF(AND(BE8&gt;=2.71, BE8&lt;=2.86, AA8&gt;23700), 1, IF(AND(BE8&gt;=2.71, BE8&lt;=2.86, AA8&gt;=6000, AA8&lt;=23700), 1, IF(AND(BE8&gt;=2.71, BE8&lt;=2.86, AA8&lt;6000), 1, IF(AND(BE8&gt;=2.57, BE8&lt;=2.71, AA8&gt;23700), 2, IF(AND(BE8&gt;=2.57, BE8&lt;=2.71, AA8&gt;=6000, AA8&lt;=23700), 2, IF(AND(BE8&gt;=2.57, BE8&lt;=2.71, AA8&lt;6000), 1, IF(AND(BE8&gt;=1, BE8&lt;=2.57, AA8&gt;23700), 3, IF(AND(BE8&gt;=1, BE8&lt;=2.71, AA8&gt;=6000, AA8&lt;=23700), 3, IF(AND(BE8&gt;=1, BE8&lt;=2.71, AA8&lt;6000), 2, 0 ) ) ) ) ) ) ) ) )</f>
        <v>1</v>
      </c>
      <c r="AE8" s="187">
        <f t="shared" si="3"/>
        <v>0</v>
      </c>
      <c r="AF8" s="209">
        <v>2</v>
      </c>
      <c r="AG8" s="209">
        <v>1</v>
      </c>
      <c r="AH8" s="211">
        <v>0.3010299956639812</v>
      </c>
      <c r="AI8" s="146">
        <v>6</v>
      </c>
      <c r="AJ8" s="146">
        <v>1</v>
      </c>
      <c r="AK8" s="146">
        <v>1</v>
      </c>
      <c r="AL8" s="146">
        <v>0</v>
      </c>
      <c r="AM8" s="92">
        <v>1</v>
      </c>
      <c r="AN8" s="226">
        <v>1</v>
      </c>
      <c r="AO8" s="226">
        <f t="shared" si="0"/>
        <v>0</v>
      </c>
      <c r="AP8" s="229">
        <v>1</v>
      </c>
      <c r="AQ8" s="187">
        <v>1</v>
      </c>
      <c r="AR8" s="187">
        <f t="shared" si="1"/>
        <v>0</v>
      </c>
      <c r="AS8" s="205">
        <v>1.5</v>
      </c>
      <c r="AT8" s="54">
        <f>IF(AS8&lt;2.5,1,IF(AS8&gt;3.5,3,2))</f>
        <v>1</v>
      </c>
      <c r="AU8" s="187">
        <v>1</v>
      </c>
      <c r="AV8" s="187">
        <f t="shared" si="2"/>
        <v>0</v>
      </c>
      <c r="AW8" s="92" t="s">
        <v>99</v>
      </c>
      <c r="AX8" s="66" t="s">
        <v>106</v>
      </c>
      <c r="AY8" s="85">
        <v>3</v>
      </c>
      <c r="AZ8" s="246">
        <v>2</v>
      </c>
      <c r="BA8" s="206">
        <f t="shared" si="4"/>
        <v>0.95424250943932487</v>
      </c>
      <c r="BB8" s="206">
        <v>1</v>
      </c>
      <c r="BC8" s="206">
        <v>1</v>
      </c>
      <c r="BD8" s="206">
        <v>0</v>
      </c>
      <c r="BE8" s="224">
        <v>2.7142857142857144</v>
      </c>
      <c r="BF8" s="187">
        <v>0.13947472278925621</v>
      </c>
      <c r="BG8" s="187">
        <v>1.3787157053417285</v>
      </c>
      <c r="BH8" s="187">
        <v>0.4744030338580344</v>
      </c>
    </row>
    <row r="9" spans="1:61" ht="16">
      <c r="A9" s="146">
        <v>7</v>
      </c>
      <c r="B9" s="99" t="s">
        <v>123</v>
      </c>
      <c r="C9" s="99" t="s">
        <v>83</v>
      </c>
      <c r="D9" t="s">
        <v>84</v>
      </c>
      <c r="E9" s="239">
        <v>3</v>
      </c>
      <c r="F9" s="187">
        <v>2</v>
      </c>
      <c r="G9" s="187">
        <v>6</v>
      </c>
      <c r="H9" s="139">
        <v>1</v>
      </c>
      <c r="I9" s="239">
        <v>2</v>
      </c>
      <c r="J9" s="187">
        <v>1</v>
      </c>
      <c r="K9" s="187">
        <v>2</v>
      </c>
      <c r="L9" s="139" t="s">
        <v>88</v>
      </c>
      <c r="M9" s="139">
        <v>3</v>
      </c>
      <c r="N9" s="139">
        <v>1</v>
      </c>
      <c r="O9" s="139">
        <v>3</v>
      </c>
      <c r="P9" s="139">
        <v>1</v>
      </c>
      <c r="Q9" s="187" t="s">
        <v>88</v>
      </c>
      <c r="R9" s="240">
        <v>3</v>
      </c>
      <c r="S9" s="187">
        <v>2</v>
      </c>
      <c r="T9" s="187">
        <v>6</v>
      </c>
      <c r="U9" s="204">
        <v>99</v>
      </c>
      <c r="V9" s="204" t="s">
        <v>115</v>
      </c>
      <c r="W9" s="239">
        <v>3</v>
      </c>
      <c r="X9" s="204">
        <v>1</v>
      </c>
      <c r="Y9" s="204">
        <v>3</v>
      </c>
      <c r="Z9" s="204">
        <v>63</v>
      </c>
      <c r="AA9" s="241">
        <v>77840</v>
      </c>
      <c r="AB9" s="187">
        <v>3</v>
      </c>
      <c r="AC9" s="187">
        <v>2</v>
      </c>
      <c r="AD9" s="240">
        <f>IF(AND(BE9&gt;=2.71, BE9&lt;=2.86, AA9&gt;23700), 1, IF(AND(BE9&gt;=2.71, BE9&lt;=2.86, AA9&gt;=6000, AA9&lt;=23700), 1, IF(AND(BE9&gt;=2.71, BE9&lt;=2.86, AA9&lt;6000), 1, IF(AND(BE9&gt;=2.57, BE9&lt;=2.71, AA9&gt;23700), 2, IF(AND(BE9&gt;=2.57, BE9&lt;=2.71, AA9&gt;=6000, AA9&lt;=23700), 2, IF(AND(BE9&gt;=2.57, BE9&lt;=2.71, AA9&lt;6000), 1, IF(AND(BE9&gt;=1, BE9&lt;=2.57, AA9&gt;23700), 3, IF(AND(BE9&gt;=1, BE9&lt;=2.71, AA9&gt;=6000, AA9&lt;=23700), 3, IF(AND(BE9&gt;=1, BE9&lt;=2.71, AA9&lt;6000), 2, 0 ) ) ) ) ) ) ) ) )</f>
        <v>1</v>
      </c>
      <c r="AE9" s="187">
        <f t="shared" si="3"/>
        <v>0</v>
      </c>
      <c r="AF9" s="209">
        <v>3</v>
      </c>
      <c r="AG9" s="209">
        <v>1</v>
      </c>
      <c r="AH9" s="211">
        <v>0.47712125471966244</v>
      </c>
      <c r="AI9" s="146">
        <v>6</v>
      </c>
      <c r="AJ9" s="146">
        <v>1</v>
      </c>
      <c r="AK9" s="146">
        <v>1</v>
      </c>
      <c r="AL9" s="146">
        <v>0</v>
      </c>
      <c r="AM9" s="92">
        <v>1</v>
      </c>
      <c r="AN9" s="226">
        <v>1</v>
      </c>
      <c r="AO9" s="226">
        <f t="shared" si="0"/>
        <v>0</v>
      </c>
      <c r="AP9" s="229">
        <v>2</v>
      </c>
      <c r="AQ9" s="187">
        <v>1</v>
      </c>
      <c r="AR9" s="187">
        <f t="shared" si="1"/>
        <v>0.3010299956639812</v>
      </c>
      <c r="AS9" s="205">
        <v>1.167</v>
      </c>
      <c r="AT9" s="54">
        <f>IF(AS9&lt;2.5,1,IF(AS9&gt;3.5,3,2))</f>
        <v>1</v>
      </c>
      <c r="AU9" s="187">
        <v>1</v>
      </c>
      <c r="AV9" s="187">
        <f t="shared" si="2"/>
        <v>0</v>
      </c>
      <c r="AW9" s="92" t="s">
        <v>91</v>
      </c>
      <c r="AX9" s="66" t="s">
        <v>106</v>
      </c>
      <c r="AY9" s="85">
        <v>3</v>
      </c>
      <c r="AZ9" s="246">
        <v>2</v>
      </c>
      <c r="BA9" s="206">
        <f t="shared" si="4"/>
        <v>0.95424250943932487</v>
      </c>
      <c r="BB9" s="206">
        <v>2</v>
      </c>
      <c r="BC9" s="206">
        <v>1</v>
      </c>
      <c r="BD9" s="206">
        <v>0.3010299956639812</v>
      </c>
      <c r="BE9" s="224">
        <v>2.8571428571428572</v>
      </c>
      <c r="BF9" s="187">
        <v>0.22593597283188332</v>
      </c>
      <c r="BG9" s="187">
        <v>1.682426006079768</v>
      </c>
      <c r="BH9" s="187">
        <v>0.69721834244323322</v>
      </c>
    </row>
    <row r="10" spans="1:61" ht="16">
      <c r="A10" s="146">
        <v>8</v>
      </c>
      <c r="B10" s="99" t="s">
        <v>129</v>
      </c>
      <c r="C10" s="99" t="s">
        <v>132</v>
      </c>
      <c r="D10" t="s">
        <v>84</v>
      </c>
      <c r="E10" s="239">
        <v>3</v>
      </c>
      <c r="F10" s="187">
        <v>2</v>
      </c>
      <c r="G10" s="187">
        <v>6</v>
      </c>
      <c r="H10" s="139" t="s">
        <v>111</v>
      </c>
      <c r="I10" s="239">
        <v>2</v>
      </c>
      <c r="J10" s="187">
        <v>1</v>
      </c>
      <c r="K10" s="187">
        <v>2</v>
      </c>
      <c r="L10" s="139" t="s">
        <v>88</v>
      </c>
      <c r="M10" s="139">
        <v>3</v>
      </c>
      <c r="N10" s="139">
        <v>1</v>
      </c>
      <c r="O10" s="139">
        <v>3</v>
      </c>
      <c r="P10" s="139">
        <v>1</v>
      </c>
      <c r="Q10" s="187" t="s">
        <v>88</v>
      </c>
      <c r="R10" s="240">
        <v>3</v>
      </c>
      <c r="S10" s="187">
        <v>2</v>
      </c>
      <c r="T10" s="187">
        <v>6</v>
      </c>
      <c r="U10" s="204" t="s">
        <v>136</v>
      </c>
      <c r="V10" s="204" t="s">
        <v>88</v>
      </c>
      <c r="W10" s="239">
        <v>1</v>
      </c>
      <c r="X10" s="204">
        <v>1</v>
      </c>
      <c r="Y10" s="204">
        <v>1</v>
      </c>
      <c r="Z10" s="204"/>
      <c r="AA10" s="241">
        <v>76568</v>
      </c>
      <c r="AB10" s="187">
        <v>3</v>
      </c>
      <c r="AC10" s="187">
        <v>2</v>
      </c>
      <c r="AD10" s="240">
        <f>IF(AND(BE10&gt;=2.71, BE10&lt;=2.86, AA10&gt;23700), 1, IF(AND(BE10&gt;=2.71, BE10&lt;=2.86, AA10&gt;=6000, AA10&lt;=23700), 1, IF(AND(BE10&gt;=2.71, BE10&lt;=2.86, AA10&lt;6000), 1, IF(AND(BE10&gt;=2.57, BE10&lt;=2.71, AA10&gt;23700), 2, IF(AND(BE10&gt;=2.57, BE10&lt;=2.71, AA10&gt;=6000, AA10&lt;=23700), 2, IF(AND(BE10&gt;=2.57, BE10&lt;=2.71, AA10&lt;6000), 1, IF(AND(BE10&gt;=1, BE10&lt;=2.57, AA10&gt;23700), 3, IF(AND(BE10&gt;=1, BE10&lt;=2.71, AA10&gt;=6000, AA10&lt;=23700), 3, IF(AND(BE10&gt;=1, BE10&lt;=2.71, AA10&lt;6000), 2, 0 ) ) ) ) ) ) ) ) )</f>
        <v>2</v>
      </c>
      <c r="AE10" s="187">
        <f t="shared" si="3"/>
        <v>0.6020599913279624</v>
      </c>
      <c r="AF10" s="209">
        <v>1</v>
      </c>
      <c r="AG10" s="209">
        <v>1</v>
      </c>
      <c r="AH10" s="211">
        <v>0</v>
      </c>
      <c r="AI10" s="146">
        <v>4</v>
      </c>
      <c r="AJ10" s="146">
        <v>2</v>
      </c>
      <c r="AK10" s="146">
        <v>1</v>
      </c>
      <c r="AL10" s="146">
        <v>0.3010299956639812</v>
      </c>
      <c r="AM10" s="92">
        <v>1</v>
      </c>
      <c r="AN10" s="226">
        <v>1</v>
      </c>
      <c r="AO10" s="226">
        <f t="shared" si="0"/>
        <v>0</v>
      </c>
      <c r="AP10" s="229">
        <v>2</v>
      </c>
      <c r="AQ10" s="187">
        <v>1</v>
      </c>
      <c r="AR10" s="187">
        <f t="shared" si="1"/>
        <v>0.3010299956639812</v>
      </c>
      <c r="AS10" s="205">
        <v>3</v>
      </c>
      <c r="AT10" s="54">
        <f>IF(AS10&lt;2.5,1,IF(AS10&gt;3.5,3,2))</f>
        <v>2</v>
      </c>
      <c r="AU10" s="187">
        <v>1</v>
      </c>
      <c r="AV10" s="187">
        <f t="shared" si="2"/>
        <v>0.3010299956639812</v>
      </c>
      <c r="AW10" s="92" t="s">
        <v>99</v>
      </c>
      <c r="AX10" s="66" t="s">
        <v>137</v>
      </c>
      <c r="AY10" s="85">
        <v>2</v>
      </c>
      <c r="AZ10" s="246">
        <v>2</v>
      </c>
      <c r="BA10" s="206">
        <f t="shared" si="4"/>
        <v>0.6020599913279624</v>
      </c>
      <c r="BB10" s="206">
        <v>2</v>
      </c>
      <c r="BC10" s="206">
        <v>1</v>
      </c>
      <c r="BD10" s="206">
        <v>0.3010299956639812</v>
      </c>
      <c r="BE10" s="224">
        <v>2.5714285714285716</v>
      </c>
      <c r="BF10" s="187">
        <v>0.24082399653118497</v>
      </c>
      <c r="BG10" s="187">
        <v>1.7411011265922485</v>
      </c>
      <c r="BH10" s="187">
        <v>0.85609832917957207</v>
      </c>
    </row>
    <row r="11" spans="1:61" ht="18" customHeight="1">
      <c r="A11" s="146">
        <v>9</v>
      </c>
      <c r="B11" s="99" t="s">
        <v>138</v>
      </c>
      <c r="C11" s="99" t="s">
        <v>141</v>
      </c>
      <c r="D11" t="s">
        <v>84</v>
      </c>
      <c r="E11" s="239">
        <v>3</v>
      </c>
      <c r="F11" s="187">
        <v>2</v>
      </c>
      <c r="G11" s="187">
        <v>6</v>
      </c>
      <c r="H11" s="139" t="s">
        <v>96</v>
      </c>
      <c r="I11" s="239">
        <v>2</v>
      </c>
      <c r="J11" s="187">
        <v>1</v>
      </c>
      <c r="K11" s="187">
        <v>2</v>
      </c>
      <c r="L11" s="139" t="s">
        <v>88</v>
      </c>
      <c r="M11" s="139">
        <v>3</v>
      </c>
      <c r="N11" s="139">
        <v>1</v>
      </c>
      <c r="O11" s="139">
        <v>3</v>
      </c>
      <c r="P11" s="139">
        <v>1</v>
      </c>
      <c r="Q11" s="187" t="s">
        <v>146</v>
      </c>
      <c r="R11" s="240">
        <v>2</v>
      </c>
      <c r="S11" s="187">
        <v>2</v>
      </c>
      <c r="T11" s="187">
        <v>4</v>
      </c>
      <c r="U11" s="250" t="s">
        <v>147</v>
      </c>
      <c r="V11" s="204" t="s">
        <v>115</v>
      </c>
      <c r="W11" s="239">
        <v>2</v>
      </c>
      <c r="X11" s="204">
        <v>1</v>
      </c>
      <c r="Y11" s="204">
        <v>2</v>
      </c>
      <c r="Z11" s="204"/>
      <c r="AA11" s="241">
        <v>76201</v>
      </c>
      <c r="AB11" s="187">
        <v>3</v>
      </c>
      <c r="AC11" s="187">
        <v>2</v>
      </c>
      <c r="AD11" s="240">
        <f>IF(AND(BE11&gt;=2.71, BE11&lt;=2.86, AA11&gt;23700), 1, IF(AND(BE11&gt;=2.71, BE11&lt;=2.86, AA11&gt;=6000, AA11&lt;=23700), 1, IF(AND(BE11&gt;=2.71, BE11&lt;=2.86, AA11&lt;6000), 1, IF(AND(BE11&gt;=2.57, BE11&lt;=2.71, AA11&gt;23700), 2, IF(AND(BE11&gt;=2.57, BE11&lt;=2.71, AA11&gt;=6000, AA11&lt;=23700), 2, IF(AND(BE11&gt;=2.57, BE11&lt;=2.71, AA11&lt;6000), 1, IF(AND(BE11&gt;=1, BE11&lt;=2.57, AA11&gt;23700), 3, IF(AND(BE11&gt;=1, BE11&lt;=2.71, AA11&gt;=6000, AA11&lt;=23700), 3, IF(AND(BE11&gt;=1, BE11&lt;=2.71, AA11&lt;6000), 2, 0 ) ) ) ) ) ) ) ) )</f>
        <v>3</v>
      </c>
      <c r="AE11" s="187">
        <f t="shared" si="3"/>
        <v>0.95424250943932487</v>
      </c>
      <c r="AF11" s="209">
        <v>2</v>
      </c>
      <c r="AG11" s="209">
        <v>1</v>
      </c>
      <c r="AH11" s="211">
        <v>0.3010299956639812</v>
      </c>
      <c r="AI11" s="146">
        <v>6</v>
      </c>
      <c r="AJ11" s="146">
        <v>1</v>
      </c>
      <c r="AK11" s="146">
        <v>1</v>
      </c>
      <c r="AL11" s="146">
        <v>0</v>
      </c>
      <c r="AM11" s="92">
        <v>1</v>
      </c>
      <c r="AN11" s="226">
        <v>1</v>
      </c>
      <c r="AO11" s="226">
        <f t="shared" ref="AO11" si="5">AN11*LOG(AM11)</f>
        <v>0</v>
      </c>
      <c r="AP11" s="229">
        <v>2</v>
      </c>
      <c r="AQ11" s="187">
        <v>1</v>
      </c>
      <c r="AR11" s="187">
        <f t="shared" si="1"/>
        <v>0.3010299956639812</v>
      </c>
      <c r="AS11" s="205">
        <v>1</v>
      </c>
      <c r="AT11" s="54">
        <f>IF(AS11&lt;2.5,1,IF(AS11&gt;3.5,3,2))</f>
        <v>1</v>
      </c>
      <c r="AU11" s="187">
        <v>1</v>
      </c>
      <c r="AV11" s="187">
        <f t="shared" si="2"/>
        <v>0</v>
      </c>
      <c r="AW11" s="92" t="s">
        <v>99</v>
      </c>
      <c r="AX11" s="96" t="s">
        <v>106</v>
      </c>
      <c r="AY11" s="204">
        <v>3</v>
      </c>
      <c r="AZ11" s="246">
        <v>2</v>
      </c>
      <c r="BA11" s="206">
        <f t="shared" si="4"/>
        <v>0.95424250943932487</v>
      </c>
      <c r="BB11" s="206">
        <v>1</v>
      </c>
      <c r="BC11" s="206">
        <v>1</v>
      </c>
      <c r="BD11" s="206">
        <v>0</v>
      </c>
      <c r="BE11" s="224">
        <v>2.4285714285714284</v>
      </c>
      <c r="BF11" s="187">
        <v>0.22823136456423745</v>
      </c>
      <c r="BG11" s="187">
        <v>1.6913417313152141</v>
      </c>
      <c r="BH11" s="187">
        <v>0.89693032154276953</v>
      </c>
    </row>
    <row r="12" spans="1:61" ht="16">
      <c r="A12" s="146">
        <v>10</v>
      </c>
      <c r="B12" s="99" t="s">
        <v>149</v>
      </c>
      <c r="C12" s="99" t="s">
        <v>152</v>
      </c>
      <c r="D12" t="s">
        <v>84</v>
      </c>
      <c r="E12" s="239">
        <v>3</v>
      </c>
      <c r="F12" s="187">
        <v>2</v>
      </c>
      <c r="G12" s="187">
        <v>6</v>
      </c>
      <c r="H12" s="139" t="s">
        <v>153</v>
      </c>
      <c r="I12" s="239">
        <v>2</v>
      </c>
      <c r="J12" s="187">
        <v>1</v>
      </c>
      <c r="K12" s="187">
        <v>2</v>
      </c>
      <c r="L12" s="139" t="s">
        <v>88</v>
      </c>
      <c r="M12" s="139">
        <v>2</v>
      </c>
      <c r="N12" s="139">
        <v>1</v>
      </c>
      <c r="O12" s="139">
        <v>2</v>
      </c>
      <c r="P12" s="139">
        <v>1</v>
      </c>
      <c r="Q12" s="187" t="s">
        <v>88</v>
      </c>
      <c r="R12" s="240">
        <v>3</v>
      </c>
      <c r="S12" s="187">
        <v>2</v>
      </c>
      <c r="T12" s="187">
        <v>6</v>
      </c>
      <c r="U12" s="204">
        <v>100</v>
      </c>
      <c r="V12" s="204" t="s">
        <v>88</v>
      </c>
      <c r="W12" s="239">
        <v>1</v>
      </c>
      <c r="X12" s="204">
        <v>1</v>
      </c>
      <c r="Y12" s="204">
        <v>1</v>
      </c>
      <c r="Z12" s="204"/>
      <c r="AA12" s="241">
        <v>64679</v>
      </c>
      <c r="AB12" s="187">
        <v>3</v>
      </c>
      <c r="AC12" s="187">
        <v>2</v>
      </c>
      <c r="AD12" s="240">
        <f>IF(AND(BE12&gt;=2.71, BE12&lt;=2.86, AA12&gt;23700), 1, IF(AND(BE12&gt;=2.71, BE12&lt;=2.86, AA12&gt;=6000, AA12&lt;=23700), 1, IF(AND(BE12&gt;=2.71, BE12&lt;=2.86, AA12&lt;6000), 1, IF(AND(BE12&gt;=2.57, BE12&lt;=2.71, AA12&gt;23700), 2, IF(AND(BE12&gt;=2.57, BE12&lt;=2.71, AA12&gt;=6000, AA12&lt;=23700), 2, IF(AND(BE12&gt;=2.57, BE12&lt;=2.71, AA12&lt;6000), 1, IF(AND(BE12&gt;=1, BE12&lt;=2.57, AA12&gt;23700), 3, IF(AND(BE12&gt;=1, BE12&lt;=2.71, AA12&gt;=6000, AA12&lt;=23700), 3, IF(AND(BE12&gt;=1, BE12&lt;=2.71, AA12&lt;6000), 2, 0 ) ) ) ) ) ) ) ) )</f>
        <v>3</v>
      </c>
      <c r="AE12" s="187">
        <f t="shared" si="3"/>
        <v>0.95424250943932487</v>
      </c>
      <c r="AF12" s="209">
        <v>2</v>
      </c>
      <c r="AG12" s="209">
        <v>1</v>
      </c>
      <c r="AH12" s="211">
        <v>0.3010299956639812</v>
      </c>
      <c r="AI12" s="146">
        <v>6</v>
      </c>
      <c r="AJ12" s="146">
        <v>1</v>
      </c>
      <c r="AK12" s="146">
        <v>1</v>
      </c>
      <c r="AL12" s="146">
        <v>0</v>
      </c>
      <c r="AM12" s="92">
        <v>1</v>
      </c>
      <c r="AN12" s="226">
        <v>1</v>
      </c>
      <c r="AO12" s="226">
        <f t="shared" si="0"/>
        <v>0</v>
      </c>
      <c r="AP12" s="229">
        <v>1</v>
      </c>
      <c r="AQ12" s="187">
        <v>1</v>
      </c>
      <c r="AR12" s="187">
        <f t="shared" si="1"/>
        <v>0</v>
      </c>
      <c r="AS12" s="205">
        <v>1.625</v>
      </c>
      <c r="AT12" s="54">
        <f>IF(AS12&lt;2.5,1,IF(AS12&gt;3.5,3,2))</f>
        <v>1</v>
      </c>
      <c r="AU12" s="187">
        <v>1</v>
      </c>
      <c r="AV12" s="187">
        <f t="shared" si="2"/>
        <v>0</v>
      </c>
      <c r="AW12" s="92" t="s">
        <v>99</v>
      </c>
      <c r="AX12" s="66" t="s">
        <v>92</v>
      </c>
      <c r="AY12" s="85">
        <v>3</v>
      </c>
      <c r="AZ12" s="246">
        <v>2</v>
      </c>
      <c r="BA12" s="206">
        <f t="shared" si="4"/>
        <v>0.95424250943932487</v>
      </c>
      <c r="BB12" s="206">
        <v>2</v>
      </c>
      <c r="BC12" s="206">
        <v>1</v>
      </c>
      <c r="BD12" s="206">
        <v>0.3010299956639812</v>
      </c>
      <c r="BE12" s="224">
        <v>2.4285714285714284</v>
      </c>
      <c r="BF12" s="187">
        <v>0.22823136456423745</v>
      </c>
      <c r="BG12" s="187">
        <v>1.6913417313152141</v>
      </c>
      <c r="BH12" s="187">
        <v>0.89693032154276953</v>
      </c>
    </row>
    <row r="13" spans="1:61" ht="16">
      <c r="A13" s="146">
        <v>11</v>
      </c>
      <c r="B13" s="99" t="s">
        <v>157</v>
      </c>
      <c r="C13" s="99" t="s">
        <v>160</v>
      </c>
      <c r="D13" t="s">
        <v>84</v>
      </c>
      <c r="E13" s="239">
        <v>3</v>
      </c>
      <c r="F13" s="187">
        <v>2</v>
      </c>
      <c r="G13" s="187">
        <v>6</v>
      </c>
      <c r="H13" s="139" t="s">
        <v>161</v>
      </c>
      <c r="I13" s="239">
        <v>2</v>
      </c>
      <c r="J13" s="187">
        <v>1</v>
      </c>
      <c r="K13" s="187">
        <v>2</v>
      </c>
      <c r="L13" s="139" t="s">
        <v>146</v>
      </c>
      <c r="M13" s="139">
        <v>3</v>
      </c>
      <c r="N13" s="139">
        <v>1</v>
      </c>
      <c r="O13" s="139">
        <v>3</v>
      </c>
      <c r="P13" s="139" t="s">
        <v>164</v>
      </c>
      <c r="Q13" s="187" t="s">
        <v>88</v>
      </c>
      <c r="R13" s="240">
        <v>3</v>
      </c>
      <c r="S13" s="187">
        <v>2</v>
      </c>
      <c r="T13" s="187">
        <v>6</v>
      </c>
      <c r="U13" s="204">
        <v>99</v>
      </c>
      <c r="V13" s="204" t="s">
        <v>88</v>
      </c>
      <c r="W13" s="239">
        <v>1</v>
      </c>
      <c r="X13" s="204">
        <v>1</v>
      </c>
      <c r="Y13" s="204">
        <v>1</v>
      </c>
      <c r="Z13" s="204"/>
      <c r="AA13" s="241">
        <v>63801</v>
      </c>
      <c r="AB13" s="187">
        <v>3</v>
      </c>
      <c r="AC13" s="187">
        <v>2</v>
      </c>
      <c r="AD13" s="240">
        <f>IF(AND(BE13&gt;=2.71, BE13&lt;=2.86, AA13&gt;23700), 1, IF(AND(BE13&gt;=2.71, BE13&lt;=2.86, AA13&gt;=6000, AA13&lt;=23700), 1, IF(AND(BE13&gt;=2.71, BE13&lt;=2.86, AA13&lt;6000), 1, IF(AND(BE13&gt;=2.57, BE13&lt;=2.71, AA13&gt;23700), 2, IF(AND(BE13&gt;=2.57, BE13&lt;=2.71, AA13&gt;=6000, AA13&lt;=23700), 2, IF(AND(BE13&gt;=2.57, BE13&lt;=2.71, AA13&lt;6000), 1, IF(AND(BE13&gt;=1, BE13&lt;=2.57, AA13&gt;23700), 3, IF(AND(BE13&gt;=1, BE13&lt;=2.71, AA13&gt;=6000, AA13&lt;=23700), 3, IF(AND(BE13&gt;=1, BE13&lt;=2.71, AA13&lt;6000), 2, 0 ) ) ) ) ) ) ) ) )</f>
        <v>2</v>
      </c>
      <c r="AE13" s="187">
        <f t="shared" si="3"/>
        <v>0.6020599913279624</v>
      </c>
      <c r="AF13" s="209">
        <v>2</v>
      </c>
      <c r="AG13" s="209">
        <v>1</v>
      </c>
      <c r="AH13" s="211">
        <v>0.3010299956639812</v>
      </c>
      <c r="AI13" s="146">
        <v>6</v>
      </c>
      <c r="AJ13" s="146">
        <v>1</v>
      </c>
      <c r="AK13" s="146">
        <v>1</v>
      </c>
      <c r="AL13" s="146">
        <v>0</v>
      </c>
      <c r="AM13" s="92">
        <v>3</v>
      </c>
      <c r="AN13" s="226">
        <v>1</v>
      </c>
      <c r="AO13" s="226">
        <f t="shared" si="0"/>
        <v>0.47712125471966244</v>
      </c>
      <c r="AP13" s="229">
        <v>1</v>
      </c>
      <c r="AQ13" s="187">
        <v>1</v>
      </c>
      <c r="AR13" s="187">
        <f t="shared" si="1"/>
        <v>0</v>
      </c>
      <c r="AS13" s="205">
        <v>1.667</v>
      </c>
      <c r="AT13" s="54">
        <f>IF(AS13&lt;2.5,1,IF(AS13&gt;3.5,3,2))</f>
        <v>1</v>
      </c>
      <c r="AU13" s="187">
        <v>1</v>
      </c>
      <c r="AV13" s="187">
        <f t="shared" si="2"/>
        <v>0</v>
      </c>
      <c r="AW13" s="92" t="s">
        <v>91</v>
      </c>
      <c r="AX13" s="66" t="s">
        <v>92</v>
      </c>
      <c r="AY13" s="85">
        <v>3</v>
      </c>
      <c r="AZ13" s="246">
        <v>2</v>
      </c>
      <c r="BA13" s="206">
        <f t="shared" si="4"/>
        <v>0.95424250943932487</v>
      </c>
      <c r="BB13" s="206">
        <v>2</v>
      </c>
      <c r="BC13" s="206">
        <v>1</v>
      </c>
      <c r="BD13" s="206">
        <v>0.3010299956639812</v>
      </c>
      <c r="BE13" s="224">
        <v>2.5714285714285716</v>
      </c>
      <c r="BF13" s="187">
        <v>0.26354837468149117</v>
      </c>
      <c r="BG13" s="187">
        <v>1.8346295092848033</v>
      </c>
      <c r="BH13" s="187">
        <v>0.93823232046052785</v>
      </c>
    </row>
    <row r="14" spans="1:61" ht="16">
      <c r="A14" s="146">
        <v>12</v>
      </c>
      <c r="B14" s="99" t="s">
        <v>167</v>
      </c>
      <c r="C14" s="99" t="s">
        <v>170</v>
      </c>
      <c r="D14" t="s">
        <v>84</v>
      </c>
      <c r="E14" s="239">
        <v>3</v>
      </c>
      <c r="F14" s="187">
        <v>2</v>
      </c>
      <c r="G14" s="187">
        <v>6</v>
      </c>
      <c r="H14" s="139">
        <v>1</v>
      </c>
      <c r="I14" s="239">
        <v>3</v>
      </c>
      <c r="J14" s="187">
        <v>1</v>
      </c>
      <c r="K14" s="187">
        <v>3</v>
      </c>
      <c r="L14" s="139" t="s">
        <v>88</v>
      </c>
      <c r="M14" s="139">
        <v>3</v>
      </c>
      <c r="N14" s="139">
        <v>1</v>
      </c>
      <c r="O14" s="139">
        <v>3</v>
      </c>
      <c r="P14" s="139">
        <v>1</v>
      </c>
      <c r="Q14" s="187" t="s">
        <v>88</v>
      </c>
      <c r="R14" s="240">
        <v>2</v>
      </c>
      <c r="S14" s="187">
        <v>2</v>
      </c>
      <c r="T14" s="187">
        <v>4</v>
      </c>
      <c r="U14" s="204">
        <v>145</v>
      </c>
      <c r="V14" s="204" t="s">
        <v>146</v>
      </c>
      <c r="W14" s="239">
        <v>1</v>
      </c>
      <c r="X14" s="204">
        <v>1</v>
      </c>
      <c r="Y14" s="204">
        <v>1</v>
      </c>
      <c r="Z14" s="244" t="s">
        <v>1624</v>
      </c>
      <c r="AA14" s="241">
        <v>45634</v>
      </c>
      <c r="AB14" s="187">
        <v>3</v>
      </c>
      <c r="AC14" s="187">
        <v>2</v>
      </c>
      <c r="AD14" s="240">
        <f>IF(AND(BE14&gt;=2.71, BE14&lt;=2.86, AA14&gt;23700), 1, IF(AND(BE14&gt;=2.71, BE14&lt;=2.86, AA14&gt;=6000, AA14&lt;=23700), 1, IF(AND(BE14&gt;=2.71, BE14&lt;=2.86, AA14&lt;6000), 1, IF(AND(BE14&gt;=2.57, BE14&lt;=2.71, AA14&gt;23700), 2, IF(AND(BE14&gt;=2.57, BE14&lt;=2.71, AA14&gt;=6000, AA14&lt;=23700), 2, IF(AND(BE14&gt;=2.57, BE14&lt;=2.71, AA14&lt;6000), 1, IF(AND(BE14&gt;=1, BE14&lt;=2.57, AA14&gt;23700), 3, IF(AND(BE14&gt;=1, BE14&lt;=2.71, AA14&gt;=6000, AA14&lt;=23700), 3, IF(AND(BE14&gt;=1, BE14&lt;=2.71, AA14&lt;6000), 2, 0 ) ) ) ) ) ) ) ) )</f>
        <v>3</v>
      </c>
      <c r="AE14" s="187">
        <f t="shared" si="3"/>
        <v>0.95424250943932487</v>
      </c>
      <c r="AF14" s="209">
        <v>1</v>
      </c>
      <c r="AG14" s="209">
        <v>1</v>
      </c>
      <c r="AH14" s="211">
        <v>0</v>
      </c>
      <c r="AI14" s="146">
        <v>4</v>
      </c>
      <c r="AJ14" s="146">
        <v>2</v>
      </c>
      <c r="AK14" s="146">
        <v>1</v>
      </c>
      <c r="AL14" s="146">
        <v>0.3010299956639812</v>
      </c>
      <c r="AM14" s="92">
        <v>1</v>
      </c>
      <c r="AN14" s="226">
        <v>1</v>
      </c>
      <c r="AO14" s="226">
        <f t="shared" si="0"/>
        <v>0</v>
      </c>
      <c r="AP14" s="229">
        <v>3</v>
      </c>
      <c r="AQ14" s="187">
        <v>1</v>
      </c>
      <c r="AR14" s="187">
        <f t="shared" si="1"/>
        <v>0.47712125471966244</v>
      </c>
      <c r="AS14" s="205">
        <v>2.1669999999999998</v>
      </c>
      <c r="AT14" s="54">
        <f>IF(AS14&lt;2.5,1,IF(AS14&gt;3.5,3,2))</f>
        <v>1</v>
      </c>
      <c r="AU14" s="187">
        <v>1</v>
      </c>
      <c r="AV14" s="187">
        <f t="shared" si="2"/>
        <v>0</v>
      </c>
      <c r="AW14" s="92" t="s">
        <v>91</v>
      </c>
      <c r="AX14" s="66" t="s">
        <v>92</v>
      </c>
      <c r="AY14" s="85">
        <v>3</v>
      </c>
      <c r="AZ14" s="246">
        <v>2</v>
      </c>
      <c r="BA14" s="206">
        <f t="shared" si="4"/>
        <v>0.95424250943932487</v>
      </c>
      <c r="BB14" s="206">
        <v>2</v>
      </c>
      <c r="BC14" s="206">
        <v>1</v>
      </c>
      <c r="BD14" s="206">
        <v>0.3010299956639812</v>
      </c>
      <c r="BE14" s="224">
        <v>2.4285714285714284</v>
      </c>
      <c r="BF14" s="187">
        <v>0.27160602408420681</v>
      </c>
      <c r="BG14" s="187">
        <v>1.8689858961124342</v>
      </c>
      <c r="BH14" s="187">
        <v>1.0400322590608564</v>
      </c>
    </row>
    <row r="15" spans="1:61" ht="16">
      <c r="A15" s="146">
        <v>13</v>
      </c>
      <c r="B15" s="99" t="s">
        <v>174</v>
      </c>
      <c r="C15" s="99" t="s">
        <v>177</v>
      </c>
      <c r="D15" t="s">
        <v>84</v>
      </c>
      <c r="E15" s="239">
        <v>2</v>
      </c>
      <c r="F15" s="187">
        <v>2</v>
      </c>
      <c r="G15" s="187">
        <v>4</v>
      </c>
      <c r="H15" s="139" t="s">
        <v>111</v>
      </c>
      <c r="I15" s="239">
        <v>2</v>
      </c>
      <c r="J15" s="187">
        <v>1</v>
      </c>
      <c r="K15" s="187">
        <v>2</v>
      </c>
      <c r="L15" s="139" t="s">
        <v>88</v>
      </c>
      <c r="M15" s="139">
        <v>3</v>
      </c>
      <c r="N15" s="139">
        <v>1</v>
      </c>
      <c r="O15" s="139">
        <v>3</v>
      </c>
      <c r="P15" s="139">
        <v>1</v>
      </c>
      <c r="Q15" s="187" t="s">
        <v>88</v>
      </c>
      <c r="R15" s="240">
        <v>2</v>
      </c>
      <c r="S15" s="187">
        <v>2</v>
      </c>
      <c r="T15" s="187">
        <v>4</v>
      </c>
      <c r="U15" s="204">
        <v>102</v>
      </c>
      <c r="V15" s="204" t="s">
        <v>88</v>
      </c>
      <c r="W15" s="239">
        <v>1</v>
      </c>
      <c r="X15" s="204">
        <v>1</v>
      </c>
      <c r="Y15" s="204">
        <v>1</v>
      </c>
      <c r="Z15" s="204"/>
      <c r="AA15" s="241">
        <v>38234</v>
      </c>
      <c r="AB15" s="187">
        <v>3</v>
      </c>
      <c r="AC15" s="187">
        <v>2</v>
      </c>
      <c r="AD15" s="240">
        <f>IF(AND(BE15&gt;=2.71, BE15&lt;=2.86, AA15&gt;23700), 1, IF(AND(BE15&gt;=2.71, BE15&lt;=2.86, AA15&gt;=6000, AA15&lt;=23700), 1, IF(AND(BE15&gt;=2.71, BE15&lt;=2.86, AA15&lt;6000), 1, IF(AND(BE15&gt;=2.57, BE15&lt;=2.71, AA15&gt;23700), 2, IF(AND(BE15&gt;=2.57, BE15&lt;=2.71, AA15&gt;=6000, AA15&lt;=23700), 2, IF(AND(BE15&gt;=2.57, BE15&lt;=2.71, AA15&lt;6000), 1, IF(AND(BE15&gt;=1, BE15&lt;=2.57, AA15&gt;23700), 3, IF(AND(BE15&gt;=1, BE15&lt;=2.71, AA15&gt;=6000, AA15&lt;=23700), 3, IF(AND(BE15&gt;=1, BE15&lt;=2.71, AA15&lt;6000), 2, 0 ) ) ) ) ) ) ) ) )</f>
        <v>3</v>
      </c>
      <c r="AE15" s="187">
        <f t="shared" si="3"/>
        <v>0.95424250943932487</v>
      </c>
      <c r="AF15" s="209">
        <v>2</v>
      </c>
      <c r="AG15" s="209">
        <v>1</v>
      </c>
      <c r="AH15" s="211">
        <v>0.3010299956639812</v>
      </c>
      <c r="AI15" s="146">
        <v>1</v>
      </c>
      <c r="AJ15" s="146">
        <v>3</v>
      </c>
      <c r="AK15" s="146">
        <v>1</v>
      </c>
      <c r="AL15" s="146">
        <v>0.47712125471966244</v>
      </c>
      <c r="AM15" s="92">
        <v>3</v>
      </c>
      <c r="AN15" s="226">
        <v>1</v>
      </c>
      <c r="AO15" s="226">
        <f t="shared" si="0"/>
        <v>0.47712125471966244</v>
      </c>
      <c r="AP15" s="229">
        <v>1</v>
      </c>
      <c r="AQ15" s="187">
        <v>1</v>
      </c>
      <c r="AR15" s="187">
        <f t="shared" si="1"/>
        <v>0</v>
      </c>
      <c r="AS15" s="205">
        <v>2.25</v>
      </c>
      <c r="AT15" s="54">
        <f>IF(AS15&lt;2.5,1,IF(AS15&gt;3.5,3,2))</f>
        <v>1</v>
      </c>
      <c r="AU15" s="187">
        <v>1</v>
      </c>
      <c r="AV15" s="187">
        <f t="shared" si="2"/>
        <v>0</v>
      </c>
      <c r="AW15" s="92" t="s">
        <v>99</v>
      </c>
      <c r="AX15" s="66" t="s">
        <v>180</v>
      </c>
      <c r="AY15" s="85">
        <v>3</v>
      </c>
      <c r="AZ15" s="246">
        <v>2</v>
      </c>
      <c r="BA15" s="206">
        <f t="shared" si="4"/>
        <v>0.95424250943932487</v>
      </c>
      <c r="BB15" s="206">
        <v>3</v>
      </c>
      <c r="BC15" s="206">
        <v>1</v>
      </c>
      <c r="BD15" s="206">
        <v>0.47712125471966244</v>
      </c>
      <c r="BE15" s="224">
        <v>2</v>
      </c>
      <c r="BF15" s="187">
        <v>0.3309889798819653</v>
      </c>
      <c r="BG15" s="187">
        <v>2.1428362264762741</v>
      </c>
      <c r="BH15" s="187">
        <v>1.5185765178437765</v>
      </c>
    </row>
    <row r="16" spans="1:61" ht="16">
      <c r="A16" s="146">
        <v>14</v>
      </c>
      <c r="B16" s="99" t="s">
        <v>181</v>
      </c>
      <c r="C16" s="99" t="s">
        <v>184</v>
      </c>
      <c r="D16" t="s">
        <v>84</v>
      </c>
      <c r="E16" s="239">
        <v>3</v>
      </c>
      <c r="F16" s="187">
        <v>2</v>
      </c>
      <c r="G16" s="187">
        <v>6</v>
      </c>
      <c r="H16" s="139" t="s">
        <v>111</v>
      </c>
      <c r="I16" s="239">
        <v>2</v>
      </c>
      <c r="J16" s="187">
        <v>1</v>
      </c>
      <c r="K16" s="187">
        <v>2</v>
      </c>
      <c r="L16" s="139" t="s">
        <v>146</v>
      </c>
      <c r="M16" s="139">
        <v>3</v>
      </c>
      <c r="N16" s="139">
        <v>1</v>
      </c>
      <c r="O16" s="139">
        <v>3</v>
      </c>
      <c r="P16" s="139">
        <v>86</v>
      </c>
      <c r="Q16" s="187" t="s">
        <v>88</v>
      </c>
      <c r="R16" s="240">
        <v>2</v>
      </c>
      <c r="S16" s="187">
        <v>2</v>
      </c>
      <c r="T16" s="187">
        <v>4</v>
      </c>
      <c r="U16" s="204">
        <v>100</v>
      </c>
      <c r="V16" s="204" t="s">
        <v>146</v>
      </c>
      <c r="W16" s="239">
        <v>1</v>
      </c>
      <c r="X16" s="204">
        <v>1</v>
      </c>
      <c r="Y16" s="204">
        <v>1</v>
      </c>
      <c r="Z16" s="204">
        <v>48</v>
      </c>
      <c r="AA16" s="241">
        <v>30754</v>
      </c>
      <c r="AB16" s="187">
        <v>3</v>
      </c>
      <c r="AC16" s="187">
        <v>2</v>
      </c>
      <c r="AD16" s="240">
        <f>IF(AND(BE16&gt;=2.71, BE16&lt;=2.86, AA16&gt;23700), 1, IF(AND(BE16&gt;=2.71, BE16&lt;=2.86, AA16&gt;=6000, AA16&lt;=23700), 1, IF(AND(BE16&gt;=2.71, BE16&lt;=2.86, AA16&lt;6000), 1, IF(AND(BE16&gt;=2.57, BE16&lt;=2.71, AA16&gt;23700), 2, IF(AND(BE16&gt;=2.57, BE16&lt;=2.71, AA16&gt;=6000, AA16&lt;=23700), 2, IF(AND(BE16&gt;=2.57, BE16&lt;=2.71, AA16&lt;6000), 1, IF(AND(BE16&gt;=1, BE16&lt;=2.57, AA16&gt;23700), 3, IF(AND(BE16&gt;=1, BE16&lt;=2.71, AA16&gt;=6000, AA16&lt;=23700), 3, IF(AND(BE16&gt;=1, BE16&lt;=2.71, AA16&lt;6000), 2, 0 ) ) ) ) ) ) ) ) )</f>
        <v>3</v>
      </c>
      <c r="AE16" s="187">
        <f t="shared" si="3"/>
        <v>0.95424250943932487</v>
      </c>
      <c r="AF16" s="209">
        <v>1</v>
      </c>
      <c r="AG16" s="209">
        <v>1</v>
      </c>
      <c r="AH16" s="211">
        <v>0</v>
      </c>
      <c r="AI16" s="146">
        <v>3</v>
      </c>
      <c r="AJ16" s="146">
        <v>2</v>
      </c>
      <c r="AK16" s="146">
        <v>1</v>
      </c>
      <c r="AL16" s="146">
        <v>0.3010299956639812</v>
      </c>
      <c r="AM16" s="92">
        <v>1</v>
      </c>
      <c r="AN16" s="226">
        <v>1</v>
      </c>
      <c r="AO16" s="226">
        <f t="shared" si="0"/>
        <v>0</v>
      </c>
      <c r="AP16" s="229">
        <v>2</v>
      </c>
      <c r="AQ16" s="187">
        <v>1</v>
      </c>
      <c r="AR16" s="187">
        <f t="shared" si="1"/>
        <v>0.3010299956639812</v>
      </c>
      <c r="AS16" s="205">
        <v>1.25</v>
      </c>
      <c r="AT16" s="54">
        <f>IF(AS16&lt;2.5,1,IF(AS16&gt;3.5,3,2))</f>
        <v>1</v>
      </c>
      <c r="AU16" s="187">
        <v>1</v>
      </c>
      <c r="AV16" s="187">
        <f t="shared" si="2"/>
        <v>0</v>
      </c>
      <c r="AW16" s="92" t="s">
        <v>99</v>
      </c>
      <c r="AX16" s="66" t="s">
        <v>137</v>
      </c>
      <c r="AY16" s="85">
        <v>2</v>
      </c>
      <c r="AZ16" s="246">
        <v>2</v>
      </c>
      <c r="BA16" s="206">
        <f t="shared" si="4"/>
        <v>0.6020599913279624</v>
      </c>
      <c r="BB16" s="206">
        <v>3</v>
      </c>
      <c r="BC16" s="206">
        <v>1</v>
      </c>
      <c r="BD16" s="206">
        <v>0.47712125471966244</v>
      </c>
      <c r="BE16" s="224">
        <v>2.2857142857142856</v>
      </c>
      <c r="BF16" s="187">
        <v>0.23958943152862841</v>
      </c>
      <c r="BG16" s="187">
        <v>1.7361587423035414</v>
      </c>
      <c r="BH16" s="187">
        <v>1.0257357240062301</v>
      </c>
    </row>
    <row r="17" spans="1:60" ht="16">
      <c r="A17" s="146">
        <v>15</v>
      </c>
      <c r="B17" s="99" t="s">
        <v>188</v>
      </c>
      <c r="C17" s="99" t="s">
        <v>152</v>
      </c>
      <c r="D17" t="s">
        <v>84</v>
      </c>
      <c r="E17" s="239">
        <v>3</v>
      </c>
      <c r="F17" s="187">
        <v>2</v>
      </c>
      <c r="G17" s="187">
        <v>6</v>
      </c>
      <c r="H17" s="139" t="s">
        <v>85</v>
      </c>
      <c r="I17" s="239">
        <v>2</v>
      </c>
      <c r="J17" s="187">
        <v>1</v>
      </c>
      <c r="K17" s="187">
        <v>2</v>
      </c>
      <c r="L17" s="139" t="s">
        <v>88</v>
      </c>
      <c r="M17" s="139">
        <v>3</v>
      </c>
      <c r="N17" s="139">
        <v>1</v>
      </c>
      <c r="O17" s="139">
        <v>3</v>
      </c>
      <c r="P17" s="139">
        <v>1</v>
      </c>
      <c r="Q17" s="187" t="s">
        <v>88</v>
      </c>
      <c r="R17" s="240">
        <v>3</v>
      </c>
      <c r="S17" s="187">
        <v>2</v>
      </c>
      <c r="T17" s="187">
        <v>6</v>
      </c>
      <c r="U17" s="204">
        <v>119</v>
      </c>
      <c r="V17" s="204" t="s">
        <v>88</v>
      </c>
      <c r="W17" s="239">
        <v>2</v>
      </c>
      <c r="X17" s="204">
        <v>1</v>
      </c>
      <c r="Y17" s="204">
        <v>2</v>
      </c>
      <c r="Z17" s="204"/>
      <c r="AA17" s="241">
        <v>29881</v>
      </c>
      <c r="AB17" s="187">
        <v>3</v>
      </c>
      <c r="AC17" s="187">
        <v>2</v>
      </c>
      <c r="AD17" s="240">
        <f>IF(AND(BE17&gt;=2.71, BE17&lt;=2.86, AA17&gt;23700), 1, IF(AND(BE17&gt;=2.71, BE17&lt;=2.86, AA17&gt;=6000, AA17&lt;=23700), 1, IF(AND(BE17&gt;=2.71, BE17&lt;=2.86, AA17&lt;6000), 1, IF(AND(BE17&gt;=2.57, BE17&lt;=2.71, AA17&gt;23700), 2, IF(AND(BE17&gt;=2.57, BE17&lt;=2.71, AA17&gt;=6000, AA17&lt;=23700), 2, IF(AND(BE17&gt;=2.57, BE17&lt;=2.71, AA17&lt;6000), 1, IF(AND(BE17&gt;=1, BE17&lt;=2.57, AA17&gt;23700), 3, IF(AND(BE17&gt;=1, BE17&lt;=2.71, AA17&gt;=6000, AA17&lt;=23700), 3, IF(AND(BE17&gt;=1, BE17&lt;=2.71, AA17&lt;6000), 2, 0 ) ) ) ) ) ) ) ) )</f>
        <v>1</v>
      </c>
      <c r="AE17" s="187">
        <f t="shared" si="3"/>
        <v>0</v>
      </c>
      <c r="AF17" s="209">
        <v>1</v>
      </c>
      <c r="AG17" s="209">
        <v>1</v>
      </c>
      <c r="AH17" s="211">
        <v>0</v>
      </c>
      <c r="AI17" s="146">
        <v>6</v>
      </c>
      <c r="AJ17" s="146">
        <v>1</v>
      </c>
      <c r="AK17" s="146">
        <v>1</v>
      </c>
      <c r="AL17" s="146">
        <v>0</v>
      </c>
      <c r="AM17" s="92">
        <v>1</v>
      </c>
      <c r="AN17" s="226">
        <v>1</v>
      </c>
      <c r="AO17" s="226">
        <f t="shared" si="0"/>
        <v>0</v>
      </c>
      <c r="AP17" s="229">
        <v>1</v>
      </c>
      <c r="AQ17" s="187">
        <v>1</v>
      </c>
      <c r="AR17" s="187">
        <f t="shared" si="1"/>
        <v>0</v>
      </c>
      <c r="AS17" s="205">
        <v>2.375</v>
      </c>
      <c r="AT17" s="54">
        <f>IF(AS17&lt;2.5,1,IF(AS17&gt;3.5,3,2))</f>
        <v>1</v>
      </c>
      <c r="AU17" s="187">
        <v>1</v>
      </c>
      <c r="AV17" s="187">
        <f t="shared" si="2"/>
        <v>0</v>
      </c>
      <c r="AW17" s="92" t="s">
        <v>99</v>
      </c>
      <c r="AX17" s="66" t="s">
        <v>92</v>
      </c>
      <c r="AY17" s="85">
        <v>3</v>
      </c>
      <c r="AZ17" s="246">
        <v>2</v>
      </c>
      <c r="BA17" s="206">
        <f t="shared" si="4"/>
        <v>0.95424250943932487</v>
      </c>
      <c r="BB17" s="206">
        <v>2</v>
      </c>
      <c r="BC17" s="206">
        <v>1</v>
      </c>
      <c r="BD17" s="206">
        <v>0.3010299956639812</v>
      </c>
      <c r="BE17" s="224">
        <v>2.7142857142857144</v>
      </c>
      <c r="BF17" s="187">
        <v>0.13947472278925621</v>
      </c>
      <c r="BG17" s="187">
        <v>1.3787157053417285</v>
      </c>
      <c r="BH17" s="187">
        <v>0.4744030338580344</v>
      </c>
    </row>
    <row r="18" spans="1:60" ht="16">
      <c r="A18" s="146">
        <v>16</v>
      </c>
      <c r="B18" s="99" t="s">
        <v>193</v>
      </c>
      <c r="C18" s="99" t="s">
        <v>83</v>
      </c>
      <c r="D18" t="s">
        <v>84</v>
      </c>
      <c r="E18" s="239">
        <v>3</v>
      </c>
      <c r="F18" s="187">
        <v>2</v>
      </c>
      <c r="G18" s="187">
        <v>6</v>
      </c>
      <c r="H18" s="139" t="s">
        <v>111</v>
      </c>
      <c r="I18" s="239">
        <v>2</v>
      </c>
      <c r="J18" s="187">
        <v>1</v>
      </c>
      <c r="K18" s="187">
        <v>2</v>
      </c>
      <c r="L18" s="139" t="s">
        <v>88</v>
      </c>
      <c r="M18" s="139">
        <v>3</v>
      </c>
      <c r="N18" s="139">
        <v>1</v>
      </c>
      <c r="O18" s="139">
        <v>3</v>
      </c>
      <c r="P18" s="139">
        <v>1</v>
      </c>
      <c r="Q18" s="187" t="s">
        <v>88</v>
      </c>
      <c r="R18" s="240">
        <v>2</v>
      </c>
      <c r="S18" s="187">
        <v>2</v>
      </c>
      <c r="T18" s="187">
        <v>4</v>
      </c>
      <c r="U18" s="204">
        <v>100</v>
      </c>
      <c r="V18" s="204" t="s">
        <v>115</v>
      </c>
      <c r="W18" s="239">
        <v>2</v>
      </c>
      <c r="X18" s="204">
        <v>1</v>
      </c>
      <c r="Y18" s="204">
        <v>2</v>
      </c>
      <c r="Z18" s="204">
        <v>62</v>
      </c>
      <c r="AA18" s="241">
        <v>27577</v>
      </c>
      <c r="AB18" s="187">
        <v>3</v>
      </c>
      <c r="AC18" s="187">
        <v>2</v>
      </c>
      <c r="AD18" s="240">
        <f>IF(AND(BE18&gt;=2.71, BE18&lt;=2.86, AA18&gt;23700), 1, IF(AND(BE18&gt;=2.71, BE18&lt;=2.86, AA18&gt;=6000, AA18&lt;=23700), 1, IF(AND(BE18&gt;=2.71, BE18&lt;=2.86, AA18&lt;6000), 1, IF(AND(BE18&gt;=2.57, BE18&lt;=2.71, AA18&gt;23700), 2, IF(AND(BE18&gt;=2.57, BE18&lt;=2.71, AA18&gt;=6000, AA18&lt;=23700), 2, IF(AND(BE18&gt;=2.57, BE18&lt;=2.71, AA18&lt;6000), 1, IF(AND(BE18&gt;=1, BE18&lt;=2.57, AA18&gt;23700), 3, IF(AND(BE18&gt;=1, BE18&lt;=2.71, AA18&gt;=6000, AA18&lt;=23700), 3, IF(AND(BE18&gt;=1, BE18&lt;=2.71, AA18&lt;6000), 2, 0 ) ) ) ) ) ) ) ) )</f>
        <v>3</v>
      </c>
      <c r="AE18" s="187">
        <f t="shared" si="3"/>
        <v>0.95424250943932487</v>
      </c>
      <c r="AF18" s="209">
        <v>3</v>
      </c>
      <c r="AG18" s="209">
        <v>1</v>
      </c>
      <c r="AH18" s="211">
        <v>0.47712125471966244</v>
      </c>
      <c r="AI18" s="146">
        <v>6</v>
      </c>
      <c r="AJ18" s="146">
        <v>1</v>
      </c>
      <c r="AK18" s="146">
        <v>1</v>
      </c>
      <c r="AL18" s="146">
        <v>0</v>
      </c>
      <c r="AM18" s="92">
        <v>1</v>
      </c>
      <c r="AN18" s="226">
        <v>1</v>
      </c>
      <c r="AO18" s="226">
        <f t="shared" si="0"/>
        <v>0</v>
      </c>
      <c r="AP18" s="229">
        <v>2</v>
      </c>
      <c r="AQ18" s="187">
        <v>1</v>
      </c>
      <c r="AR18" s="187">
        <f t="shared" si="1"/>
        <v>0.3010299956639812</v>
      </c>
      <c r="AS18" s="205">
        <v>1.375</v>
      </c>
      <c r="AT18" s="54">
        <f>IF(AS18&lt;2.5,1,IF(AS18&gt;3.5,3,2))</f>
        <v>1</v>
      </c>
      <c r="AU18" s="187">
        <v>1</v>
      </c>
      <c r="AV18" s="187">
        <f t="shared" si="2"/>
        <v>0</v>
      </c>
      <c r="AW18" s="92" t="s">
        <v>99</v>
      </c>
      <c r="AX18" s="66" t="s">
        <v>106</v>
      </c>
      <c r="AY18" s="85">
        <v>3</v>
      </c>
      <c r="AZ18" s="246">
        <v>2</v>
      </c>
      <c r="BA18" s="206">
        <f t="shared" si="4"/>
        <v>0.95424250943932487</v>
      </c>
      <c r="BB18" s="206">
        <v>2</v>
      </c>
      <c r="BC18" s="206">
        <v>1</v>
      </c>
      <c r="BD18" s="206">
        <v>0.3010299956639812</v>
      </c>
      <c r="BE18" s="224">
        <v>2.4285714285714284</v>
      </c>
      <c r="BF18" s="187">
        <v>0.27160602408420681</v>
      </c>
      <c r="BG18" s="187">
        <v>1.8689858961124342</v>
      </c>
      <c r="BH18" s="187">
        <v>1.0400322590608564</v>
      </c>
    </row>
    <row r="19" spans="1:60" ht="16">
      <c r="A19" s="146">
        <v>17</v>
      </c>
      <c r="B19" s="99" t="s">
        <v>198</v>
      </c>
      <c r="C19" s="99" t="s">
        <v>132</v>
      </c>
      <c r="D19" t="s">
        <v>84</v>
      </c>
      <c r="E19" s="239">
        <v>3</v>
      </c>
      <c r="F19" s="187">
        <v>2</v>
      </c>
      <c r="G19" s="187">
        <v>6</v>
      </c>
      <c r="H19" s="139" t="s">
        <v>111</v>
      </c>
      <c r="I19" s="239">
        <v>2</v>
      </c>
      <c r="J19" s="187">
        <v>1</v>
      </c>
      <c r="K19" s="187">
        <v>2</v>
      </c>
      <c r="L19" s="139" t="s">
        <v>146</v>
      </c>
      <c r="M19" s="139">
        <v>3</v>
      </c>
      <c r="N19" s="139">
        <v>1</v>
      </c>
      <c r="O19" s="139">
        <v>3</v>
      </c>
      <c r="P19" s="139">
        <v>86</v>
      </c>
      <c r="Q19" s="187" t="s">
        <v>115</v>
      </c>
      <c r="R19" s="240">
        <v>3</v>
      </c>
      <c r="S19" s="187">
        <v>2</v>
      </c>
      <c r="T19" s="187">
        <v>6</v>
      </c>
      <c r="U19" s="204" t="s">
        <v>202</v>
      </c>
      <c r="V19" s="204" t="s">
        <v>115</v>
      </c>
      <c r="W19" s="239">
        <v>1</v>
      </c>
      <c r="X19" s="204">
        <v>1</v>
      </c>
      <c r="Y19" s="204">
        <v>1</v>
      </c>
      <c r="Z19" s="204">
        <v>71</v>
      </c>
      <c r="AA19" s="241">
        <v>27010</v>
      </c>
      <c r="AB19" s="187">
        <v>3</v>
      </c>
      <c r="AC19" s="187">
        <v>2</v>
      </c>
      <c r="AD19" s="240">
        <f>IF(AND(BE19&gt;=2.71, BE19&lt;=2.86, AA19&gt;23700), 1, IF(AND(BE19&gt;=2.71, BE19&lt;=2.86, AA19&gt;=6000, AA19&lt;=23700), 1, IF(AND(BE19&gt;=2.71, BE19&lt;=2.86, AA19&lt;6000), 1, IF(AND(BE19&gt;=2.57, BE19&lt;=2.71, AA19&gt;23700), 2, IF(AND(BE19&gt;=2.57, BE19&lt;=2.71, AA19&gt;=6000, AA19&lt;=23700), 2, IF(AND(BE19&gt;=2.57, BE19&lt;=2.71, AA19&lt;6000), 1, IF(AND(BE19&gt;=1, BE19&lt;=2.57, AA19&gt;23700), 3, IF(AND(BE19&gt;=1, BE19&lt;=2.71, AA19&gt;=6000, AA19&lt;=23700), 3, IF(AND(BE19&gt;=1, BE19&lt;=2.71, AA19&lt;6000), 2, 0 ) ) ) ) ) ) ) ) )</f>
        <v>2</v>
      </c>
      <c r="AE19" s="187">
        <f t="shared" si="3"/>
        <v>0.6020599913279624</v>
      </c>
      <c r="AF19" s="209">
        <v>1</v>
      </c>
      <c r="AG19" s="209">
        <v>1</v>
      </c>
      <c r="AH19" s="211">
        <v>0</v>
      </c>
      <c r="AI19" s="146">
        <v>4</v>
      </c>
      <c r="AJ19" s="146">
        <v>2</v>
      </c>
      <c r="AK19" s="146">
        <v>1</v>
      </c>
      <c r="AL19" s="146">
        <v>0.3010299956639812</v>
      </c>
      <c r="AM19" s="92">
        <v>1</v>
      </c>
      <c r="AN19" s="226">
        <v>1</v>
      </c>
      <c r="AO19" s="226">
        <f t="shared" si="0"/>
        <v>0</v>
      </c>
      <c r="AP19" s="229">
        <v>1</v>
      </c>
      <c r="AQ19" s="187">
        <v>1</v>
      </c>
      <c r="AR19" s="187">
        <f t="shared" si="1"/>
        <v>0</v>
      </c>
      <c r="AS19" s="205">
        <v>2.5</v>
      </c>
      <c r="AT19" s="54">
        <f>IF(AS19&lt;2.5,1,IF(AS19&gt;3.5,3,2))</f>
        <v>2</v>
      </c>
      <c r="AU19" s="187">
        <v>1</v>
      </c>
      <c r="AV19" s="187">
        <f t="shared" si="2"/>
        <v>0.3010299956639812</v>
      </c>
      <c r="AW19" s="92" t="s">
        <v>99</v>
      </c>
      <c r="AX19" s="66" t="s">
        <v>137</v>
      </c>
      <c r="AY19" s="85">
        <v>2</v>
      </c>
      <c r="AZ19" s="246">
        <v>2</v>
      </c>
      <c r="BA19" s="206">
        <f t="shared" si="4"/>
        <v>0.6020599913279624</v>
      </c>
      <c r="BB19" s="206">
        <v>3</v>
      </c>
      <c r="BC19" s="206">
        <v>1</v>
      </c>
      <c r="BD19" s="206">
        <v>0.47712125471966244</v>
      </c>
      <c r="BE19" s="224">
        <v>2.5714285714285716</v>
      </c>
      <c r="BF19" s="187">
        <v>0.22833012287035498</v>
      </c>
      <c r="BG19" s="187">
        <v>1.6917263851493574</v>
      </c>
      <c r="BH19" s="187">
        <v>0.8137314429832192</v>
      </c>
    </row>
    <row r="20" spans="1:60" ht="16">
      <c r="A20" s="146">
        <v>18</v>
      </c>
      <c r="B20" s="99" t="s">
        <v>204</v>
      </c>
      <c r="C20" s="99" t="s">
        <v>184</v>
      </c>
      <c r="D20" t="s">
        <v>84</v>
      </c>
      <c r="E20" s="239">
        <v>3</v>
      </c>
      <c r="F20" s="187">
        <v>2</v>
      </c>
      <c r="G20" s="187">
        <v>6</v>
      </c>
      <c r="H20" s="139" t="s">
        <v>111</v>
      </c>
      <c r="I20" s="239">
        <v>1</v>
      </c>
      <c r="J20" s="187">
        <v>1</v>
      </c>
      <c r="K20" s="187">
        <v>1</v>
      </c>
      <c r="L20" s="139" t="s">
        <v>88</v>
      </c>
      <c r="M20" s="139">
        <v>3</v>
      </c>
      <c r="N20" s="139">
        <v>1</v>
      </c>
      <c r="O20" s="139">
        <v>3</v>
      </c>
      <c r="P20" s="139">
        <v>1</v>
      </c>
      <c r="Q20" s="187" t="s">
        <v>88</v>
      </c>
      <c r="R20" s="240">
        <v>3</v>
      </c>
      <c r="S20" s="187">
        <v>2</v>
      </c>
      <c r="T20" s="187">
        <v>6</v>
      </c>
      <c r="U20" s="204">
        <v>1</v>
      </c>
      <c r="V20" s="204" t="s">
        <v>146</v>
      </c>
      <c r="W20" s="239">
        <v>2</v>
      </c>
      <c r="X20" s="204">
        <v>1</v>
      </c>
      <c r="Y20" s="204">
        <v>2</v>
      </c>
      <c r="Z20" s="204">
        <v>176</v>
      </c>
      <c r="AA20" s="241">
        <v>26423</v>
      </c>
      <c r="AB20" s="187">
        <v>3</v>
      </c>
      <c r="AC20" s="187">
        <v>2</v>
      </c>
      <c r="AD20" s="240">
        <f>IF(AND(BE20&gt;=2.71, BE20&lt;=2.86, AA20&gt;23700), 1, IF(AND(BE20&gt;=2.71, BE20&lt;=2.86, AA20&gt;=6000, AA20&lt;=23700), 1, IF(AND(BE20&gt;=2.71, BE20&lt;=2.86, AA20&lt;6000), 1, IF(AND(BE20&gt;=2.57, BE20&lt;=2.71, AA20&gt;23700), 2, IF(AND(BE20&gt;=2.57, BE20&lt;=2.71, AA20&gt;=6000, AA20&lt;=23700), 2, IF(AND(BE20&gt;=2.57, BE20&lt;=2.71, AA20&lt;6000), 1, IF(AND(BE20&gt;=1, BE20&lt;=2.57, AA20&gt;23700), 3, IF(AND(BE20&gt;=1, BE20&lt;=2.71, AA20&gt;=6000, AA20&lt;=23700), 3, IF(AND(BE20&gt;=1, BE20&lt;=2.71, AA20&lt;6000), 2, 0 ) ) ) ) ) ) ) ) )</f>
        <v>2</v>
      </c>
      <c r="AE20" s="187">
        <f t="shared" si="3"/>
        <v>0.6020599913279624</v>
      </c>
      <c r="AF20" s="209">
        <v>1</v>
      </c>
      <c r="AG20" s="209">
        <v>1</v>
      </c>
      <c r="AH20" s="211">
        <v>0</v>
      </c>
      <c r="AI20" s="146">
        <v>5</v>
      </c>
      <c r="AJ20" s="146">
        <v>1</v>
      </c>
      <c r="AK20" s="146">
        <v>1</v>
      </c>
      <c r="AL20" s="146">
        <v>0</v>
      </c>
      <c r="AM20" s="92">
        <v>1</v>
      </c>
      <c r="AN20" s="226">
        <v>1</v>
      </c>
      <c r="AO20" s="226">
        <f t="shared" si="0"/>
        <v>0</v>
      </c>
      <c r="AP20" s="279">
        <v>2</v>
      </c>
      <c r="AQ20" s="264">
        <v>1</v>
      </c>
      <c r="AR20" s="264">
        <f t="shared" si="1"/>
        <v>0.3010299956639812</v>
      </c>
      <c r="AS20" s="205">
        <v>2</v>
      </c>
      <c r="AT20" s="54">
        <f>IF(AS20&lt;2.5,1,IF(AS20&gt;3.5,3,2))</f>
        <v>1</v>
      </c>
      <c r="AU20" s="187">
        <v>1</v>
      </c>
      <c r="AV20" s="187">
        <f t="shared" si="2"/>
        <v>0</v>
      </c>
      <c r="AW20" s="92" t="s">
        <v>99</v>
      </c>
      <c r="AX20" s="66" t="s">
        <v>106</v>
      </c>
      <c r="AY20" s="85">
        <v>3</v>
      </c>
      <c r="AZ20" s="246">
        <v>2</v>
      </c>
      <c r="BA20" s="206">
        <f t="shared" si="4"/>
        <v>0.95424250943932487</v>
      </c>
      <c r="BB20" s="206">
        <v>2</v>
      </c>
      <c r="BC20" s="206">
        <v>1</v>
      </c>
      <c r="BD20" s="206">
        <v>0.3010299956639812</v>
      </c>
      <c r="BE20" s="224">
        <v>2.5714285714285716</v>
      </c>
      <c r="BF20" s="187">
        <v>0.21583624920952499</v>
      </c>
      <c r="BG20" s="187">
        <v>1.643751829517226</v>
      </c>
      <c r="BH20" s="187">
        <v>0.77336271399294299</v>
      </c>
    </row>
    <row r="21" spans="1:60" ht="16">
      <c r="A21" s="146">
        <v>19</v>
      </c>
      <c r="B21" s="237" t="s">
        <v>210</v>
      </c>
      <c r="C21" s="38" t="s">
        <v>177</v>
      </c>
      <c r="D21" t="s">
        <v>84</v>
      </c>
      <c r="E21" s="239">
        <v>2</v>
      </c>
      <c r="F21" s="45">
        <v>2</v>
      </c>
      <c r="G21" s="45">
        <f>E21*F21</f>
        <v>4</v>
      </c>
      <c r="H21" s="139" t="s">
        <v>161</v>
      </c>
      <c r="I21" s="239">
        <v>3</v>
      </c>
      <c r="J21" s="45">
        <v>1</v>
      </c>
      <c r="K21" s="45">
        <f>I21*J21</f>
        <v>3</v>
      </c>
      <c r="L21" s="78" t="s">
        <v>88</v>
      </c>
      <c r="M21" s="78">
        <v>3</v>
      </c>
      <c r="N21" s="78">
        <v>1</v>
      </c>
      <c r="O21" s="78">
        <f>M21*N21</f>
        <v>3</v>
      </c>
      <c r="P21" s="78">
        <v>1</v>
      </c>
      <c r="Q21" s="53" t="s">
        <v>146</v>
      </c>
      <c r="R21" s="271">
        <v>3</v>
      </c>
      <c r="S21" s="272">
        <v>2</v>
      </c>
      <c r="T21" s="272">
        <f>R21*S21</f>
        <v>6</v>
      </c>
      <c r="U21" s="42" t="s">
        <v>215</v>
      </c>
      <c r="V21" s="42" t="s">
        <v>88</v>
      </c>
      <c r="W21" s="261">
        <v>1</v>
      </c>
      <c r="X21" s="273">
        <v>1</v>
      </c>
      <c r="Y21" s="273">
        <f>W21*X21</f>
        <v>1</v>
      </c>
      <c r="Z21" s="42"/>
      <c r="AA21" s="241">
        <v>26164</v>
      </c>
      <c r="AB21" s="187">
        <v>3</v>
      </c>
      <c r="AC21" s="187">
        <v>2</v>
      </c>
      <c r="AD21" s="240">
        <f>IF(AND(BE21&gt;=2.71, BE21&lt;=2.86, AA21&gt;23700), 1, IF(AND(BE21&gt;=2.71, BE21&lt;=2.86, AA21&gt;=6000, AA21&lt;=23700), 1, IF(AND(BE21&gt;=2.71, BE21&lt;=2.86, AA21&lt;6000), 1, IF(AND(BE21&gt;=2.57, BE21&lt;=2.71, AA21&gt;23700), 2, IF(AND(BE21&gt;=2.57, BE21&lt;=2.71, AA21&gt;=6000, AA21&lt;=23700), 2, IF(AND(BE21&gt;=2.57, BE21&lt;=2.71, AA21&lt;6000), 1, IF(AND(BE21&gt;=1, BE21&lt;=2.57, AA21&gt;23700), 3, IF(AND(BE21&gt;=1, BE21&lt;=2.71, AA21&gt;=6000, AA21&lt;=23700), 3, IF(AND(BE21&gt;=1, BE21&lt;=2.71, AA21&lt;6000), 2, 0 ) ) ) ) ) ) ) ) )</f>
        <v>3</v>
      </c>
      <c r="AE21" s="187">
        <f t="shared" si="3"/>
        <v>0.95424250943932487</v>
      </c>
      <c r="AF21" s="209">
        <v>1</v>
      </c>
      <c r="AG21" s="209">
        <v>1</v>
      </c>
      <c r="AH21" s="211">
        <v>0</v>
      </c>
      <c r="AI21" s="146">
        <v>6</v>
      </c>
      <c r="AJ21" s="146">
        <v>1</v>
      </c>
      <c r="AK21" s="146">
        <v>1</v>
      </c>
      <c r="AL21" s="146">
        <v>0</v>
      </c>
      <c r="AM21" s="92">
        <v>3</v>
      </c>
      <c r="AN21" s="226">
        <v>1</v>
      </c>
      <c r="AO21" s="226">
        <f t="shared" si="0"/>
        <v>0.47712125471966244</v>
      </c>
      <c r="AP21" s="280">
        <v>1</v>
      </c>
      <c r="AQ21" s="262">
        <v>1</v>
      </c>
      <c r="AR21" s="264">
        <f t="shared" si="1"/>
        <v>0</v>
      </c>
      <c r="AS21" s="64">
        <v>2</v>
      </c>
      <c r="AT21" s="54">
        <f>IF(AS21&lt;2.5,1,IF(AS21&gt;3.5,3,2))</f>
        <v>1</v>
      </c>
      <c r="AU21" s="45">
        <v>1</v>
      </c>
      <c r="AV21" s="187">
        <f t="shared" si="2"/>
        <v>0</v>
      </c>
      <c r="AW21" s="61" t="s">
        <v>91</v>
      </c>
      <c r="AX21" s="66" t="s">
        <v>216</v>
      </c>
      <c r="AY21" s="67">
        <v>3</v>
      </c>
      <c r="AZ21" s="247">
        <v>2</v>
      </c>
      <c r="BA21" s="68">
        <f t="shared" si="4"/>
        <v>0.95424250943932487</v>
      </c>
      <c r="BB21" s="206">
        <v>2</v>
      </c>
      <c r="BC21" s="206">
        <v>1</v>
      </c>
      <c r="BD21" s="206">
        <v>0.3010299956639812</v>
      </c>
      <c r="BE21" s="224">
        <v>2.4285714285714284</v>
      </c>
      <c r="BF21" s="187">
        <v>0.24423966084202667</v>
      </c>
      <c r="BG21" s="187">
        <v>1.7548486294507331</v>
      </c>
      <c r="BH21" s="187">
        <v>0.94674551260016448</v>
      </c>
    </row>
    <row r="22" spans="1:60" ht="16">
      <c r="A22" s="146">
        <v>20</v>
      </c>
      <c r="B22" s="99" t="s">
        <v>217</v>
      </c>
      <c r="C22" s="99" t="s">
        <v>83</v>
      </c>
      <c r="D22" t="s">
        <v>84</v>
      </c>
      <c r="E22" s="239">
        <v>3</v>
      </c>
      <c r="F22" s="187">
        <v>2</v>
      </c>
      <c r="G22" s="187">
        <v>6</v>
      </c>
      <c r="H22" s="139" t="s">
        <v>103</v>
      </c>
      <c r="I22" s="239">
        <v>2</v>
      </c>
      <c r="J22" s="187">
        <v>1</v>
      </c>
      <c r="K22" s="187">
        <v>2</v>
      </c>
      <c r="L22" s="139" t="s">
        <v>88</v>
      </c>
      <c r="M22" s="139">
        <v>3</v>
      </c>
      <c r="N22" s="139">
        <v>1</v>
      </c>
      <c r="O22" s="139">
        <v>3</v>
      </c>
      <c r="P22" s="139">
        <v>1</v>
      </c>
      <c r="Q22" s="187" t="s">
        <v>146</v>
      </c>
      <c r="R22" s="240">
        <v>3</v>
      </c>
      <c r="S22" s="187">
        <v>2</v>
      </c>
      <c r="T22" s="187">
        <v>6</v>
      </c>
      <c r="U22" s="204" t="s">
        <v>220</v>
      </c>
      <c r="V22" s="204" t="s">
        <v>88</v>
      </c>
      <c r="W22" s="239">
        <v>2</v>
      </c>
      <c r="X22" s="204">
        <v>1</v>
      </c>
      <c r="Y22" s="204">
        <v>2</v>
      </c>
      <c r="Z22" s="204"/>
      <c r="AA22" s="241">
        <v>25714</v>
      </c>
      <c r="AB22" s="187">
        <v>3</v>
      </c>
      <c r="AC22" s="187">
        <v>2</v>
      </c>
      <c r="AD22" s="240">
        <f>IF(AND(BE22&gt;=2.71, BE22&lt;=2.86, AA22&gt;23700), 1, IF(AND(BE22&gt;=2.71, BE22&lt;=2.86, AA22&gt;=6000, AA22&lt;=23700), 1, IF(AND(BE22&gt;=2.71, BE22&lt;=2.86, AA22&lt;6000), 1, IF(AND(BE22&gt;=2.57, BE22&lt;=2.71, AA22&gt;23700), 2, IF(AND(BE22&gt;=2.57, BE22&lt;=2.71, AA22&gt;=6000, AA22&lt;=23700), 2, IF(AND(BE22&gt;=2.57, BE22&lt;=2.71, AA22&lt;6000), 1, IF(AND(BE22&gt;=1, BE22&lt;=2.57, AA22&gt;23700), 3, IF(AND(BE22&gt;=1, BE22&lt;=2.71, AA22&gt;=6000, AA22&lt;=23700), 3, IF(AND(BE22&gt;=1, BE22&lt;=2.71, AA22&lt;6000), 2, 0 ) ) ) ) ) ) ) ) )</f>
        <v>1</v>
      </c>
      <c r="AE22" s="187">
        <f t="shared" si="3"/>
        <v>0</v>
      </c>
      <c r="AF22" s="209">
        <v>2</v>
      </c>
      <c r="AG22" s="209">
        <v>1</v>
      </c>
      <c r="AH22" s="211">
        <v>0.3010299956639812</v>
      </c>
      <c r="AI22" s="146">
        <v>5</v>
      </c>
      <c r="AJ22" s="146">
        <v>1</v>
      </c>
      <c r="AK22" s="146">
        <v>1</v>
      </c>
      <c r="AL22" s="146">
        <v>0</v>
      </c>
      <c r="AM22" s="92">
        <v>1</v>
      </c>
      <c r="AN22" s="226">
        <v>1</v>
      </c>
      <c r="AO22" s="226">
        <f t="shared" si="0"/>
        <v>0</v>
      </c>
      <c r="AP22" s="229">
        <v>2</v>
      </c>
      <c r="AQ22" s="187">
        <v>1</v>
      </c>
      <c r="AR22" s="187">
        <f t="shared" si="1"/>
        <v>0.3010299956639812</v>
      </c>
      <c r="AS22" s="205">
        <v>1.5</v>
      </c>
      <c r="AT22" s="54">
        <f>IF(AS22&lt;2.5,1,IF(AS22&gt;3.5,3,2))</f>
        <v>1</v>
      </c>
      <c r="AU22" s="187">
        <v>1</v>
      </c>
      <c r="AV22" s="187">
        <f t="shared" si="2"/>
        <v>0</v>
      </c>
      <c r="AW22" s="92" t="s">
        <v>99</v>
      </c>
      <c r="AX22" s="66">
        <v>2</v>
      </c>
      <c r="AY22" s="85">
        <v>3</v>
      </c>
      <c r="AZ22" s="246">
        <v>2</v>
      </c>
      <c r="BA22" s="206">
        <f t="shared" si="4"/>
        <v>0.95424250943932487</v>
      </c>
      <c r="BB22" s="206">
        <v>2</v>
      </c>
      <c r="BC22" s="206">
        <v>1</v>
      </c>
      <c r="BD22" s="206">
        <v>0.3010299956639812</v>
      </c>
      <c r="BE22" s="224">
        <v>2.7142857142857144</v>
      </c>
      <c r="BF22" s="187">
        <v>0.20637027738125205</v>
      </c>
      <c r="BG22" s="187">
        <v>1.6083119076007948</v>
      </c>
      <c r="BH22" s="187">
        <v>0.67206847120672331</v>
      </c>
    </row>
    <row r="23" spans="1:60" ht="16">
      <c r="A23" s="146">
        <v>21</v>
      </c>
      <c r="B23" s="99" t="s">
        <v>221</v>
      </c>
      <c r="C23" s="99" t="s">
        <v>224</v>
      </c>
      <c r="D23" t="s">
        <v>84</v>
      </c>
      <c r="E23" s="239">
        <v>3</v>
      </c>
      <c r="F23" s="187">
        <v>2</v>
      </c>
      <c r="G23" s="187">
        <v>6</v>
      </c>
      <c r="H23" s="139" t="s">
        <v>111</v>
      </c>
      <c r="I23" s="239">
        <v>2</v>
      </c>
      <c r="J23" s="187">
        <v>1</v>
      </c>
      <c r="K23" s="187">
        <v>2</v>
      </c>
      <c r="L23" s="139" t="s">
        <v>88</v>
      </c>
      <c r="M23" s="139">
        <v>3</v>
      </c>
      <c r="N23" s="139">
        <v>1</v>
      </c>
      <c r="O23" s="139">
        <v>3</v>
      </c>
      <c r="P23" s="139">
        <v>98</v>
      </c>
      <c r="Q23" s="187" t="s">
        <v>146</v>
      </c>
      <c r="R23" s="240">
        <v>3</v>
      </c>
      <c r="S23" s="187">
        <v>2</v>
      </c>
      <c r="T23" s="187">
        <v>6</v>
      </c>
      <c r="U23" s="251" t="s">
        <v>226</v>
      </c>
      <c r="V23" s="204" t="s">
        <v>115</v>
      </c>
      <c r="W23" s="239">
        <v>1</v>
      </c>
      <c r="X23" s="204">
        <v>1</v>
      </c>
      <c r="Y23" s="204">
        <v>1</v>
      </c>
      <c r="Z23" s="204">
        <v>72</v>
      </c>
      <c r="AA23" s="241">
        <v>25172</v>
      </c>
      <c r="AB23" s="187">
        <v>3</v>
      </c>
      <c r="AC23" s="187">
        <v>2</v>
      </c>
      <c r="AD23" s="240">
        <f>IF(AND(BE23&gt;=2.71, BE23&lt;=2.86, AA23&gt;23700), 1, IF(AND(BE23&gt;=2.71, BE23&lt;=2.86, AA23&gt;=6000, AA23&lt;=23700), 1, IF(AND(BE23&gt;=2.71, BE23&lt;=2.86, AA23&lt;6000), 1, IF(AND(BE23&gt;=2.57, BE23&lt;=2.71, AA23&gt;23700), 2, IF(AND(BE23&gt;=2.57, BE23&lt;=2.71, AA23&gt;=6000, AA23&lt;=23700), 2, IF(AND(BE23&gt;=2.57, BE23&lt;=2.71, AA23&lt;6000), 1, IF(AND(BE23&gt;=1, BE23&lt;=2.57, AA23&gt;23700), 3, IF(AND(BE23&gt;=1, BE23&lt;=2.71, AA23&gt;=6000, AA23&lt;=23700), 3, IF(AND(BE23&gt;=1, BE23&lt;=2.71, AA23&lt;6000), 2, 0 ) ) ) ) ) ) ) ) )</f>
        <v>2</v>
      </c>
      <c r="AE23" s="187">
        <f t="shared" si="3"/>
        <v>0.6020599913279624</v>
      </c>
      <c r="AF23" s="209">
        <v>1</v>
      </c>
      <c r="AG23" s="209">
        <v>1</v>
      </c>
      <c r="AH23" s="211">
        <v>0</v>
      </c>
      <c r="AI23" s="146">
        <v>2</v>
      </c>
      <c r="AJ23" s="146">
        <v>3</v>
      </c>
      <c r="AK23" s="146">
        <v>1</v>
      </c>
      <c r="AL23" s="146">
        <v>0.47712125471966244</v>
      </c>
      <c r="AM23" s="92">
        <v>1</v>
      </c>
      <c r="AN23" s="226">
        <v>1</v>
      </c>
      <c r="AO23" s="226">
        <f t="shared" si="0"/>
        <v>0</v>
      </c>
      <c r="AP23" s="229">
        <v>1</v>
      </c>
      <c r="AQ23" s="187">
        <v>1</v>
      </c>
      <c r="AR23" s="187">
        <f t="shared" si="1"/>
        <v>0</v>
      </c>
      <c r="AS23" s="205">
        <v>1.5</v>
      </c>
      <c r="AT23" s="54">
        <f>IF(AS23&lt;2.5,1,IF(AS23&gt;3.5,3,2))</f>
        <v>1</v>
      </c>
      <c r="AU23" s="187">
        <v>1</v>
      </c>
      <c r="AV23" s="187">
        <f t="shared" si="2"/>
        <v>0</v>
      </c>
      <c r="AW23" s="92" t="s">
        <v>99</v>
      </c>
      <c r="AX23" s="66" t="s">
        <v>92</v>
      </c>
      <c r="AY23" s="85">
        <v>3</v>
      </c>
      <c r="AZ23" s="246">
        <v>2</v>
      </c>
      <c r="BA23" s="206">
        <f t="shared" si="4"/>
        <v>0.95424250943932487</v>
      </c>
      <c r="BB23" s="206">
        <v>3</v>
      </c>
      <c r="BC23" s="206">
        <v>1</v>
      </c>
      <c r="BD23" s="206">
        <v>0.47712125471966244</v>
      </c>
      <c r="BE23" s="224">
        <v>2.5714285714285716</v>
      </c>
      <c r="BF23" s="187">
        <v>0.25105450102066124</v>
      </c>
      <c r="BG23" s="187">
        <v>1.7826024579660036</v>
      </c>
      <c r="BH23" s="187">
        <v>0.89226681917584794</v>
      </c>
    </row>
    <row r="24" spans="1:60" ht="16">
      <c r="A24" s="146">
        <v>22</v>
      </c>
      <c r="B24" s="99" t="s">
        <v>229</v>
      </c>
      <c r="C24" s="99" t="s">
        <v>83</v>
      </c>
      <c r="D24" t="s">
        <v>84</v>
      </c>
      <c r="E24" s="239">
        <v>3</v>
      </c>
      <c r="F24" s="187">
        <v>2</v>
      </c>
      <c r="G24" s="187">
        <v>6</v>
      </c>
      <c r="H24" s="139" t="s">
        <v>103</v>
      </c>
      <c r="I24" s="239">
        <v>2</v>
      </c>
      <c r="J24" s="187">
        <v>1</v>
      </c>
      <c r="K24" s="187">
        <v>2</v>
      </c>
      <c r="L24" s="139" t="s">
        <v>88</v>
      </c>
      <c r="M24" s="139">
        <v>3</v>
      </c>
      <c r="N24" s="139">
        <v>1</v>
      </c>
      <c r="O24" s="139">
        <v>3</v>
      </c>
      <c r="P24" s="139">
        <v>1</v>
      </c>
      <c r="Q24" s="187" t="s">
        <v>115</v>
      </c>
      <c r="R24" s="240">
        <v>3</v>
      </c>
      <c r="S24" s="187">
        <v>2</v>
      </c>
      <c r="T24" s="187">
        <v>6</v>
      </c>
      <c r="U24" s="204">
        <v>99</v>
      </c>
      <c r="V24" s="204" t="s">
        <v>88</v>
      </c>
      <c r="W24" s="239">
        <v>2</v>
      </c>
      <c r="X24" s="204">
        <v>1</v>
      </c>
      <c r="Y24" s="204">
        <v>2</v>
      </c>
      <c r="Z24" s="204"/>
      <c r="AA24" s="241">
        <v>24646</v>
      </c>
      <c r="AB24" s="187">
        <v>3</v>
      </c>
      <c r="AC24" s="187">
        <v>2</v>
      </c>
      <c r="AD24" s="240">
        <f>IF(AND(BE24&gt;=2.71, BE24&lt;=2.86, AA24&gt;23700), 1, IF(AND(BE24&gt;=2.71, BE24&lt;=2.86, AA24&gt;=6000, AA24&lt;=23700), 1, IF(AND(BE24&gt;=2.71, BE24&lt;=2.86, AA24&lt;6000), 1, IF(AND(BE24&gt;=2.57, BE24&lt;=2.71, AA24&gt;23700), 2, IF(AND(BE24&gt;=2.57, BE24&lt;=2.71, AA24&gt;=6000, AA24&lt;=23700), 2, IF(AND(BE24&gt;=2.57, BE24&lt;=2.71, AA24&lt;6000), 1, IF(AND(BE24&gt;=1, BE24&lt;=2.57, AA24&gt;23700), 3, IF(AND(BE24&gt;=1, BE24&lt;=2.71, AA24&gt;=6000, AA24&lt;=23700), 3, IF(AND(BE24&gt;=1, BE24&lt;=2.71, AA24&lt;6000), 2, 0 ) ) ) ) ) ) ) ) )</f>
        <v>1</v>
      </c>
      <c r="AE24" s="187">
        <f t="shared" si="3"/>
        <v>0</v>
      </c>
      <c r="AF24" s="209">
        <v>2</v>
      </c>
      <c r="AG24" s="209">
        <v>1</v>
      </c>
      <c r="AH24" s="211">
        <v>0.3010299956639812</v>
      </c>
      <c r="AI24" s="146">
        <v>6</v>
      </c>
      <c r="AJ24" s="146">
        <v>1</v>
      </c>
      <c r="AK24" s="146">
        <v>1</v>
      </c>
      <c r="AL24" s="146">
        <v>0</v>
      </c>
      <c r="AM24" s="92">
        <v>1</v>
      </c>
      <c r="AN24" s="226">
        <v>1</v>
      </c>
      <c r="AO24" s="226">
        <f t="shared" si="0"/>
        <v>0</v>
      </c>
      <c r="AP24" s="229">
        <v>1</v>
      </c>
      <c r="AQ24" s="187">
        <v>1</v>
      </c>
      <c r="AR24" s="187">
        <f t="shared" si="1"/>
        <v>0</v>
      </c>
      <c r="AS24" s="205">
        <v>1.25</v>
      </c>
      <c r="AT24" s="54">
        <f>IF(AS24&lt;2.5,1,IF(AS24&gt;3.5,3,2))</f>
        <v>1</v>
      </c>
      <c r="AU24" s="187">
        <v>1</v>
      </c>
      <c r="AV24" s="187">
        <f t="shared" si="2"/>
        <v>0</v>
      </c>
      <c r="AW24" s="92" t="s">
        <v>99</v>
      </c>
      <c r="AX24" s="66" t="s">
        <v>106</v>
      </c>
      <c r="AY24" s="85">
        <v>3</v>
      </c>
      <c r="AZ24" s="246">
        <v>2</v>
      </c>
      <c r="BA24" s="206">
        <f t="shared" si="4"/>
        <v>0.95424250943932487</v>
      </c>
      <c r="BB24" s="206">
        <v>1</v>
      </c>
      <c r="BC24" s="206">
        <v>1</v>
      </c>
      <c r="BD24" s="206">
        <v>0</v>
      </c>
      <c r="BE24" s="224">
        <v>2.7142857142857144</v>
      </c>
      <c r="BF24" s="187">
        <v>0.13947472278925621</v>
      </c>
      <c r="BG24" s="187">
        <v>1.3787157053417285</v>
      </c>
      <c r="BH24" s="187">
        <v>0.4744030338580344</v>
      </c>
    </row>
    <row r="25" spans="1:60" ht="16">
      <c r="A25" s="146">
        <v>23</v>
      </c>
      <c r="B25" s="99" t="s">
        <v>233</v>
      </c>
      <c r="C25" s="99" t="s">
        <v>83</v>
      </c>
      <c r="D25" t="s">
        <v>84</v>
      </c>
      <c r="E25" s="239">
        <v>3</v>
      </c>
      <c r="F25" s="187">
        <v>2</v>
      </c>
      <c r="G25" s="187">
        <v>6</v>
      </c>
      <c r="H25" s="139" t="s">
        <v>103</v>
      </c>
      <c r="I25" s="239">
        <v>2</v>
      </c>
      <c r="J25" s="187">
        <v>1</v>
      </c>
      <c r="K25" s="187">
        <v>2</v>
      </c>
      <c r="L25" s="139" t="s">
        <v>88</v>
      </c>
      <c r="M25" s="139">
        <v>3</v>
      </c>
      <c r="N25" s="139">
        <v>1</v>
      </c>
      <c r="O25" s="139">
        <v>3</v>
      </c>
      <c r="P25" s="139">
        <v>1</v>
      </c>
      <c r="Q25" s="187" t="s">
        <v>146</v>
      </c>
      <c r="R25" s="240">
        <v>3</v>
      </c>
      <c r="S25" s="187">
        <v>2</v>
      </c>
      <c r="T25" s="187">
        <v>6</v>
      </c>
      <c r="U25" s="204" t="s">
        <v>220</v>
      </c>
      <c r="V25" s="204" t="s">
        <v>88</v>
      </c>
      <c r="W25" s="239">
        <v>2</v>
      </c>
      <c r="X25" s="204">
        <v>1</v>
      </c>
      <c r="Y25" s="204">
        <v>2</v>
      </c>
      <c r="Z25" s="204"/>
      <c r="AA25" s="241">
        <v>24055</v>
      </c>
      <c r="AB25" s="187">
        <v>3</v>
      </c>
      <c r="AC25" s="187">
        <v>2</v>
      </c>
      <c r="AD25" s="240">
        <f>IF(AND(BE25&gt;=2.71, BE25&lt;=2.86, AA25&gt;23700), 1, IF(AND(BE25&gt;=2.71, BE25&lt;=2.86, AA25&gt;=6000, AA25&lt;=23700), 1, IF(AND(BE25&gt;=2.71, BE25&lt;=2.86, AA25&lt;6000), 1, IF(AND(BE25&gt;=2.57, BE25&lt;=2.71, AA25&gt;23700), 2, IF(AND(BE25&gt;=2.57, BE25&lt;=2.71, AA25&gt;=6000, AA25&lt;=23700), 2, IF(AND(BE25&gt;=2.57, BE25&lt;=2.71, AA25&lt;6000), 1, IF(AND(BE25&gt;=1, BE25&lt;=2.57, AA25&gt;23700), 3, IF(AND(BE25&gt;=1, BE25&lt;=2.71, AA25&gt;=6000, AA25&lt;=23700), 3, IF(AND(BE25&gt;=1, BE25&lt;=2.71, AA25&lt;6000), 2, 0 ) ) ) ) ) ) ) ) )</f>
        <v>1</v>
      </c>
      <c r="AE25" s="187">
        <f t="shared" si="3"/>
        <v>0</v>
      </c>
      <c r="AF25" s="209">
        <v>1</v>
      </c>
      <c r="AG25" s="209">
        <v>1</v>
      </c>
      <c r="AH25" s="211">
        <v>0</v>
      </c>
      <c r="AI25" s="146">
        <v>6</v>
      </c>
      <c r="AJ25" s="146">
        <v>1</v>
      </c>
      <c r="AK25" s="146">
        <v>1</v>
      </c>
      <c r="AL25" s="146">
        <v>0</v>
      </c>
      <c r="AM25" s="92">
        <v>1</v>
      </c>
      <c r="AN25" s="226">
        <v>1</v>
      </c>
      <c r="AO25" s="226">
        <f t="shared" si="0"/>
        <v>0</v>
      </c>
      <c r="AP25" s="229">
        <v>2</v>
      </c>
      <c r="AQ25" s="187">
        <v>1</v>
      </c>
      <c r="AR25" s="187">
        <f t="shared" si="1"/>
        <v>0.3010299956639812</v>
      </c>
      <c r="AS25" s="205">
        <v>1.5</v>
      </c>
      <c r="AT25" s="54">
        <f>IF(AS25&lt;2.5,1,IF(AS25&gt;3.5,3,2))</f>
        <v>1</v>
      </c>
      <c r="AU25" s="187">
        <v>1</v>
      </c>
      <c r="AV25" s="187">
        <f t="shared" si="2"/>
        <v>0</v>
      </c>
      <c r="AW25" s="92" t="s">
        <v>99</v>
      </c>
      <c r="AX25" s="66">
        <v>2</v>
      </c>
      <c r="AY25" s="85">
        <v>3</v>
      </c>
      <c r="AZ25" s="246">
        <v>2</v>
      </c>
      <c r="BA25" s="206">
        <f t="shared" si="4"/>
        <v>0.95424250943932487</v>
      </c>
      <c r="BB25" s="206">
        <v>1</v>
      </c>
      <c r="BC25" s="206">
        <v>1</v>
      </c>
      <c r="BD25" s="206">
        <v>0</v>
      </c>
      <c r="BE25" s="224">
        <v>2.7142857142857144</v>
      </c>
      <c r="BF25" s="187">
        <v>0.13947472278925621</v>
      </c>
      <c r="BG25" s="187">
        <v>1.3787157053417285</v>
      </c>
      <c r="BH25" s="187">
        <v>0.4744030338580344</v>
      </c>
    </row>
    <row r="26" spans="1:60" ht="16">
      <c r="A26" s="146">
        <v>24</v>
      </c>
      <c r="B26" s="99" t="s">
        <v>236</v>
      </c>
      <c r="C26" s="99" t="s">
        <v>177</v>
      </c>
      <c r="D26" t="s">
        <v>84</v>
      </c>
      <c r="E26" s="239">
        <v>3</v>
      </c>
      <c r="F26" s="187">
        <v>2</v>
      </c>
      <c r="G26" s="187">
        <v>6</v>
      </c>
      <c r="H26" s="139">
        <v>1</v>
      </c>
      <c r="I26" s="239">
        <v>3</v>
      </c>
      <c r="J26" s="187">
        <v>1</v>
      </c>
      <c r="K26" s="187">
        <v>3</v>
      </c>
      <c r="L26" s="139" t="s">
        <v>146</v>
      </c>
      <c r="M26" s="139">
        <v>3</v>
      </c>
      <c r="N26" s="139">
        <v>1</v>
      </c>
      <c r="O26" s="139">
        <v>3</v>
      </c>
      <c r="P26" s="139">
        <v>86</v>
      </c>
      <c r="Q26" s="187" t="s">
        <v>115</v>
      </c>
      <c r="R26" s="240">
        <v>3</v>
      </c>
      <c r="S26" s="187">
        <v>2</v>
      </c>
      <c r="T26" s="187">
        <v>6</v>
      </c>
      <c r="U26" s="204" t="s">
        <v>241</v>
      </c>
      <c r="V26" s="204" t="s">
        <v>115</v>
      </c>
      <c r="W26" s="239">
        <v>1</v>
      </c>
      <c r="X26" s="204">
        <v>1</v>
      </c>
      <c r="Y26" s="204">
        <v>1</v>
      </c>
      <c r="Z26" s="204">
        <v>48</v>
      </c>
      <c r="AA26" s="241">
        <v>23967</v>
      </c>
      <c r="AB26" s="187">
        <v>3</v>
      </c>
      <c r="AC26" s="187">
        <v>2</v>
      </c>
      <c r="AD26" s="240">
        <f>IF(AND(BE26&gt;=2.71, BE26&lt;=2.86, AA26&gt;23700), 1, IF(AND(BE26&gt;=2.71, BE26&lt;=2.86, AA26&gt;=6000, AA26&lt;=23700), 1, IF(AND(BE26&gt;=2.71, BE26&lt;=2.86, AA26&lt;6000), 1, IF(AND(BE26&gt;=2.57, BE26&lt;=2.71, AA26&gt;23700), 2, IF(AND(BE26&gt;=2.57, BE26&lt;=2.71, AA26&gt;=6000, AA26&lt;=23700), 2, IF(AND(BE26&gt;=2.57, BE26&lt;=2.71, AA26&lt;6000), 1, IF(AND(BE26&gt;=1, BE26&lt;=2.57, AA26&gt;23700), 3, IF(AND(BE26&gt;=1, BE26&lt;=2.71, AA26&gt;=6000, AA26&lt;=23700), 3, IF(AND(BE26&gt;=1, BE26&lt;=2.71, AA26&lt;6000), 2, 0 ) ) ) ) ) ) ) ) )</f>
        <v>1</v>
      </c>
      <c r="AE26" s="187">
        <f t="shared" si="3"/>
        <v>0</v>
      </c>
      <c r="AF26" s="209">
        <v>1</v>
      </c>
      <c r="AG26" s="209">
        <v>1</v>
      </c>
      <c r="AH26" s="211">
        <v>0</v>
      </c>
      <c r="AI26" s="146">
        <v>4</v>
      </c>
      <c r="AJ26" s="146">
        <v>2</v>
      </c>
      <c r="AK26" s="146">
        <v>1</v>
      </c>
      <c r="AL26" s="146">
        <v>0.3010299956639812</v>
      </c>
      <c r="AM26" s="92">
        <v>3</v>
      </c>
      <c r="AN26" s="226">
        <v>1</v>
      </c>
      <c r="AO26" s="226">
        <f t="shared" si="0"/>
        <v>0.47712125471966244</v>
      </c>
      <c r="AP26" s="229">
        <v>2</v>
      </c>
      <c r="AQ26" s="187">
        <v>1</v>
      </c>
      <c r="AR26" s="187">
        <f t="shared" si="1"/>
        <v>0.3010299956639812</v>
      </c>
      <c r="AS26" s="205">
        <v>2.6669999999999998</v>
      </c>
      <c r="AT26" s="54">
        <f>IF(AS26&lt;2.5,1,IF(AS26&gt;3.5,3,2))</f>
        <v>2</v>
      </c>
      <c r="AU26" s="187">
        <v>1</v>
      </c>
      <c r="AV26" s="187">
        <f t="shared" si="2"/>
        <v>0.3010299956639812</v>
      </c>
      <c r="AW26" s="92" t="s">
        <v>91</v>
      </c>
      <c r="AX26" s="66" t="s">
        <v>216</v>
      </c>
      <c r="AY26" s="85">
        <v>3</v>
      </c>
      <c r="AZ26" s="246">
        <v>2</v>
      </c>
      <c r="BA26" s="206">
        <f t="shared" si="4"/>
        <v>0.95424250943932487</v>
      </c>
      <c r="BB26" s="206">
        <v>2</v>
      </c>
      <c r="BC26" s="206">
        <v>1</v>
      </c>
      <c r="BD26" s="206">
        <v>0.3010299956639812</v>
      </c>
      <c r="BE26" s="224">
        <v>2.7142857142857144</v>
      </c>
      <c r="BF26" s="187">
        <v>0.29283152742387913</v>
      </c>
      <c r="BG26" s="187">
        <v>1.9625987930301134</v>
      </c>
      <c r="BH26" s="187">
        <v>1.0041061146135182</v>
      </c>
    </row>
    <row r="27" spans="1:60" ht="16">
      <c r="A27" s="146">
        <v>25</v>
      </c>
      <c r="B27" s="99" t="s">
        <v>242</v>
      </c>
      <c r="C27" s="99" t="s">
        <v>245</v>
      </c>
      <c r="D27" t="s">
        <v>84</v>
      </c>
      <c r="E27" s="239">
        <v>2</v>
      </c>
      <c r="F27" s="187">
        <v>2</v>
      </c>
      <c r="G27" s="187">
        <v>4</v>
      </c>
      <c r="H27" s="139">
        <v>1</v>
      </c>
      <c r="I27" s="239">
        <v>2</v>
      </c>
      <c r="J27" s="187">
        <v>1</v>
      </c>
      <c r="K27" s="187">
        <v>2</v>
      </c>
      <c r="L27" s="139" t="s">
        <v>88</v>
      </c>
      <c r="M27" s="139">
        <v>3</v>
      </c>
      <c r="N27" s="139">
        <v>1</v>
      </c>
      <c r="O27" s="139">
        <v>3</v>
      </c>
      <c r="P27" s="139">
        <v>17</v>
      </c>
      <c r="Q27" s="187" t="s">
        <v>88</v>
      </c>
      <c r="R27" s="240">
        <v>2</v>
      </c>
      <c r="S27" s="187">
        <v>2</v>
      </c>
      <c r="T27" s="187">
        <v>4</v>
      </c>
      <c r="U27" s="204" t="s">
        <v>248</v>
      </c>
      <c r="V27" s="204" t="s">
        <v>88</v>
      </c>
      <c r="W27" s="239">
        <v>3</v>
      </c>
      <c r="X27" s="204">
        <v>1</v>
      </c>
      <c r="Y27" s="204">
        <v>3</v>
      </c>
      <c r="Z27" s="204">
        <v>73</v>
      </c>
      <c r="AA27" s="241">
        <v>23707</v>
      </c>
      <c r="AB27" s="187">
        <v>3</v>
      </c>
      <c r="AC27" s="187">
        <v>2</v>
      </c>
      <c r="AD27" s="240">
        <f>IF(AND(BE27&gt;=2.71, BE27&lt;=2.86, AA27&gt;23700), 1, IF(AND(BE27&gt;=2.71, BE27&lt;=2.86, AA27&gt;=6000, AA27&lt;=23700), 1, IF(AND(BE27&gt;=2.71, BE27&lt;=2.86, AA27&lt;6000), 1, IF(AND(BE27&gt;=2.57, BE27&lt;=2.71, AA27&gt;23700), 2, IF(AND(BE27&gt;=2.57, BE27&lt;=2.71, AA27&gt;=6000, AA27&lt;=23700), 2, IF(AND(BE27&gt;=2.57, BE27&lt;=2.71, AA27&lt;6000), 1, IF(AND(BE27&gt;=1, BE27&lt;=2.57, AA27&gt;23700), 3, IF(AND(BE27&gt;=1, BE27&lt;=2.71, AA27&gt;=6000, AA27&lt;=23700), 3, IF(AND(BE27&gt;=1, BE27&lt;=2.71, AA27&lt;6000), 2, 0 ) ) ) ) ) ) ) ) )</f>
        <v>3</v>
      </c>
      <c r="AE27" s="187">
        <f t="shared" si="3"/>
        <v>0.95424250943932487</v>
      </c>
      <c r="AF27" s="209">
        <v>1</v>
      </c>
      <c r="AG27" s="209">
        <v>1</v>
      </c>
      <c r="AH27" s="211">
        <v>0</v>
      </c>
      <c r="AI27" s="146">
        <v>4</v>
      </c>
      <c r="AJ27" s="146">
        <v>2</v>
      </c>
      <c r="AK27" s="146">
        <v>1</v>
      </c>
      <c r="AL27" s="146">
        <v>0.3010299956639812</v>
      </c>
      <c r="AM27" s="92">
        <v>1</v>
      </c>
      <c r="AN27" s="226">
        <v>1</v>
      </c>
      <c r="AO27" s="226">
        <f t="shared" si="0"/>
        <v>0</v>
      </c>
      <c r="AP27" s="229">
        <v>1</v>
      </c>
      <c r="AQ27" s="187">
        <v>1</v>
      </c>
      <c r="AR27" s="187">
        <f t="shared" si="1"/>
        <v>0</v>
      </c>
      <c r="AS27" s="205">
        <v>1.75</v>
      </c>
      <c r="AT27" s="54">
        <f>IF(AS27&lt;2.5,1,IF(AS27&gt;3.5,3,2))</f>
        <v>1</v>
      </c>
      <c r="AU27" s="187">
        <v>1</v>
      </c>
      <c r="AV27" s="187">
        <f t="shared" si="2"/>
        <v>0</v>
      </c>
      <c r="AW27" s="92" t="s">
        <v>99</v>
      </c>
      <c r="AX27" s="66" t="s">
        <v>250</v>
      </c>
      <c r="AY27" s="85">
        <v>3</v>
      </c>
      <c r="AZ27" s="246">
        <v>2</v>
      </c>
      <c r="BA27" s="206">
        <f t="shared" si="4"/>
        <v>0.95424250943932487</v>
      </c>
      <c r="BB27" s="206">
        <v>1</v>
      </c>
      <c r="BC27" s="206">
        <v>1</v>
      </c>
      <c r="BD27" s="206">
        <v>0</v>
      </c>
      <c r="BE27" s="224">
        <v>2.2857142857142856</v>
      </c>
      <c r="BF27" s="187">
        <v>0.20086500132205734</v>
      </c>
      <c r="BG27" s="187">
        <v>1.5880530320239412</v>
      </c>
      <c r="BH27" s="187">
        <v>0.92520832794847008</v>
      </c>
    </row>
    <row r="28" spans="1:60" ht="16">
      <c r="A28" s="146">
        <v>26</v>
      </c>
      <c r="B28" s="99" t="s">
        <v>251</v>
      </c>
      <c r="C28" s="99" t="s">
        <v>184</v>
      </c>
      <c r="D28" t="s">
        <v>84</v>
      </c>
      <c r="E28" s="239">
        <v>3</v>
      </c>
      <c r="F28" s="187">
        <v>2</v>
      </c>
      <c r="G28" s="187">
        <v>6</v>
      </c>
      <c r="H28" s="139" t="s">
        <v>111</v>
      </c>
      <c r="I28" s="239">
        <v>2</v>
      </c>
      <c r="J28" s="187">
        <v>1</v>
      </c>
      <c r="K28" s="187">
        <v>2</v>
      </c>
      <c r="L28" s="139" t="s">
        <v>88</v>
      </c>
      <c r="M28" s="139">
        <v>3</v>
      </c>
      <c r="N28" s="139">
        <v>1</v>
      </c>
      <c r="O28" s="139">
        <v>3</v>
      </c>
      <c r="P28" s="139">
        <v>1</v>
      </c>
      <c r="Q28" s="187" t="s">
        <v>88</v>
      </c>
      <c r="R28" s="240">
        <v>2</v>
      </c>
      <c r="S28" s="187">
        <v>2</v>
      </c>
      <c r="T28" s="187">
        <v>4</v>
      </c>
      <c r="U28" s="204">
        <v>100</v>
      </c>
      <c r="V28" s="204" t="s">
        <v>146</v>
      </c>
      <c r="W28" s="239">
        <v>2</v>
      </c>
      <c r="X28" s="204">
        <v>1</v>
      </c>
      <c r="Y28" s="204">
        <v>2</v>
      </c>
      <c r="Z28" s="204">
        <v>176</v>
      </c>
      <c r="AA28" s="241">
        <v>22692</v>
      </c>
      <c r="AB28" s="187">
        <v>2</v>
      </c>
      <c r="AC28" s="187">
        <v>2</v>
      </c>
      <c r="AD28" s="240">
        <f>IF(AND(BE28&gt;=2.71, BE28&lt;=2.86, AA28&gt;23700), 1, IF(AND(BE28&gt;=2.71, BE28&lt;=2.86, AA28&gt;=6000, AA28&lt;=23700), 1, IF(AND(BE28&gt;=2.71, BE28&lt;=2.86, AA28&lt;6000), 1, IF(AND(BE28&gt;=2.57, BE28&lt;=2.71, AA28&gt;23700), 2, IF(AND(BE28&gt;=2.57, BE28&lt;=2.71, AA28&gt;=6000, AA28&lt;=23700), 2, IF(AND(BE28&gt;=2.57, BE28&lt;=2.71, AA28&lt;6000), 1, IF(AND(BE28&gt;=1, BE28&lt;=2.57, AA28&gt;23700), 3, IF(AND(BE28&gt;=1, BE28&lt;=2.71, AA28&gt;=6000, AA28&lt;=23700), 3, IF(AND(BE28&gt;=1, BE28&lt;=2.71, AA28&lt;6000), 2, 0 ) ) ) ) ) ) ) ) )</f>
        <v>3</v>
      </c>
      <c r="AE28" s="187">
        <f t="shared" si="3"/>
        <v>0.95424250943932487</v>
      </c>
      <c r="AF28" s="209">
        <v>1</v>
      </c>
      <c r="AG28" s="209">
        <v>1</v>
      </c>
      <c r="AH28" s="211">
        <v>0</v>
      </c>
      <c r="AI28" s="146">
        <v>1</v>
      </c>
      <c r="AJ28" s="146">
        <v>3</v>
      </c>
      <c r="AK28" s="146">
        <v>1</v>
      </c>
      <c r="AL28" s="146">
        <v>0.47712125471966244</v>
      </c>
      <c r="AM28" s="92">
        <v>1</v>
      </c>
      <c r="AN28" s="226">
        <v>1</v>
      </c>
      <c r="AO28" s="226">
        <f t="shared" si="0"/>
        <v>0</v>
      </c>
      <c r="AP28" s="229">
        <v>1</v>
      </c>
      <c r="AQ28" s="187">
        <v>1</v>
      </c>
      <c r="AR28" s="187">
        <f t="shared" si="1"/>
        <v>0</v>
      </c>
      <c r="AS28" s="205">
        <v>1.75</v>
      </c>
      <c r="AT28" s="54">
        <f>IF(AS28&lt;2.5,1,IF(AS28&gt;3.5,3,2))</f>
        <v>1</v>
      </c>
      <c r="AU28" s="187">
        <v>1</v>
      </c>
      <c r="AV28" s="187">
        <f t="shared" si="2"/>
        <v>0</v>
      </c>
      <c r="AW28" s="92" t="s">
        <v>99</v>
      </c>
      <c r="AX28" s="66" t="s">
        <v>106</v>
      </c>
      <c r="AY28" s="85">
        <v>3</v>
      </c>
      <c r="AZ28" s="246">
        <v>2</v>
      </c>
      <c r="BA28" s="206">
        <f t="shared" si="4"/>
        <v>0.95424250943932487</v>
      </c>
      <c r="BB28" s="206">
        <v>3</v>
      </c>
      <c r="BC28" s="206">
        <v>1</v>
      </c>
      <c r="BD28" s="206">
        <v>0.47712125471966244</v>
      </c>
      <c r="BE28" s="224">
        <v>2.4285714285714284</v>
      </c>
      <c r="BF28" s="187">
        <v>0.26024795711981591</v>
      </c>
      <c r="BG28" s="187">
        <v>1.8207400995719849</v>
      </c>
      <c r="BH28" s="187">
        <v>1.0000724590200101</v>
      </c>
    </row>
    <row r="29" spans="1:60" ht="16">
      <c r="A29" s="146">
        <v>27</v>
      </c>
      <c r="B29" s="99" t="s">
        <v>254</v>
      </c>
      <c r="C29" s="99" t="s">
        <v>257</v>
      </c>
      <c r="D29" t="s">
        <v>84</v>
      </c>
      <c r="E29" s="239">
        <v>3</v>
      </c>
      <c r="F29" s="187">
        <v>2</v>
      </c>
      <c r="G29" s="187">
        <v>6</v>
      </c>
      <c r="H29" s="139" t="s">
        <v>153</v>
      </c>
      <c r="I29" s="239">
        <v>2</v>
      </c>
      <c r="J29" s="187">
        <v>1</v>
      </c>
      <c r="K29" s="187">
        <v>2</v>
      </c>
      <c r="L29" s="139" t="s">
        <v>88</v>
      </c>
      <c r="M29" s="139">
        <v>3</v>
      </c>
      <c r="N29" s="139">
        <v>1</v>
      </c>
      <c r="O29" s="139">
        <v>3</v>
      </c>
      <c r="P29" s="139">
        <v>2</v>
      </c>
      <c r="Q29" s="187" t="s">
        <v>115</v>
      </c>
      <c r="R29" s="240">
        <v>3</v>
      </c>
      <c r="S29" s="187">
        <v>2</v>
      </c>
      <c r="T29" s="187">
        <v>6</v>
      </c>
      <c r="U29" s="251">
        <v>99142</v>
      </c>
      <c r="V29" s="204" t="s">
        <v>88</v>
      </c>
      <c r="W29" s="239">
        <v>2</v>
      </c>
      <c r="X29" s="204">
        <v>1</v>
      </c>
      <c r="Y29" s="204">
        <v>2</v>
      </c>
      <c r="Z29" s="204"/>
      <c r="AA29" s="241">
        <v>22291</v>
      </c>
      <c r="AB29" s="187">
        <v>2</v>
      </c>
      <c r="AC29" s="187">
        <v>2</v>
      </c>
      <c r="AD29" s="240">
        <f>IF(AND(BE29&gt;=2.71, BE29&lt;=2.86, AA29&gt;23700), 1, IF(AND(BE29&gt;=2.71, BE29&lt;=2.86, AA29&gt;=6000, AA29&lt;=23700), 1, IF(AND(BE29&gt;=2.71, BE29&lt;=2.86, AA29&lt;6000), 1, IF(AND(BE29&gt;=2.57, BE29&lt;=2.71, AA29&gt;23700), 2, IF(AND(BE29&gt;=2.57, BE29&lt;=2.71, AA29&gt;=6000, AA29&lt;=23700), 2, IF(AND(BE29&gt;=2.57, BE29&lt;=2.71, AA29&lt;6000), 1, IF(AND(BE29&gt;=1, BE29&lt;=2.57, AA29&gt;23700), 3, IF(AND(BE29&gt;=1, BE29&lt;=2.71, AA29&gt;=6000, AA29&lt;=23700), 3, IF(AND(BE29&gt;=1, BE29&lt;=2.71, AA29&lt;6000), 2, 0 ) ) ) ) ) ) ) ) )</f>
        <v>1</v>
      </c>
      <c r="AE29" s="187">
        <f t="shared" si="3"/>
        <v>0</v>
      </c>
      <c r="AF29" s="209">
        <v>2</v>
      </c>
      <c r="AG29" s="209">
        <v>1</v>
      </c>
      <c r="AH29" s="211">
        <v>0.3010299956639812</v>
      </c>
      <c r="AI29" s="146">
        <v>6</v>
      </c>
      <c r="AJ29" s="146">
        <v>1</v>
      </c>
      <c r="AK29" s="146">
        <v>1</v>
      </c>
      <c r="AL29" s="146">
        <v>0</v>
      </c>
      <c r="AM29" s="92">
        <v>1</v>
      </c>
      <c r="AN29" s="226">
        <v>1</v>
      </c>
      <c r="AO29" s="226">
        <f t="shared" si="0"/>
        <v>0</v>
      </c>
      <c r="AP29" s="229">
        <v>1</v>
      </c>
      <c r="AQ29" s="187">
        <v>1</v>
      </c>
      <c r="AR29" s="187">
        <f t="shared" si="1"/>
        <v>0</v>
      </c>
      <c r="AS29" s="205">
        <v>1.625</v>
      </c>
      <c r="AT29" s="54">
        <f>IF(AS29&lt;2.5,1,IF(AS29&gt;3.5,3,2))</f>
        <v>1</v>
      </c>
      <c r="AU29" s="187">
        <v>1</v>
      </c>
      <c r="AV29" s="187">
        <f t="shared" si="2"/>
        <v>0</v>
      </c>
      <c r="AW29" s="92" t="s">
        <v>99</v>
      </c>
      <c r="AX29" s="66" t="s">
        <v>92</v>
      </c>
      <c r="AY29" s="85">
        <v>3</v>
      </c>
      <c r="AZ29" s="246">
        <v>2</v>
      </c>
      <c r="BA29" s="206">
        <f t="shared" si="4"/>
        <v>0.95424250943932487</v>
      </c>
      <c r="BB29" s="206">
        <v>2</v>
      </c>
      <c r="BC29" s="206">
        <v>1</v>
      </c>
      <c r="BD29" s="206">
        <v>0.3010299956639812</v>
      </c>
      <c r="BE29" s="224">
        <v>2.7142857142857144</v>
      </c>
      <c r="BF29" s="187">
        <v>0.17292250008525414</v>
      </c>
      <c r="BG29" s="187">
        <v>1.4890953247181091</v>
      </c>
      <c r="BH29" s="187">
        <v>0.56643348216921019</v>
      </c>
    </row>
    <row r="30" spans="1:60" ht="16">
      <c r="A30" s="146">
        <v>28</v>
      </c>
      <c r="B30" s="99" t="s">
        <v>259</v>
      </c>
      <c r="C30" s="99" t="s">
        <v>110</v>
      </c>
      <c r="D30" t="s">
        <v>84</v>
      </c>
      <c r="E30" s="239">
        <v>3</v>
      </c>
      <c r="F30" s="187">
        <v>2</v>
      </c>
      <c r="G30" s="187">
        <v>6</v>
      </c>
      <c r="H30" s="139" t="s">
        <v>111</v>
      </c>
      <c r="I30" s="239">
        <v>2</v>
      </c>
      <c r="J30" s="187">
        <v>1</v>
      </c>
      <c r="K30" s="187">
        <v>2</v>
      </c>
      <c r="L30" s="139" t="s">
        <v>88</v>
      </c>
      <c r="M30" s="139">
        <v>3</v>
      </c>
      <c r="N30" s="139">
        <v>1</v>
      </c>
      <c r="O30" s="139">
        <v>3</v>
      </c>
      <c r="P30" s="139">
        <v>1</v>
      </c>
      <c r="Q30" s="187" t="s">
        <v>88</v>
      </c>
      <c r="R30" s="240">
        <v>2</v>
      </c>
      <c r="S30" s="187">
        <v>2</v>
      </c>
      <c r="T30" s="187">
        <v>4</v>
      </c>
      <c r="U30" s="204">
        <v>162</v>
      </c>
      <c r="V30" s="204" t="s">
        <v>88</v>
      </c>
      <c r="W30" s="239">
        <v>1</v>
      </c>
      <c r="X30" s="204">
        <v>1</v>
      </c>
      <c r="Y30" s="204">
        <v>1</v>
      </c>
      <c r="Z30" s="204">
        <v>22</v>
      </c>
      <c r="AA30" s="241">
        <v>21553</v>
      </c>
      <c r="AB30" s="187">
        <v>2</v>
      </c>
      <c r="AC30" s="187">
        <v>2</v>
      </c>
      <c r="AD30" s="240">
        <f>IF(AND(BE30&gt;=2.71, BE30&lt;=2.86, AA30&gt;23700), 1, IF(AND(BE30&gt;=2.71, BE30&lt;=2.86, AA30&gt;=6000, AA30&lt;=23700), 1, IF(AND(BE30&gt;=2.71, BE30&lt;=2.86, AA30&lt;6000), 1, IF(AND(BE30&gt;=2.57, BE30&lt;=2.71, AA30&gt;23700), 2, IF(AND(BE30&gt;=2.57, BE30&lt;=2.71, AA30&gt;=6000, AA30&lt;=23700), 2, IF(AND(BE30&gt;=2.57, BE30&lt;=2.71, AA30&lt;6000), 1, IF(AND(BE30&gt;=1, BE30&lt;=2.57, AA30&gt;23700), 3, IF(AND(BE30&gt;=1, BE30&lt;=2.71, AA30&gt;=6000, AA30&lt;=23700), 3, IF(AND(BE30&gt;=1, BE30&lt;=2.71, AA30&lt;6000), 2, 0 ) ) ) ) ) ) ) ) )</f>
        <v>3</v>
      </c>
      <c r="AE30" s="187">
        <f t="shared" si="3"/>
        <v>0.95424250943932487</v>
      </c>
      <c r="AF30" s="209">
        <v>1</v>
      </c>
      <c r="AG30" s="209">
        <v>1</v>
      </c>
      <c r="AH30" s="211">
        <v>0</v>
      </c>
      <c r="AI30" s="146">
        <v>2</v>
      </c>
      <c r="AJ30" s="146">
        <v>3</v>
      </c>
      <c r="AK30" s="146">
        <v>1</v>
      </c>
      <c r="AL30" s="146">
        <v>0.47712125471966244</v>
      </c>
      <c r="AM30" s="92">
        <v>1</v>
      </c>
      <c r="AN30" s="226">
        <v>1</v>
      </c>
      <c r="AO30" s="226">
        <f t="shared" si="0"/>
        <v>0</v>
      </c>
      <c r="AP30" s="229">
        <v>1</v>
      </c>
      <c r="AQ30" s="187">
        <v>1</v>
      </c>
      <c r="AR30" s="187">
        <f t="shared" si="1"/>
        <v>0</v>
      </c>
      <c r="AS30" s="205">
        <v>1.25</v>
      </c>
      <c r="AT30" s="54">
        <f>IF(AS30&lt;2.5,1,IF(AS30&gt;3.5,3,2))</f>
        <v>1</v>
      </c>
      <c r="AU30" s="187">
        <v>1</v>
      </c>
      <c r="AV30" s="187">
        <f t="shared" si="2"/>
        <v>0</v>
      </c>
      <c r="AW30" s="92" t="s">
        <v>99</v>
      </c>
      <c r="AX30" s="66" t="s">
        <v>106</v>
      </c>
      <c r="AY30" s="85">
        <v>3</v>
      </c>
      <c r="AZ30" s="246">
        <v>2</v>
      </c>
      <c r="BA30" s="206">
        <f t="shared" si="4"/>
        <v>0.95424250943932487</v>
      </c>
      <c r="BB30" s="206">
        <v>3</v>
      </c>
      <c r="BC30" s="206">
        <v>1</v>
      </c>
      <c r="BD30" s="206">
        <v>0.47712125471966244</v>
      </c>
      <c r="BE30" s="224">
        <v>2.2857142857142856</v>
      </c>
      <c r="BF30" s="187">
        <v>0.26024795711981591</v>
      </c>
      <c r="BG30" s="187">
        <v>1.8207400995719849</v>
      </c>
      <c r="BH30" s="187">
        <v>1.0880341872745014</v>
      </c>
    </row>
    <row r="31" spans="1:60" ht="16">
      <c r="A31" s="146">
        <v>29</v>
      </c>
      <c r="B31" s="99" t="s">
        <v>262</v>
      </c>
      <c r="C31" s="99" t="s">
        <v>177</v>
      </c>
      <c r="D31" t="s">
        <v>84</v>
      </c>
      <c r="E31" s="239">
        <v>2</v>
      </c>
      <c r="F31" s="187">
        <v>2</v>
      </c>
      <c r="G31" s="187">
        <v>4</v>
      </c>
      <c r="H31" s="139" t="s">
        <v>153</v>
      </c>
      <c r="I31" s="239">
        <v>3</v>
      </c>
      <c r="J31" s="187">
        <v>1</v>
      </c>
      <c r="K31" s="187">
        <v>3</v>
      </c>
      <c r="L31" s="139" t="s">
        <v>88</v>
      </c>
      <c r="M31" s="139">
        <v>3</v>
      </c>
      <c r="N31" s="139">
        <v>1</v>
      </c>
      <c r="O31" s="139">
        <v>3</v>
      </c>
      <c r="P31" s="139">
        <v>1</v>
      </c>
      <c r="Q31" s="187" t="s">
        <v>146</v>
      </c>
      <c r="R31" s="240">
        <v>3</v>
      </c>
      <c r="S31" s="187">
        <v>2</v>
      </c>
      <c r="T31" s="187">
        <v>6</v>
      </c>
      <c r="U31" s="204" t="s">
        <v>215</v>
      </c>
      <c r="V31" s="204" t="s">
        <v>88</v>
      </c>
      <c r="W31" s="239">
        <v>1</v>
      </c>
      <c r="X31" s="204">
        <v>1</v>
      </c>
      <c r="Y31" s="204">
        <v>1</v>
      </c>
      <c r="Z31" s="204"/>
      <c r="AA31" s="241">
        <v>21273</v>
      </c>
      <c r="AB31" s="187">
        <v>2</v>
      </c>
      <c r="AC31" s="187">
        <v>2</v>
      </c>
      <c r="AD31" s="240">
        <f>IF(AND(BE31&gt;=2.71, BE31&lt;=2.86, AA31&gt;23700), 1, IF(AND(BE31&gt;=2.71, BE31&lt;=2.86, AA31&gt;=6000, AA31&lt;=23700), 1, IF(AND(BE31&gt;=2.71, BE31&lt;=2.86, AA31&lt;6000), 1, IF(AND(BE31&gt;=2.57, BE31&lt;=2.71, AA31&gt;23700), 2, IF(AND(BE31&gt;=2.57, BE31&lt;=2.71, AA31&gt;=6000, AA31&lt;=23700), 2, IF(AND(BE31&gt;=2.57, BE31&lt;=2.71, AA31&lt;6000), 1, IF(AND(BE31&gt;=1, BE31&lt;=2.57, AA31&gt;23700), 3, IF(AND(BE31&gt;=1, BE31&lt;=2.71, AA31&gt;=6000, AA31&lt;=23700), 3, IF(AND(BE31&gt;=1, BE31&lt;=2.71, AA31&lt;6000), 2, 0 ) ) ) ) ) ) ) ) )</f>
        <v>3</v>
      </c>
      <c r="AE31" s="187">
        <f t="shared" si="3"/>
        <v>0.95424250943932487</v>
      </c>
      <c r="AF31" s="209">
        <v>1</v>
      </c>
      <c r="AG31" s="209">
        <v>1</v>
      </c>
      <c r="AH31" s="211">
        <v>0</v>
      </c>
      <c r="AI31" s="146">
        <v>6</v>
      </c>
      <c r="AJ31" s="146">
        <v>1</v>
      </c>
      <c r="AK31" s="146">
        <v>1</v>
      </c>
      <c r="AL31" s="146">
        <v>0</v>
      </c>
      <c r="AM31" s="92">
        <v>3</v>
      </c>
      <c r="AN31" s="226">
        <v>1</v>
      </c>
      <c r="AO31" s="226">
        <f t="shared" si="0"/>
        <v>0.47712125471966244</v>
      </c>
      <c r="AP31" s="229">
        <v>1</v>
      </c>
      <c r="AQ31" s="187">
        <v>1</v>
      </c>
      <c r="AR31" s="187">
        <f t="shared" si="1"/>
        <v>0</v>
      </c>
      <c r="AS31" s="205">
        <v>2.125</v>
      </c>
      <c r="AT31" s="54">
        <f>IF(AS31&lt;2.5,1,IF(AS31&gt;3.5,3,2))</f>
        <v>1</v>
      </c>
      <c r="AU31" s="187">
        <v>1</v>
      </c>
      <c r="AV31" s="187">
        <f t="shared" si="2"/>
        <v>0</v>
      </c>
      <c r="AW31" s="92" t="s">
        <v>99</v>
      </c>
      <c r="AX31" s="66" t="s">
        <v>106</v>
      </c>
      <c r="AY31" s="85">
        <v>3</v>
      </c>
      <c r="AZ31" s="246">
        <v>2</v>
      </c>
      <c r="BA31" s="206">
        <f t="shared" si="4"/>
        <v>0.95424250943932487</v>
      </c>
      <c r="BB31" s="206">
        <v>2</v>
      </c>
      <c r="BC31" s="206">
        <v>1</v>
      </c>
      <c r="BD31" s="206">
        <v>0.3010299956639812</v>
      </c>
      <c r="BE31" s="224">
        <v>2.4285714285714284</v>
      </c>
      <c r="BF31" s="187">
        <v>0.24423966084202667</v>
      </c>
      <c r="BG31" s="187">
        <v>1.7548486294507331</v>
      </c>
      <c r="BH31" s="187">
        <v>0.94674551260016448</v>
      </c>
    </row>
    <row r="32" spans="1:60" ht="16">
      <c r="A32" s="146">
        <v>30</v>
      </c>
      <c r="B32" s="99" t="s">
        <v>267</v>
      </c>
      <c r="C32" s="99" t="s">
        <v>184</v>
      </c>
      <c r="D32" t="s">
        <v>84</v>
      </c>
      <c r="E32" s="239">
        <v>3</v>
      </c>
      <c r="F32" s="187">
        <v>2</v>
      </c>
      <c r="G32" s="187">
        <v>6</v>
      </c>
      <c r="H32" s="139" t="s">
        <v>111</v>
      </c>
      <c r="I32" s="239">
        <v>2</v>
      </c>
      <c r="J32" s="187">
        <v>1</v>
      </c>
      <c r="K32" s="187">
        <v>2</v>
      </c>
      <c r="L32" s="139" t="s">
        <v>146</v>
      </c>
      <c r="M32" s="139">
        <v>3</v>
      </c>
      <c r="N32" s="139">
        <v>1</v>
      </c>
      <c r="O32" s="139">
        <v>3</v>
      </c>
      <c r="P32" s="139">
        <v>1</v>
      </c>
      <c r="Q32" s="187" t="s">
        <v>115</v>
      </c>
      <c r="R32" s="240">
        <v>3</v>
      </c>
      <c r="S32" s="187">
        <v>2</v>
      </c>
      <c r="T32" s="187">
        <v>6</v>
      </c>
      <c r="U32" s="204">
        <v>99</v>
      </c>
      <c r="V32" s="204" t="s">
        <v>146</v>
      </c>
      <c r="W32" s="239">
        <v>1</v>
      </c>
      <c r="X32" s="204">
        <v>1</v>
      </c>
      <c r="Y32" s="204">
        <v>1</v>
      </c>
      <c r="Z32" s="204">
        <v>177</v>
      </c>
      <c r="AA32" s="241">
        <v>20822</v>
      </c>
      <c r="AB32" s="187">
        <v>2</v>
      </c>
      <c r="AC32" s="187">
        <v>2</v>
      </c>
      <c r="AD32" s="240">
        <f>IF(AND(BE32&gt;=2.71, BE32&lt;=2.86, AA32&gt;23700), 1, IF(AND(BE32&gt;=2.71, BE32&lt;=2.86, AA32&gt;=6000, AA32&lt;=23700), 1, IF(AND(BE32&gt;=2.71, BE32&lt;=2.86, AA32&lt;6000), 1, IF(AND(BE32&gt;=2.57, BE32&lt;=2.71, AA32&gt;23700), 2, IF(AND(BE32&gt;=2.57, BE32&lt;=2.71, AA32&gt;=6000, AA32&lt;=23700), 2, IF(AND(BE32&gt;=2.57, BE32&lt;=2.71, AA32&lt;6000), 1, IF(AND(BE32&gt;=1, BE32&lt;=2.57, AA32&gt;23700), 3, IF(AND(BE32&gt;=1, BE32&lt;=2.71, AA32&gt;=6000, AA32&lt;=23700), 3, IF(AND(BE32&gt;=1, BE32&lt;=2.71, AA32&lt;6000), 2, 0 ) ) ) ) ) ) ) ) )</f>
        <v>2</v>
      </c>
      <c r="AE32" s="187">
        <f t="shared" si="3"/>
        <v>0.6020599913279624</v>
      </c>
      <c r="AF32" s="209">
        <v>2</v>
      </c>
      <c r="AG32" s="209">
        <v>1</v>
      </c>
      <c r="AH32" s="211">
        <v>0.3010299956639812</v>
      </c>
      <c r="AI32" s="146">
        <v>1</v>
      </c>
      <c r="AJ32" s="146">
        <v>3</v>
      </c>
      <c r="AK32" s="146">
        <v>1</v>
      </c>
      <c r="AL32" s="146">
        <v>0.47712125471966244</v>
      </c>
      <c r="AM32" s="92">
        <v>1</v>
      </c>
      <c r="AN32" s="226">
        <v>1</v>
      </c>
      <c r="AO32" s="226">
        <f t="shared" si="0"/>
        <v>0</v>
      </c>
      <c r="AP32" s="229">
        <v>2</v>
      </c>
      <c r="AQ32" s="187">
        <v>1</v>
      </c>
      <c r="AR32" s="187">
        <f t="shared" si="1"/>
        <v>0.3010299956639812</v>
      </c>
      <c r="AS32" s="205">
        <v>1.5</v>
      </c>
      <c r="AT32" s="54">
        <f>IF(AS32&lt;2.5,1,IF(AS32&gt;3.5,3,2))</f>
        <v>1</v>
      </c>
      <c r="AU32" s="187">
        <v>1</v>
      </c>
      <c r="AV32" s="187">
        <f t="shared" si="2"/>
        <v>0</v>
      </c>
      <c r="AW32" s="92" t="s">
        <v>99</v>
      </c>
      <c r="AX32" s="66" t="s">
        <v>92</v>
      </c>
      <c r="AY32" s="85">
        <v>3</v>
      </c>
      <c r="AZ32" s="246">
        <v>2</v>
      </c>
      <c r="BA32" s="206">
        <f t="shared" si="4"/>
        <v>0.95424250943932487</v>
      </c>
      <c r="BB32" s="206">
        <v>3</v>
      </c>
      <c r="BC32" s="206">
        <v>1</v>
      </c>
      <c r="BD32" s="206">
        <v>0.47712125471966244</v>
      </c>
      <c r="BE32" s="224">
        <v>2.5714285714285716</v>
      </c>
      <c r="BF32" s="187">
        <v>0.31126050015345746</v>
      </c>
      <c r="BG32" s="187">
        <v>2.0476725110792193</v>
      </c>
      <c r="BH32" s="187">
        <v>1.1319413235052389</v>
      </c>
    </row>
    <row r="33" spans="1:60" ht="16">
      <c r="A33" s="146">
        <v>31</v>
      </c>
      <c r="B33" s="99" t="s">
        <v>271</v>
      </c>
      <c r="C33" s="99" t="s">
        <v>83</v>
      </c>
      <c r="D33" t="s">
        <v>84</v>
      </c>
      <c r="E33" s="239">
        <v>3</v>
      </c>
      <c r="F33" s="187">
        <v>2</v>
      </c>
      <c r="G33" s="187">
        <v>6</v>
      </c>
      <c r="H33" s="139" t="s">
        <v>85</v>
      </c>
      <c r="I33" s="239">
        <v>2</v>
      </c>
      <c r="J33" s="187">
        <v>1</v>
      </c>
      <c r="K33" s="187">
        <v>2</v>
      </c>
      <c r="L33" s="139" t="s">
        <v>88</v>
      </c>
      <c r="M33" s="139">
        <v>3</v>
      </c>
      <c r="N33" s="139">
        <v>1</v>
      </c>
      <c r="O33" s="139">
        <v>3</v>
      </c>
      <c r="P33" s="139">
        <v>1</v>
      </c>
      <c r="Q33" s="187" t="s">
        <v>88</v>
      </c>
      <c r="R33" s="240">
        <v>3</v>
      </c>
      <c r="S33" s="187">
        <v>2</v>
      </c>
      <c r="T33" s="187">
        <v>6</v>
      </c>
      <c r="U33" s="204">
        <v>99</v>
      </c>
      <c r="V33" s="204" t="s">
        <v>88</v>
      </c>
      <c r="W33" s="239">
        <v>2</v>
      </c>
      <c r="X33" s="204">
        <v>1</v>
      </c>
      <c r="Y33" s="204">
        <v>2</v>
      </c>
      <c r="Z33" s="204"/>
      <c r="AA33" s="241">
        <v>18751</v>
      </c>
      <c r="AB33" s="187">
        <v>2</v>
      </c>
      <c r="AC33" s="187">
        <v>2</v>
      </c>
      <c r="AD33" s="240">
        <f>IF(AND(BE33&gt;=2.71, BE33&lt;=2.86, AA33&gt;23700), 1, IF(AND(BE33&gt;=2.71, BE33&lt;=2.86, AA33&gt;=6000, AA33&lt;=23700), 1, IF(AND(BE33&gt;=2.71, BE33&lt;=2.86, AA33&lt;6000), 1, IF(AND(BE33&gt;=2.57, BE33&lt;=2.71, AA33&gt;23700), 2, IF(AND(BE33&gt;=2.57, BE33&lt;=2.71, AA33&gt;=6000, AA33&lt;=23700), 2, IF(AND(BE33&gt;=2.57, BE33&lt;=2.71, AA33&lt;6000), 1, IF(AND(BE33&gt;=1, BE33&lt;=2.57, AA33&gt;23700), 3, IF(AND(BE33&gt;=1, BE33&lt;=2.71, AA33&gt;=6000, AA33&lt;=23700), 3, IF(AND(BE33&gt;=1, BE33&lt;=2.71, AA33&lt;6000), 2, 0 ) ) ) ) ) ) ) ) )</f>
        <v>1</v>
      </c>
      <c r="AE33" s="187">
        <f t="shared" si="3"/>
        <v>0</v>
      </c>
      <c r="AF33" s="209">
        <v>1</v>
      </c>
      <c r="AG33" s="209">
        <v>1</v>
      </c>
      <c r="AH33" s="211">
        <v>0</v>
      </c>
      <c r="AI33" s="146">
        <v>6</v>
      </c>
      <c r="AJ33" s="146">
        <v>1</v>
      </c>
      <c r="AK33" s="146">
        <v>1</v>
      </c>
      <c r="AL33" s="146">
        <v>0</v>
      </c>
      <c r="AM33" s="92">
        <v>1</v>
      </c>
      <c r="AN33" s="226">
        <v>1</v>
      </c>
      <c r="AO33" s="226">
        <f t="shared" si="0"/>
        <v>0</v>
      </c>
      <c r="AP33" s="229">
        <v>2</v>
      </c>
      <c r="AQ33" s="187">
        <v>1</v>
      </c>
      <c r="AR33" s="187">
        <f t="shared" si="1"/>
        <v>0.3010299956639812</v>
      </c>
      <c r="AS33" s="205">
        <v>2.25</v>
      </c>
      <c r="AT33" s="54">
        <f>IF(AS33&lt;2.5,1,IF(AS33&gt;3.5,3,2))</f>
        <v>1</v>
      </c>
      <c r="AU33" s="187">
        <v>1</v>
      </c>
      <c r="AV33" s="187">
        <f t="shared" si="2"/>
        <v>0</v>
      </c>
      <c r="AW33" s="92" t="s">
        <v>273</v>
      </c>
      <c r="AX33" s="66">
        <v>2</v>
      </c>
      <c r="AY33" s="85">
        <v>3</v>
      </c>
      <c r="AZ33" s="246">
        <v>2</v>
      </c>
      <c r="BA33" s="206">
        <f t="shared" si="4"/>
        <v>0.95424250943932487</v>
      </c>
      <c r="BB33" s="206">
        <v>1</v>
      </c>
      <c r="BC33" s="206">
        <v>1</v>
      </c>
      <c r="BD33" s="206">
        <v>0</v>
      </c>
      <c r="BE33" s="224">
        <v>2.7142857142857144</v>
      </c>
      <c r="BF33" s="187">
        <v>0.13947472278925621</v>
      </c>
      <c r="BG33" s="187">
        <v>1.3787157053417285</v>
      </c>
      <c r="BH33" s="187">
        <v>0.4744030338580344</v>
      </c>
    </row>
    <row r="34" spans="1:60" ht="16">
      <c r="A34" s="146">
        <v>32</v>
      </c>
      <c r="B34" s="99" t="s">
        <v>274</v>
      </c>
      <c r="C34" s="99" t="s">
        <v>277</v>
      </c>
      <c r="D34" t="s">
        <v>84</v>
      </c>
      <c r="E34" s="239">
        <v>2</v>
      </c>
      <c r="F34" s="187">
        <v>2</v>
      </c>
      <c r="G34" s="187">
        <v>4</v>
      </c>
      <c r="H34" s="139" t="s">
        <v>96</v>
      </c>
      <c r="I34" s="239">
        <v>2</v>
      </c>
      <c r="J34" s="187">
        <v>1</v>
      </c>
      <c r="K34" s="187">
        <v>2</v>
      </c>
      <c r="L34" s="139" t="s">
        <v>88</v>
      </c>
      <c r="M34" s="139">
        <v>3</v>
      </c>
      <c r="N34" s="139">
        <v>1</v>
      </c>
      <c r="O34" s="139">
        <v>3</v>
      </c>
      <c r="P34" s="139">
        <v>1</v>
      </c>
      <c r="Q34" s="187" t="s">
        <v>88</v>
      </c>
      <c r="R34" s="240">
        <v>3</v>
      </c>
      <c r="S34" s="187">
        <v>2</v>
      </c>
      <c r="T34" s="187">
        <v>6</v>
      </c>
      <c r="U34" s="204">
        <v>131</v>
      </c>
      <c r="V34" s="204" t="s">
        <v>146</v>
      </c>
      <c r="W34" s="239">
        <v>1</v>
      </c>
      <c r="X34" s="204">
        <v>1</v>
      </c>
      <c r="Y34" s="204">
        <v>1</v>
      </c>
      <c r="Z34" s="204">
        <v>48</v>
      </c>
      <c r="AA34" s="241">
        <v>18316</v>
      </c>
      <c r="AB34" s="187">
        <v>2</v>
      </c>
      <c r="AC34" s="187">
        <v>2</v>
      </c>
      <c r="AD34" s="240">
        <f>IF(AND(BE34&gt;=2.71, BE34&lt;=2.86, AA34&gt;23700), 1, IF(AND(BE34&gt;=2.71, BE34&lt;=2.86, AA34&gt;=6000, AA34&lt;=23700), 1, IF(AND(BE34&gt;=2.71, BE34&lt;=2.86, AA34&lt;6000), 1, IF(AND(BE34&gt;=2.57, BE34&lt;=2.71, AA34&gt;23700), 2, IF(AND(BE34&gt;=2.57, BE34&lt;=2.71, AA34&gt;=6000, AA34&lt;=23700), 2, IF(AND(BE34&gt;=2.57, BE34&lt;=2.71, AA34&lt;6000), 1, IF(AND(BE34&gt;=1, BE34&lt;=2.57, AA34&gt;23700), 3, IF(AND(BE34&gt;=1, BE34&lt;=2.71, AA34&gt;=6000, AA34&lt;=23700), 3, IF(AND(BE34&gt;=1, BE34&lt;=2.71, AA34&lt;6000), 2, 0 ) ) ) ) ) ) ) ) )</f>
        <v>3</v>
      </c>
      <c r="AE34" s="187">
        <f t="shared" ref="AE34:AE65" si="6">AC34*LOG(AD34)</f>
        <v>0.95424250943932487</v>
      </c>
      <c r="AF34" s="209">
        <v>1</v>
      </c>
      <c r="AG34" s="209">
        <v>1</v>
      </c>
      <c r="AH34" s="211">
        <v>0</v>
      </c>
      <c r="AI34" s="146">
        <v>4</v>
      </c>
      <c r="AJ34" s="146">
        <v>2</v>
      </c>
      <c r="AK34" s="146">
        <v>1</v>
      </c>
      <c r="AL34" s="146">
        <v>0.3010299956639812</v>
      </c>
      <c r="AM34" s="92">
        <v>1</v>
      </c>
      <c r="AN34" s="226">
        <v>1</v>
      </c>
      <c r="AO34" s="226">
        <f t="shared" ref="AO34" si="7">AN34*LOG(AM34)</f>
        <v>0</v>
      </c>
      <c r="AP34" s="229">
        <v>1</v>
      </c>
      <c r="AQ34" s="187">
        <v>1</v>
      </c>
      <c r="AR34" s="187">
        <f t="shared" si="1"/>
        <v>0</v>
      </c>
      <c r="AS34" s="205">
        <v>1.375</v>
      </c>
      <c r="AT34" s="54">
        <f>IF(AS34&lt;2.5,1,IF(AS34&gt;3.5,3,2))</f>
        <v>1</v>
      </c>
      <c r="AU34" s="187">
        <v>1</v>
      </c>
      <c r="AV34" s="187">
        <f t="shared" si="2"/>
        <v>0</v>
      </c>
      <c r="AW34" s="92" t="s">
        <v>91</v>
      </c>
      <c r="AX34" s="66" t="s">
        <v>216</v>
      </c>
      <c r="AY34" s="85">
        <v>3</v>
      </c>
      <c r="AZ34" s="246">
        <v>2</v>
      </c>
      <c r="BA34" s="206">
        <f t="shared" ref="BA34:BA65" si="8">AZ34*LOG(AY34)</f>
        <v>0.95424250943932487</v>
      </c>
      <c r="BB34" s="206">
        <v>1</v>
      </c>
      <c r="BC34" s="206">
        <v>1</v>
      </c>
      <c r="BD34" s="206">
        <v>0</v>
      </c>
      <c r="BE34" s="224">
        <v>2.2857142857142856</v>
      </c>
      <c r="BF34" s="187">
        <v>0.20086500132205734</v>
      </c>
      <c r="BG34" s="187">
        <v>1.5880530320239412</v>
      </c>
      <c r="BH34" s="187">
        <v>0.92520832794847008</v>
      </c>
    </row>
    <row r="35" spans="1:60" ht="16">
      <c r="A35" s="146">
        <v>33</v>
      </c>
      <c r="B35" s="99" t="s">
        <v>281</v>
      </c>
      <c r="C35" s="99" t="s">
        <v>224</v>
      </c>
      <c r="D35" t="s">
        <v>84</v>
      </c>
      <c r="E35" s="239">
        <v>3</v>
      </c>
      <c r="F35" s="187">
        <v>2</v>
      </c>
      <c r="G35" s="187">
        <v>6</v>
      </c>
      <c r="H35" s="139" t="s">
        <v>96</v>
      </c>
      <c r="I35" s="239">
        <v>2</v>
      </c>
      <c r="J35" s="187">
        <v>1</v>
      </c>
      <c r="K35" s="187">
        <v>2</v>
      </c>
      <c r="L35" s="139" t="s">
        <v>146</v>
      </c>
      <c r="M35" s="139">
        <v>3</v>
      </c>
      <c r="N35" s="139">
        <v>1</v>
      </c>
      <c r="O35" s="139">
        <v>3</v>
      </c>
      <c r="P35" s="139">
        <v>98</v>
      </c>
      <c r="Q35" s="187" t="s">
        <v>146</v>
      </c>
      <c r="R35" s="240">
        <v>3</v>
      </c>
      <c r="S35" s="187">
        <v>2</v>
      </c>
      <c r="T35" s="187">
        <v>6</v>
      </c>
      <c r="U35" s="204" t="s">
        <v>226</v>
      </c>
      <c r="V35" s="204" t="s">
        <v>115</v>
      </c>
      <c r="W35" s="239">
        <v>1</v>
      </c>
      <c r="X35" s="204">
        <v>1</v>
      </c>
      <c r="Y35" s="204">
        <v>1</v>
      </c>
      <c r="Z35" s="204">
        <v>72</v>
      </c>
      <c r="AA35" s="241">
        <v>17036</v>
      </c>
      <c r="AB35" s="187">
        <v>2</v>
      </c>
      <c r="AC35" s="187">
        <v>2</v>
      </c>
      <c r="AD35" s="240">
        <f>IF(AND(BE35&gt;=2.71, BE35&lt;=2.86, AA35&gt;23700), 1, IF(AND(BE35&gt;=2.71, BE35&lt;=2.86, AA35&gt;=6000, AA35&lt;=23700), 1, IF(AND(BE35&gt;=2.71, BE35&lt;=2.86, AA35&lt;6000), 1, IF(AND(BE35&gt;=2.57, BE35&lt;=2.71, AA35&gt;23700), 2, IF(AND(BE35&gt;=2.57, BE35&lt;=2.71, AA35&gt;=6000, AA35&lt;=23700), 2, IF(AND(BE35&gt;=2.57, BE35&lt;=2.71, AA35&lt;6000), 1, IF(AND(BE35&gt;=1, BE35&lt;=2.57, AA35&gt;23700), 3, IF(AND(BE35&gt;=1, BE35&lt;=2.71, AA35&gt;=6000, AA35&lt;=23700), 3, IF(AND(BE35&gt;=1, BE35&lt;=2.71, AA35&lt;6000), 2, 0 ) ) ) ) ) ) ) ) )</f>
        <v>2</v>
      </c>
      <c r="AE35" s="187">
        <f t="shared" si="6"/>
        <v>0.6020599913279624</v>
      </c>
      <c r="AF35" s="209">
        <v>2</v>
      </c>
      <c r="AG35" s="209">
        <v>1</v>
      </c>
      <c r="AH35" s="211">
        <v>0.3010299956639812</v>
      </c>
      <c r="AI35" s="146">
        <v>3</v>
      </c>
      <c r="AJ35" s="146">
        <v>2</v>
      </c>
      <c r="AK35" s="146">
        <v>1</v>
      </c>
      <c r="AL35" s="146">
        <v>0.3010299956639812</v>
      </c>
      <c r="AM35" s="92">
        <v>1</v>
      </c>
      <c r="AN35" s="226">
        <v>1</v>
      </c>
      <c r="AO35" s="226">
        <f t="shared" ref="AO35:AO65" si="9">AN35*LOG(AM35)</f>
        <v>0</v>
      </c>
      <c r="AP35" s="229">
        <v>1</v>
      </c>
      <c r="AQ35" s="187">
        <v>1</v>
      </c>
      <c r="AR35" s="187">
        <f t="shared" si="1"/>
        <v>0</v>
      </c>
      <c r="AS35" s="205">
        <v>1.5</v>
      </c>
      <c r="AT35" s="54">
        <f>IF(AS35&lt;2.5,1,IF(AS35&gt;3.5,3,2))</f>
        <v>1</v>
      </c>
      <c r="AU35" s="187">
        <v>1</v>
      </c>
      <c r="AV35" s="187">
        <f t="shared" si="2"/>
        <v>0</v>
      </c>
      <c r="AW35" s="92" t="s">
        <v>99</v>
      </c>
      <c r="AX35" s="66" t="s">
        <v>92</v>
      </c>
      <c r="AY35" s="85">
        <v>3</v>
      </c>
      <c r="AZ35" s="246">
        <v>2</v>
      </c>
      <c r="BA35" s="206">
        <f t="shared" si="8"/>
        <v>0.95424250943932487</v>
      </c>
      <c r="BB35" s="206">
        <v>3</v>
      </c>
      <c r="BC35" s="206">
        <v>1</v>
      </c>
      <c r="BD35" s="206">
        <v>0.47712125471966244</v>
      </c>
      <c r="BE35" s="224">
        <v>2.5714285714285716</v>
      </c>
      <c r="BF35" s="187">
        <v>0.26354837468149123</v>
      </c>
      <c r="BG35" s="187">
        <v>1.8346295092848037</v>
      </c>
      <c r="BH35" s="187">
        <v>0.93823232046052818</v>
      </c>
    </row>
    <row r="36" spans="1:60" ht="16">
      <c r="A36" s="146">
        <v>34</v>
      </c>
      <c r="B36" s="99" t="s">
        <v>283</v>
      </c>
      <c r="C36" s="99" t="s">
        <v>286</v>
      </c>
      <c r="D36" t="s">
        <v>84</v>
      </c>
      <c r="E36" s="239">
        <v>3</v>
      </c>
      <c r="F36" s="187">
        <v>2</v>
      </c>
      <c r="G36" s="187">
        <v>6</v>
      </c>
      <c r="H36" s="139" t="s">
        <v>153</v>
      </c>
      <c r="I36" s="239">
        <v>2</v>
      </c>
      <c r="J36" s="187">
        <v>1</v>
      </c>
      <c r="K36" s="187">
        <v>2</v>
      </c>
      <c r="L36" s="139" t="s">
        <v>88</v>
      </c>
      <c r="M36" s="139">
        <v>3</v>
      </c>
      <c r="N36" s="139">
        <v>1</v>
      </c>
      <c r="O36" s="139">
        <v>3</v>
      </c>
      <c r="P36" s="139">
        <v>1</v>
      </c>
      <c r="Q36" s="187" t="s">
        <v>88</v>
      </c>
      <c r="R36" s="240">
        <v>3</v>
      </c>
      <c r="S36" s="187">
        <v>2</v>
      </c>
      <c r="T36" s="187">
        <v>6</v>
      </c>
      <c r="U36" s="204">
        <v>116</v>
      </c>
      <c r="V36" s="204" t="s">
        <v>88</v>
      </c>
      <c r="W36" s="239">
        <v>2</v>
      </c>
      <c r="X36" s="204">
        <v>1</v>
      </c>
      <c r="Y36" s="204">
        <v>2</v>
      </c>
      <c r="Z36" s="204"/>
      <c r="AA36" s="241">
        <v>15611</v>
      </c>
      <c r="AB36" s="187">
        <v>2</v>
      </c>
      <c r="AC36" s="187">
        <v>2</v>
      </c>
      <c r="AD36" s="240">
        <f>IF(AND(BE36&gt;=2.71, BE36&lt;=2.86, AA36&gt;23700), 1, IF(AND(BE36&gt;=2.71, BE36&lt;=2.86, AA36&gt;=6000, AA36&lt;=23700), 1, IF(AND(BE36&gt;=2.71, BE36&lt;=2.86, AA36&lt;6000), 1, IF(AND(BE36&gt;=2.57, BE36&lt;=2.71, AA36&gt;23700), 2, IF(AND(BE36&gt;=2.57, BE36&lt;=2.71, AA36&gt;=6000, AA36&lt;=23700), 2, IF(AND(BE36&gt;=2.57, BE36&lt;=2.71, AA36&lt;6000), 1, IF(AND(BE36&gt;=1, BE36&lt;=2.57, AA36&gt;23700), 3, IF(AND(BE36&gt;=1, BE36&lt;=2.71, AA36&gt;=6000, AA36&lt;=23700), 3, IF(AND(BE36&gt;=1, BE36&lt;=2.71, AA36&lt;6000), 2, 0 ) ) ) ) ) ) ) ) )</f>
        <v>1</v>
      </c>
      <c r="AE36" s="187">
        <f t="shared" si="6"/>
        <v>0</v>
      </c>
      <c r="AF36" s="209">
        <v>1</v>
      </c>
      <c r="AG36" s="209">
        <v>1</v>
      </c>
      <c r="AH36" s="211">
        <v>0</v>
      </c>
      <c r="AI36" s="146">
        <v>6</v>
      </c>
      <c r="AJ36" s="146">
        <v>1</v>
      </c>
      <c r="AK36" s="146">
        <v>1</v>
      </c>
      <c r="AL36" s="146">
        <v>0</v>
      </c>
      <c r="AM36" s="92">
        <v>3</v>
      </c>
      <c r="AN36" s="226">
        <v>1</v>
      </c>
      <c r="AO36" s="226">
        <f t="shared" si="9"/>
        <v>0.47712125471966244</v>
      </c>
      <c r="AP36" s="229">
        <v>2</v>
      </c>
      <c r="AQ36" s="187">
        <v>1</v>
      </c>
      <c r="AR36" s="187">
        <f t="shared" si="1"/>
        <v>0.3010299956639812</v>
      </c>
      <c r="AS36" s="205">
        <v>2.75</v>
      </c>
      <c r="AT36" s="54">
        <f>IF(AS36&lt;2.5,1,IF(AS36&gt;3.5,3,2))</f>
        <v>2</v>
      </c>
      <c r="AU36" s="187">
        <v>1</v>
      </c>
      <c r="AV36" s="187">
        <f t="shared" si="2"/>
        <v>0.3010299956639812</v>
      </c>
      <c r="AW36" s="92" t="s">
        <v>99</v>
      </c>
      <c r="AX36" s="66" t="s">
        <v>92</v>
      </c>
      <c r="AY36" s="85">
        <v>3</v>
      </c>
      <c r="AZ36" s="246">
        <v>2</v>
      </c>
      <c r="BA36" s="206">
        <f t="shared" si="8"/>
        <v>0.95424250943932487</v>
      </c>
      <c r="BB36" s="206">
        <v>2</v>
      </c>
      <c r="BC36" s="206">
        <v>1</v>
      </c>
      <c r="BD36" s="206">
        <v>0.3010299956639812</v>
      </c>
      <c r="BE36" s="224">
        <v>2.7142857142857144</v>
      </c>
      <c r="BF36" s="187">
        <v>0.25938375012788123</v>
      </c>
      <c r="BG36" s="187">
        <v>1.8171205928321397</v>
      </c>
      <c r="BH36" s="187">
        <v>0.86563197508616319</v>
      </c>
    </row>
    <row r="37" spans="1:60" ht="16">
      <c r="A37" s="146">
        <v>35</v>
      </c>
      <c r="B37" s="99" t="s">
        <v>289</v>
      </c>
      <c r="C37" s="99" t="s">
        <v>286</v>
      </c>
      <c r="D37" t="s">
        <v>84</v>
      </c>
      <c r="E37" s="239">
        <v>3</v>
      </c>
      <c r="F37" s="187">
        <v>2</v>
      </c>
      <c r="G37" s="187">
        <v>6</v>
      </c>
      <c r="H37" s="139" t="s">
        <v>85</v>
      </c>
      <c r="I37" s="239">
        <v>2</v>
      </c>
      <c r="J37" s="187">
        <v>1</v>
      </c>
      <c r="K37" s="187">
        <v>2</v>
      </c>
      <c r="L37" s="139" t="s">
        <v>88</v>
      </c>
      <c r="M37" s="139">
        <v>3</v>
      </c>
      <c r="N37" s="139">
        <v>1</v>
      </c>
      <c r="O37" s="139">
        <v>3</v>
      </c>
      <c r="P37" s="139">
        <v>1</v>
      </c>
      <c r="Q37" s="187" t="s">
        <v>146</v>
      </c>
      <c r="R37" s="240">
        <v>2</v>
      </c>
      <c r="S37" s="187">
        <v>2</v>
      </c>
      <c r="T37" s="187">
        <v>4</v>
      </c>
      <c r="U37" s="252" t="s">
        <v>295</v>
      </c>
      <c r="V37" s="204" t="s">
        <v>88</v>
      </c>
      <c r="W37" s="239">
        <v>1</v>
      </c>
      <c r="X37" s="204">
        <v>1</v>
      </c>
      <c r="Y37" s="204">
        <v>1</v>
      </c>
      <c r="Z37" s="204"/>
      <c r="AA37" s="241">
        <v>15119</v>
      </c>
      <c r="AB37" s="187">
        <v>2</v>
      </c>
      <c r="AC37" s="187">
        <v>2</v>
      </c>
      <c r="AD37" s="240">
        <f>IF(AND(BE37&gt;=2.71, BE37&lt;=2.86, AA37&gt;23700), 1, IF(AND(BE37&gt;=2.71, BE37&lt;=2.86, AA37&gt;=6000, AA37&lt;=23700), 1, IF(AND(BE37&gt;=2.71, BE37&lt;=2.86, AA37&lt;6000), 1, IF(AND(BE37&gt;=2.57, BE37&lt;=2.71, AA37&gt;23700), 2, IF(AND(BE37&gt;=2.57, BE37&lt;=2.71, AA37&gt;=6000, AA37&lt;=23700), 2, IF(AND(BE37&gt;=2.57, BE37&lt;=2.71, AA37&lt;6000), 1, IF(AND(BE37&gt;=1, BE37&lt;=2.57, AA37&gt;23700), 3, IF(AND(BE37&gt;=1, BE37&lt;=2.71, AA37&gt;=6000, AA37&lt;=23700), 3, IF(AND(BE37&gt;=1, BE37&lt;=2.71, AA37&lt;6000), 2, 0 ) ) ) ) ) ) ) ) )</f>
        <v>3</v>
      </c>
      <c r="AE37" s="187">
        <f t="shared" si="6"/>
        <v>0.95424250943932487</v>
      </c>
      <c r="AF37" s="209">
        <v>1</v>
      </c>
      <c r="AG37" s="209">
        <v>1</v>
      </c>
      <c r="AH37" s="211">
        <v>0</v>
      </c>
      <c r="AI37" s="146">
        <v>5</v>
      </c>
      <c r="AJ37" s="146">
        <v>1</v>
      </c>
      <c r="AK37" s="146">
        <v>1</v>
      </c>
      <c r="AL37" s="146">
        <v>0</v>
      </c>
      <c r="AM37" s="92">
        <v>3</v>
      </c>
      <c r="AN37" s="226">
        <v>1</v>
      </c>
      <c r="AO37" s="226">
        <f t="shared" si="9"/>
        <v>0.47712125471966244</v>
      </c>
      <c r="AP37" s="229">
        <v>1</v>
      </c>
      <c r="AQ37" s="187">
        <v>1</v>
      </c>
      <c r="AR37" s="187">
        <f t="shared" si="1"/>
        <v>0</v>
      </c>
      <c r="AS37" s="205">
        <v>1.333</v>
      </c>
      <c r="AT37" s="54">
        <f>IF(AS37&lt;2.5,1,IF(AS37&gt;3.5,3,2))</f>
        <v>1</v>
      </c>
      <c r="AU37" s="187">
        <v>1</v>
      </c>
      <c r="AV37" s="187">
        <f t="shared" si="2"/>
        <v>0</v>
      </c>
      <c r="AW37" s="92" t="s">
        <v>91</v>
      </c>
      <c r="AX37" s="66" t="s">
        <v>92</v>
      </c>
      <c r="AY37" s="85">
        <v>3</v>
      </c>
      <c r="AZ37" s="246">
        <v>2</v>
      </c>
      <c r="BA37" s="206">
        <f t="shared" si="8"/>
        <v>0.95424250943932487</v>
      </c>
      <c r="BB37" s="206">
        <v>2</v>
      </c>
      <c r="BC37" s="206">
        <v>1</v>
      </c>
      <c r="BD37" s="206">
        <v>0.3010299956639812</v>
      </c>
      <c r="BE37" s="224">
        <v>2.2857142857142856</v>
      </c>
      <c r="BF37" s="187">
        <v>0.24423966084202667</v>
      </c>
      <c r="BG37" s="187">
        <v>1.7548486294507331</v>
      </c>
      <c r="BH37" s="187">
        <v>1.0392307419511335</v>
      </c>
    </row>
    <row r="38" spans="1:60" ht="16">
      <c r="A38" s="146">
        <v>36</v>
      </c>
      <c r="B38" s="99" t="s">
        <v>296</v>
      </c>
      <c r="C38" s="99" t="s">
        <v>83</v>
      </c>
      <c r="D38" t="s">
        <v>84</v>
      </c>
      <c r="E38" s="261">
        <v>3</v>
      </c>
      <c r="F38" s="262">
        <v>2</v>
      </c>
      <c r="G38" s="262">
        <f>E38*F38</f>
        <v>6</v>
      </c>
      <c r="H38" s="263">
        <v>1</v>
      </c>
      <c r="I38" s="261">
        <v>2</v>
      </c>
      <c r="J38" s="262">
        <v>1</v>
      </c>
      <c r="K38" s="262">
        <f>I38*J38</f>
        <v>2</v>
      </c>
      <c r="L38" s="78" t="s">
        <v>88</v>
      </c>
      <c r="M38" s="78">
        <v>3</v>
      </c>
      <c r="N38" s="78">
        <v>1</v>
      </c>
      <c r="O38" s="78">
        <f>M38*N38</f>
        <v>3</v>
      </c>
      <c r="P38" s="78">
        <v>1</v>
      </c>
      <c r="Q38" s="53" t="s">
        <v>88</v>
      </c>
      <c r="R38" s="271">
        <v>2</v>
      </c>
      <c r="S38" s="272">
        <v>2</v>
      </c>
      <c r="T38" s="272">
        <f>R38*S38</f>
        <v>4</v>
      </c>
      <c r="U38" s="274">
        <v>107</v>
      </c>
      <c r="V38" s="273" t="s">
        <v>88</v>
      </c>
      <c r="W38" s="261">
        <v>3</v>
      </c>
      <c r="X38" s="273">
        <v>1</v>
      </c>
      <c r="Y38" s="273">
        <f>W38*X38</f>
        <v>3</v>
      </c>
      <c r="Z38" s="42"/>
      <c r="AA38" s="241">
        <v>14658</v>
      </c>
      <c r="AB38" s="187">
        <v>2</v>
      </c>
      <c r="AC38" s="187">
        <v>2</v>
      </c>
      <c r="AD38" s="240">
        <f>IF(AND(BE38&gt;=2.71, BE38&lt;=2.86, AA38&gt;23700), 1, IF(AND(BE38&gt;=2.71, BE38&lt;=2.86, AA38&gt;=6000, AA38&lt;=23700), 1, IF(AND(BE38&gt;=2.71, BE38&lt;=2.86, AA38&lt;6000), 1, IF(AND(BE38&gt;=2.57, BE38&lt;=2.71, AA38&gt;23700), 2, IF(AND(BE38&gt;=2.57, BE38&lt;=2.71, AA38&gt;=6000, AA38&lt;=23700), 2, IF(AND(BE38&gt;=2.57, BE38&lt;=2.71, AA38&lt;6000), 1, IF(AND(BE38&gt;=1, BE38&lt;=2.57, AA38&gt;23700), 3, IF(AND(BE38&gt;=1, BE38&lt;=2.71, AA38&gt;=6000, AA38&lt;=23700), 3, IF(AND(BE38&gt;=1, BE38&lt;=2.71, AA38&lt;6000), 2, 0 ) ) ) ) ) ) ) ) )</f>
        <v>2</v>
      </c>
      <c r="AE38" s="187">
        <f t="shared" si="6"/>
        <v>0.6020599913279624</v>
      </c>
      <c r="AF38" s="209">
        <v>3</v>
      </c>
      <c r="AG38" s="209">
        <v>1</v>
      </c>
      <c r="AH38" s="211">
        <v>0.47712125471966244</v>
      </c>
      <c r="AI38" s="146">
        <v>6</v>
      </c>
      <c r="AJ38" s="146">
        <v>1</v>
      </c>
      <c r="AK38" s="146">
        <v>1</v>
      </c>
      <c r="AL38" s="146">
        <v>0</v>
      </c>
      <c r="AM38" s="92">
        <v>1</v>
      </c>
      <c r="AN38" s="226">
        <v>1</v>
      </c>
      <c r="AO38" s="226">
        <f t="shared" si="9"/>
        <v>0</v>
      </c>
      <c r="AP38" s="280">
        <v>2</v>
      </c>
      <c r="AQ38" s="262">
        <v>1</v>
      </c>
      <c r="AR38" s="264">
        <f t="shared" si="1"/>
        <v>0.3010299956639812</v>
      </c>
      <c r="AS38" s="64">
        <v>1.6666666670000001</v>
      </c>
      <c r="AT38" s="54">
        <f>IF(AS38&lt;2.5,1,IF(AS38&gt;3.5,3,2))</f>
        <v>1</v>
      </c>
      <c r="AU38" s="45">
        <v>1</v>
      </c>
      <c r="AV38" s="187">
        <f t="shared" si="2"/>
        <v>0</v>
      </c>
      <c r="AW38" s="61" t="s">
        <v>91</v>
      </c>
      <c r="AX38" s="66" t="s">
        <v>106</v>
      </c>
      <c r="AY38" s="67">
        <v>3</v>
      </c>
      <c r="AZ38" s="247">
        <v>2</v>
      </c>
      <c r="BA38" s="68">
        <f t="shared" si="8"/>
        <v>0.95424250943932487</v>
      </c>
      <c r="BB38" s="206">
        <v>2</v>
      </c>
      <c r="BC38" s="206">
        <v>1</v>
      </c>
      <c r="BD38" s="206">
        <v>0.3010299956639812</v>
      </c>
      <c r="BE38" s="224">
        <v>2.5714285714285716</v>
      </c>
      <c r="BF38" s="187">
        <v>0.26354837468149117</v>
      </c>
      <c r="BG38" s="187">
        <v>1.8346295092848033</v>
      </c>
      <c r="BH38" s="187">
        <v>0.93823232046052785</v>
      </c>
    </row>
    <row r="39" spans="1:60" ht="16">
      <c r="A39" s="146">
        <v>37</v>
      </c>
      <c r="B39" s="99" t="s">
        <v>299</v>
      </c>
      <c r="C39" s="99" t="s">
        <v>83</v>
      </c>
      <c r="D39" t="s">
        <v>84</v>
      </c>
      <c r="E39" s="239">
        <v>3</v>
      </c>
      <c r="F39" s="187">
        <v>2</v>
      </c>
      <c r="G39" s="187">
        <v>6</v>
      </c>
      <c r="H39" s="139" t="s">
        <v>103</v>
      </c>
      <c r="I39" s="239">
        <v>2</v>
      </c>
      <c r="J39" s="187">
        <v>1</v>
      </c>
      <c r="K39" s="187">
        <v>2</v>
      </c>
      <c r="L39" s="139" t="s">
        <v>88</v>
      </c>
      <c r="M39" s="139">
        <v>3</v>
      </c>
      <c r="N39" s="139">
        <v>1</v>
      </c>
      <c r="O39" s="139">
        <v>3</v>
      </c>
      <c r="P39" s="139">
        <v>1</v>
      </c>
      <c r="Q39" s="187" t="s">
        <v>115</v>
      </c>
      <c r="R39" s="240">
        <v>3</v>
      </c>
      <c r="S39" s="187">
        <v>2</v>
      </c>
      <c r="T39" s="187">
        <v>6</v>
      </c>
      <c r="U39" s="252" t="s">
        <v>302</v>
      </c>
      <c r="V39" s="204" t="s">
        <v>88</v>
      </c>
      <c r="W39" s="239">
        <v>2</v>
      </c>
      <c r="X39" s="204">
        <v>1</v>
      </c>
      <c r="Y39" s="204">
        <v>2</v>
      </c>
      <c r="Z39" s="204"/>
      <c r="AA39" s="241">
        <v>14576</v>
      </c>
      <c r="AB39" s="187">
        <v>2</v>
      </c>
      <c r="AC39" s="187">
        <v>2</v>
      </c>
      <c r="AD39" s="240">
        <f>IF(AND(BE39&gt;=2.71, BE39&lt;=2.86, AA39&gt;23700), 1, IF(AND(BE39&gt;=2.71, BE39&lt;=2.86, AA39&gt;=6000, AA39&lt;=23700), 1, IF(AND(BE39&gt;=2.71, BE39&lt;=2.86, AA39&lt;6000), 1, IF(AND(BE39&gt;=2.57, BE39&lt;=2.71, AA39&gt;23700), 2, IF(AND(BE39&gt;=2.57, BE39&lt;=2.71, AA39&gt;=6000, AA39&lt;=23700), 2, IF(AND(BE39&gt;=2.57, BE39&lt;=2.71, AA39&lt;6000), 1, IF(AND(BE39&gt;=1, BE39&lt;=2.57, AA39&gt;23700), 3, IF(AND(BE39&gt;=1, BE39&lt;=2.71, AA39&gt;=6000, AA39&lt;=23700), 3, IF(AND(BE39&gt;=1, BE39&lt;=2.71, AA39&lt;6000), 2, 0 ) ) ) ) ) ) ) ) )</f>
        <v>1</v>
      </c>
      <c r="AE39" s="187">
        <f t="shared" si="6"/>
        <v>0</v>
      </c>
      <c r="AF39" s="209">
        <v>1</v>
      </c>
      <c r="AG39" s="209">
        <v>1</v>
      </c>
      <c r="AH39" s="211">
        <v>0</v>
      </c>
      <c r="AI39" s="146">
        <v>6</v>
      </c>
      <c r="AJ39" s="146">
        <v>1</v>
      </c>
      <c r="AK39" s="146">
        <v>1</v>
      </c>
      <c r="AL39" s="146">
        <v>0</v>
      </c>
      <c r="AM39" s="92">
        <v>1</v>
      </c>
      <c r="AN39" s="226">
        <v>1</v>
      </c>
      <c r="AO39" s="226">
        <f t="shared" si="9"/>
        <v>0</v>
      </c>
      <c r="AP39" s="229">
        <v>2</v>
      </c>
      <c r="AQ39" s="187">
        <v>1</v>
      </c>
      <c r="AR39" s="187">
        <f t="shared" si="1"/>
        <v>0.3010299956639812</v>
      </c>
      <c r="AS39" s="205">
        <v>1.25</v>
      </c>
      <c r="AT39" s="54">
        <f>IF(AS39&lt;2.5,1,IF(AS39&gt;3.5,3,2))</f>
        <v>1</v>
      </c>
      <c r="AU39" s="187">
        <v>1</v>
      </c>
      <c r="AV39" s="187">
        <f t="shared" si="2"/>
        <v>0</v>
      </c>
      <c r="AW39" s="92" t="s">
        <v>99</v>
      </c>
      <c r="AX39" s="66" t="s">
        <v>92</v>
      </c>
      <c r="AY39" s="85">
        <v>3</v>
      </c>
      <c r="AZ39" s="246">
        <v>2</v>
      </c>
      <c r="BA39" s="206">
        <f t="shared" si="8"/>
        <v>0.95424250943932487</v>
      </c>
      <c r="BB39" s="206">
        <v>2</v>
      </c>
      <c r="BC39" s="206">
        <v>1</v>
      </c>
      <c r="BD39" s="206">
        <v>0.3010299956639812</v>
      </c>
      <c r="BE39" s="224">
        <v>2.7142857142857144</v>
      </c>
      <c r="BF39" s="187">
        <v>0.17292250008525414</v>
      </c>
      <c r="BG39" s="187">
        <v>1.4890953247181091</v>
      </c>
      <c r="BH39" s="187">
        <v>0.56643348216921019</v>
      </c>
    </row>
    <row r="40" spans="1:60" ht="16">
      <c r="A40" s="146">
        <v>38</v>
      </c>
      <c r="B40" s="99" t="s">
        <v>303</v>
      </c>
      <c r="C40" s="99" t="s">
        <v>160</v>
      </c>
      <c r="D40" t="s">
        <v>84</v>
      </c>
      <c r="E40" s="239">
        <v>3</v>
      </c>
      <c r="F40" s="187">
        <v>2</v>
      </c>
      <c r="G40" s="187">
        <v>6</v>
      </c>
      <c r="H40" s="139" t="s">
        <v>153</v>
      </c>
      <c r="I40" s="239">
        <v>2</v>
      </c>
      <c r="J40" s="187">
        <v>1</v>
      </c>
      <c r="K40" s="187">
        <v>2</v>
      </c>
      <c r="L40" s="139" t="s">
        <v>88</v>
      </c>
      <c r="M40" s="139">
        <v>3</v>
      </c>
      <c r="N40" s="139">
        <v>1</v>
      </c>
      <c r="O40" s="139">
        <v>3</v>
      </c>
      <c r="P40" s="139">
        <v>1</v>
      </c>
      <c r="Q40" s="187" t="s">
        <v>88</v>
      </c>
      <c r="R40" s="240">
        <v>3</v>
      </c>
      <c r="S40" s="187">
        <v>2</v>
      </c>
      <c r="T40" s="187">
        <v>6</v>
      </c>
      <c r="U40" s="204">
        <v>99</v>
      </c>
      <c r="V40" s="204" t="s">
        <v>88</v>
      </c>
      <c r="W40" s="239">
        <v>1</v>
      </c>
      <c r="X40" s="204">
        <v>1</v>
      </c>
      <c r="Y40" s="204">
        <v>1</v>
      </c>
      <c r="Z40" s="204"/>
      <c r="AA40" s="241">
        <v>13227</v>
      </c>
      <c r="AB40" s="187">
        <v>2</v>
      </c>
      <c r="AC40" s="187">
        <v>2</v>
      </c>
      <c r="AD40" s="240">
        <f>IF(AND(BE40&gt;=2.71, BE40&lt;=2.86, AA40&gt;23700), 1, IF(AND(BE40&gt;=2.71, BE40&lt;=2.86, AA40&gt;=6000, AA40&lt;=23700), 1, IF(AND(BE40&gt;=2.71, BE40&lt;=2.86, AA40&lt;6000), 1, IF(AND(BE40&gt;=2.57, BE40&lt;=2.71, AA40&gt;23700), 2, IF(AND(BE40&gt;=2.57, BE40&lt;=2.71, AA40&gt;=6000, AA40&lt;=23700), 2, IF(AND(BE40&gt;=2.57, BE40&lt;=2.71, AA40&lt;6000), 1, IF(AND(BE40&gt;=1, BE40&lt;=2.57, AA40&gt;23700), 3, IF(AND(BE40&gt;=1, BE40&lt;=2.71, AA40&gt;=6000, AA40&lt;=23700), 3, IF(AND(BE40&gt;=1, BE40&lt;=2.71, AA40&lt;6000), 2, 0 ) ) ) ) ) ) ) ) )</f>
        <v>2</v>
      </c>
      <c r="AE40" s="187">
        <f t="shared" si="6"/>
        <v>0.6020599913279624</v>
      </c>
      <c r="AF40" s="209">
        <v>1</v>
      </c>
      <c r="AG40" s="209">
        <v>1</v>
      </c>
      <c r="AH40" s="211">
        <v>0</v>
      </c>
      <c r="AI40" s="146">
        <v>6</v>
      </c>
      <c r="AJ40" s="146">
        <v>1</v>
      </c>
      <c r="AK40" s="146">
        <v>1</v>
      </c>
      <c r="AL40" s="146">
        <v>0</v>
      </c>
      <c r="AM40" s="92">
        <v>3</v>
      </c>
      <c r="AN40" s="226">
        <v>1</v>
      </c>
      <c r="AO40" s="226">
        <f t="shared" si="9"/>
        <v>0.47712125471966244</v>
      </c>
      <c r="AP40" s="229">
        <v>2</v>
      </c>
      <c r="AQ40" s="187">
        <v>1</v>
      </c>
      <c r="AR40" s="187">
        <f t="shared" si="1"/>
        <v>0.3010299956639812</v>
      </c>
      <c r="AS40" s="205">
        <v>2.25</v>
      </c>
      <c r="AT40" s="54">
        <f>IF(AS40&lt;2.5,1,IF(AS40&gt;3.5,3,2))</f>
        <v>1</v>
      </c>
      <c r="AU40" s="187">
        <v>1</v>
      </c>
      <c r="AV40" s="187">
        <f t="shared" si="2"/>
        <v>0</v>
      </c>
      <c r="AW40" s="92" t="s">
        <v>99</v>
      </c>
      <c r="AX40" s="66" t="s">
        <v>92</v>
      </c>
      <c r="AY40" s="85">
        <v>3</v>
      </c>
      <c r="AZ40" s="246">
        <v>2</v>
      </c>
      <c r="BA40" s="206">
        <f t="shared" si="8"/>
        <v>0.95424250943932487</v>
      </c>
      <c r="BB40" s="206">
        <v>2</v>
      </c>
      <c r="BC40" s="206">
        <v>1</v>
      </c>
      <c r="BD40" s="206">
        <v>0.3010299956639812</v>
      </c>
      <c r="BE40" s="224">
        <v>2.5714285714285716</v>
      </c>
      <c r="BF40" s="187">
        <v>0.26354837468149117</v>
      </c>
      <c r="BG40" s="187">
        <v>1.8346295092848033</v>
      </c>
      <c r="BH40" s="187">
        <v>0.93823232046052785</v>
      </c>
    </row>
    <row r="41" spans="1:60" ht="16">
      <c r="A41" s="146">
        <v>39</v>
      </c>
      <c r="B41" s="99" t="s">
        <v>307</v>
      </c>
      <c r="C41" s="99" t="s">
        <v>310</v>
      </c>
      <c r="D41" t="s">
        <v>84</v>
      </c>
      <c r="E41" s="239">
        <v>1</v>
      </c>
      <c r="F41" s="187">
        <v>2</v>
      </c>
      <c r="G41" s="187">
        <v>2</v>
      </c>
      <c r="H41" s="139" t="s">
        <v>153</v>
      </c>
      <c r="I41" s="239">
        <v>1</v>
      </c>
      <c r="J41" s="187">
        <v>1</v>
      </c>
      <c r="K41" s="187">
        <v>1</v>
      </c>
      <c r="L41" s="139" t="s">
        <v>88</v>
      </c>
      <c r="M41" s="139">
        <v>3</v>
      </c>
      <c r="N41" s="139">
        <v>1</v>
      </c>
      <c r="O41" s="139">
        <v>3</v>
      </c>
      <c r="P41" s="139">
        <v>1</v>
      </c>
      <c r="Q41" s="187" t="s">
        <v>146</v>
      </c>
      <c r="R41" s="240">
        <v>2</v>
      </c>
      <c r="S41" s="187">
        <v>2</v>
      </c>
      <c r="T41" s="187">
        <v>4</v>
      </c>
      <c r="U41" s="204">
        <v>155</v>
      </c>
      <c r="V41" s="204" t="s">
        <v>88</v>
      </c>
      <c r="W41" s="239">
        <v>1</v>
      </c>
      <c r="X41" s="204">
        <v>1</v>
      </c>
      <c r="Y41" s="204">
        <v>1</v>
      </c>
      <c r="Z41" s="204"/>
      <c r="AA41" s="241">
        <v>12768</v>
      </c>
      <c r="AB41" s="187">
        <v>2</v>
      </c>
      <c r="AC41" s="187">
        <v>2</v>
      </c>
      <c r="AD41" s="240">
        <f>IF(AND(BE41&gt;=2.71, BE41&lt;=2.86, AA41&gt;23700), 1, IF(AND(BE41&gt;=2.71, BE41&lt;=2.86, AA41&gt;=6000, AA41&lt;=23700), 1, IF(AND(BE41&gt;=2.71, BE41&lt;=2.86, AA41&lt;6000), 1, IF(AND(BE41&gt;=2.57, BE41&lt;=2.71, AA41&gt;23700), 2, IF(AND(BE41&gt;=2.57, BE41&lt;=2.71, AA41&gt;=6000, AA41&lt;=23700), 2, IF(AND(BE41&gt;=2.57, BE41&lt;=2.71, AA41&lt;6000), 1, IF(AND(BE41&gt;=1, BE41&lt;=2.57, AA41&gt;23700), 3, IF(AND(BE41&gt;=1, BE41&lt;=2.71, AA41&gt;=6000, AA41&lt;=23700), 3, IF(AND(BE41&gt;=1, BE41&lt;=2.71, AA41&lt;6000), 2, 0 ) ) ) ) ) ) ) ) )</f>
        <v>3</v>
      </c>
      <c r="AE41" s="187">
        <f t="shared" si="6"/>
        <v>0.95424250943932487</v>
      </c>
      <c r="AF41" s="209">
        <v>1</v>
      </c>
      <c r="AG41" s="209">
        <v>1</v>
      </c>
      <c r="AH41" s="211">
        <v>0</v>
      </c>
      <c r="AI41" s="146">
        <v>5</v>
      </c>
      <c r="AJ41" s="146">
        <v>1</v>
      </c>
      <c r="AK41" s="146">
        <v>1</v>
      </c>
      <c r="AL41" s="146">
        <v>0</v>
      </c>
      <c r="AM41" s="92">
        <v>1</v>
      </c>
      <c r="AN41" s="226">
        <v>1</v>
      </c>
      <c r="AO41" s="226">
        <f t="shared" si="9"/>
        <v>0</v>
      </c>
      <c r="AP41" s="229">
        <v>1</v>
      </c>
      <c r="AQ41" s="187">
        <v>1</v>
      </c>
      <c r="AR41" s="187">
        <f>AQ41*LOG(AP41)</f>
        <v>0</v>
      </c>
      <c r="AS41" s="205">
        <v>1.5</v>
      </c>
      <c r="AT41" s="54">
        <f>IF(AS41&lt;2.5,1,IF(AS41&gt;3.5,3,2))</f>
        <v>1</v>
      </c>
      <c r="AU41" s="187">
        <v>1</v>
      </c>
      <c r="AV41" s="187">
        <f t="shared" si="2"/>
        <v>0</v>
      </c>
      <c r="AW41" s="92" t="s">
        <v>99</v>
      </c>
      <c r="AX41" s="66" t="s">
        <v>106</v>
      </c>
      <c r="AY41" s="85">
        <v>3</v>
      </c>
      <c r="AZ41" s="246">
        <v>2</v>
      </c>
      <c r="BA41" s="206">
        <f t="shared" si="8"/>
        <v>0.95424250943932487</v>
      </c>
      <c r="BB41" s="206">
        <v>3</v>
      </c>
      <c r="BC41" s="206">
        <v>1</v>
      </c>
      <c r="BD41" s="206">
        <v>0.47712125471966244</v>
      </c>
      <c r="BE41" s="224">
        <v>1.5714285714285714</v>
      </c>
      <c r="BF41" s="187">
        <v>0.21687329759984655</v>
      </c>
      <c r="BG41" s="187">
        <v>1.6476816217236241</v>
      </c>
      <c r="BH41" s="187">
        <v>1.5685368371986537</v>
      </c>
    </row>
    <row r="42" spans="1:60" ht="16">
      <c r="A42" s="146">
        <v>40</v>
      </c>
      <c r="B42" s="99" t="s">
        <v>315</v>
      </c>
      <c r="C42" s="99" t="s">
        <v>318</v>
      </c>
      <c r="D42" t="s">
        <v>84</v>
      </c>
      <c r="E42" s="239">
        <v>3</v>
      </c>
      <c r="F42" s="187">
        <v>2</v>
      </c>
      <c r="G42" s="187">
        <v>6</v>
      </c>
      <c r="H42" s="139" t="s">
        <v>111</v>
      </c>
      <c r="I42" s="239">
        <v>1</v>
      </c>
      <c r="J42" s="187">
        <v>1</v>
      </c>
      <c r="K42" s="187">
        <v>1</v>
      </c>
      <c r="L42" s="139" t="s">
        <v>88</v>
      </c>
      <c r="M42" s="139">
        <v>3</v>
      </c>
      <c r="N42" s="139">
        <v>1</v>
      </c>
      <c r="O42" s="139">
        <v>3</v>
      </c>
      <c r="P42" s="139">
        <v>1</v>
      </c>
      <c r="Q42" s="187" t="s">
        <v>88</v>
      </c>
      <c r="R42" s="240">
        <v>2</v>
      </c>
      <c r="S42" s="187">
        <v>2</v>
      </c>
      <c r="T42" s="187">
        <v>4</v>
      </c>
      <c r="U42" s="252">
        <v>1</v>
      </c>
      <c r="V42" s="204" t="s">
        <v>115</v>
      </c>
      <c r="W42" s="239">
        <v>2</v>
      </c>
      <c r="X42" s="204">
        <v>1</v>
      </c>
      <c r="Y42" s="204">
        <v>2</v>
      </c>
      <c r="Z42" s="204"/>
      <c r="AA42" s="241">
        <v>12629</v>
      </c>
      <c r="AB42" s="187">
        <v>2</v>
      </c>
      <c r="AC42" s="187">
        <v>2</v>
      </c>
      <c r="AD42" s="240">
        <f>IF(AND(BE42&gt;=2.71, BE42&lt;=2.86, AA42&gt;23700), 1, IF(AND(BE42&gt;=2.71, BE42&lt;=2.86, AA42&gt;=6000, AA42&lt;=23700), 1, IF(AND(BE42&gt;=2.71, BE42&lt;=2.86, AA42&lt;6000), 1, IF(AND(BE42&gt;=2.57, BE42&lt;=2.71, AA42&gt;23700), 2, IF(AND(BE42&gt;=2.57, BE42&lt;=2.71, AA42&gt;=6000, AA42&lt;=23700), 2, IF(AND(BE42&gt;=2.57, BE42&lt;=2.71, AA42&lt;6000), 1, IF(AND(BE42&gt;=1, BE42&lt;=2.57, AA42&gt;23700), 3, IF(AND(BE42&gt;=1, BE42&lt;=2.71, AA42&gt;=6000, AA42&lt;=23700), 3, IF(AND(BE42&gt;=1, BE42&lt;=2.71, AA42&lt;6000), 2, 0 ) ) ) ) ) ) ) ) )</f>
        <v>3</v>
      </c>
      <c r="AE42" s="187">
        <f t="shared" si="6"/>
        <v>0.95424250943932487</v>
      </c>
      <c r="AF42" s="209">
        <v>1</v>
      </c>
      <c r="AG42" s="209">
        <v>1</v>
      </c>
      <c r="AH42" s="211">
        <v>0</v>
      </c>
      <c r="AI42" s="146">
        <v>1</v>
      </c>
      <c r="AJ42" s="146">
        <v>3</v>
      </c>
      <c r="AK42" s="146">
        <v>1</v>
      </c>
      <c r="AL42" s="146">
        <v>0.47712125471966244</v>
      </c>
      <c r="AM42" s="92">
        <v>1</v>
      </c>
      <c r="AN42" s="226">
        <v>1</v>
      </c>
      <c r="AO42" s="226">
        <f t="shared" si="9"/>
        <v>0</v>
      </c>
      <c r="AP42" s="229">
        <v>1</v>
      </c>
      <c r="AQ42" s="187">
        <v>1</v>
      </c>
      <c r="AR42" s="187">
        <f t="shared" si="1"/>
        <v>0</v>
      </c>
      <c r="AS42" s="205">
        <v>2.125</v>
      </c>
      <c r="AT42" s="54">
        <f>IF(AS42&lt;2.5,1,IF(AS42&gt;3.5,3,2))</f>
        <v>1</v>
      </c>
      <c r="AU42" s="187">
        <v>1</v>
      </c>
      <c r="AV42" s="187">
        <f t="shared" si="2"/>
        <v>0</v>
      </c>
      <c r="AW42" s="92" t="s">
        <v>91</v>
      </c>
      <c r="AX42" s="66" t="s">
        <v>92</v>
      </c>
      <c r="AY42" s="85">
        <v>3</v>
      </c>
      <c r="AZ42" s="246">
        <v>2</v>
      </c>
      <c r="BA42" s="206">
        <f t="shared" si="8"/>
        <v>0.95424250943932487</v>
      </c>
      <c r="BB42" s="206">
        <v>3</v>
      </c>
      <c r="BC42" s="206">
        <v>1</v>
      </c>
      <c r="BD42" s="206">
        <v>0.47712125471966244</v>
      </c>
      <c r="BE42" s="224">
        <v>2.2857142857142856</v>
      </c>
      <c r="BF42" s="187">
        <v>0.26024795711981591</v>
      </c>
      <c r="BG42" s="187">
        <v>1.8207400995719849</v>
      </c>
      <c r="BH42" s="187">
        <v>1.0880341872745014</v>
      </c>
    </row>
    <row r="43" spans="1:60" ht="16">
      <c r="A43" s="146">
        <v>41</v>
      </c>
      <c r="B43" s="99" t="s">
        <v>321</v>
      </c>
      <c r="C43" s="99" t="s">
        <v>83</v>
      </c>
      <c r="D43" t="s">
        <v>84</v>
      </c>
      <c r="E43" s="239">
        <v>3</v>
      </c>
      <c r="F43" s="187">
        <v>2</v>
      </c>
      <c r="G43" s="187">
        <v>6</v>
      </c>
      <c r="H43" s="139" t="s">
        <v>103</v>
      </c>
      <c r="I43" s="239">
        <v>2</v>
      </c>
      <c r="J43" s="187">
        <v>1</v>
      </c>
      <c r="K43" s="187">
        <v>2</v>
      </c>
      <c r="L43" s="139" t="s">
        <v>88</v>
      </c>
      <c r="M43" s="139">
        <v>3</v>
      </c>
      <c r="N43" s="139">
        <v>1</v>
      </c>
      <c r="O43" s="139">
        <v>3</v>
      </c>
      <c r="P43" s="139">
        <v>1</v>
      </c>
      <c r="Q43" s="187" t="s">
        <v>115</v>
      </c>
      <c r="R43" s="240">
        <v>3</v>
      </c>
      <c r="S43" s="187">
        <v>2</v>
      </c>
      <c r="T43" s="187">
        <v>6</v>
      </c>
      <c r="U43" s="252">
        <v>99</v>
      </c>
      <c r="V43" s="204" t="s">
        <v>88</v>
      </c>
      <c r="W43" s="239">
        <v>2</v>
      </c>
      <c r="X43" s="204">
        <v>1</v>
      </c>
      <c r="Y43" s="204">
        <v>2</v>
      </c>
      <c r="Z43" s="204"/>
      <c r="AA43" s="241">
        <v>10998</v>
      </c>
      <c r="AB43" s="187">
        <v>2</v>
      </c>
      <c r="AC43" s="187">
        <v>2</v>
      </c>
      <c r="AD43" s="240">
        <f>IF(AND(BE43&gt;=2.71, BE43&lt;=2.86, AA43&gt;23700), 1, IF(AND(BE43&gt;=2.71, BE43&lt;=2.86, AA43&gt;=6000, AA43&lt;=23700), 1, IF(AND(BE43&gt;=2.71, BE43&lt;=2.86, AA43&lt;6000), 1, IF(AND(BE43&gt;=2.57, BE43&lt;=2.71, AA43&gt;23700), 2, IF(AND(BE43&gt;=2.57, BE43&lt;=2.71, AA43&gt;=6000, AA43&lt;=23700), 2, IF(AND(BE43&gt;=2.57, BE43&lt;=2.71, AA43&lt;6000), 1, IF(AND(BE43&gt;=1, BE43&lt;=2.57, AA43&gt;23700), 3, IF(AND(BE43&gt;=1, BE43&lt;=2.71, AA43&gt;=6000, AA43&lt;=23700), 3, IF(AND(BE43&gt;=1, BE43&lt;=2.71, AA43&lt;6000), 2, 0 ) ) ) ) ) ) ) ) )</f>
        <v>1</v>
      </c>
      <c r="AE43" s="187">
        <f t="shared" si="6"/>
        <v>0</v>
      </c>
      <c r="AF43" s="209">
        <v>2</v>
      </c>
      <c r="AG43" s="209">
        <v>1</v>
      </c>
      <c r="AH43" s="211">
        <v>0.3010299956639812</v>
      </c>
      <c r="AI43" s="146">
        <v>6</v>
      </c>
      <c r="AJ43" s="146">
        <v>1</v>
      </c>
      <c r="AK43" s="146">
        <v>1</v>
      </c>
      <c r="AL43" s="146">
        <v>0</v>
      </c>
      <c r="AM43" s="92">
        <v>1</v>
      </c>
      <c r="AN43" s="226">
        <v>1</v>
      </c>
      <c r="AO43" s="226">
        <f t="shared" si="9"/>
        <v>0</v>
      </c>
      <c r="AP43" s="229">
        <v>1</v>
      </c>
      <c r="AQ43" s="187">
        <v>1</v>
      </c>
      <c r="AR43" s="187">
        <f t="shared" si="1"/>
        <v>0</v>
      </c>
      <c r="AS43" s="205">
        <v>1.5</v>
      </c>
      <c r="AT43" s="54">
        <f>IF(AS43&lt;2.5,1,IF(AS43&gt;3.5,3,2))</f>
        <v>1</v>
      </c>
      <c r="AU43" s="187">
        <v>1</v>
      </c>
      <c r="AV43" s="187">
        <f t="shared" si="2"/>
        <v>0</v>
      </c>
      <c r="AW43" s="92" t="s">
        <v>99</v>
      </c>
      <c r="AX43" s="66" t="s">
        <v>106</v>
      </c>
      <c r="AY43" s="85">
        <v>3</v>
      </c>
      <c r="AZ43" s="246">
        <v>2</v>
      </c>
      <c r="BA43" s="206">
        <f t="shared" si="8"/>
        <v>0.95424250943932487</v>
      </c>
      <c r="BB43" s="206">
        <v>2</v>
      </c>
      <c r="BC43" s="206">
        <v>1</v>
      </c>
      <c r="BD43" s="206">
        <v>0.3010299956639812</v>
      </c>
      <c r="BE43" s="224">
        <v>2.7142857142857144</v>
      </c>
      <c r="BF43" s="187">
        <v>0.17292250008525414</v>
      </c>
      <c r="BG43" s="187">
        <v>1.4890953247181091</v>
      </c>
      <c r="BH43" s="187">
        <v>0.56643348216921019</v>
      </c>
    </row>
    <row r="44" spans="1:60" ht="16">
      <c r="A44" s="146">
        <v>42</v>
      </c>
      <c r="B44" s="99" t="s">
        <v>324</v>
      </c>
      <c r="C44" s="99" t="s">
        <v>327</v>
      </c>
      <c r="D44" t="s">
        <v>84</v>
      </c>
      <c r="E44" s="239">
        <v>1</v>
      </c>
      <c r="F44" s="187">
        <v>2</v>
      </c>
      <c r="G44" s="187">
        <v>2</v>
      </c>
      <c r="H44" s="139" t="s">
        <v>328</v>
      </c>
      <c r="I44" s="239">
        <v>1</v>
      </c>
      <c r="J44" s="187">
        <v>1</v>
      </c>
      <c r="K44" s="187">
        <v>1</v>
      </c>
      <c r="L44" s="139" t="s">
        <v>88</v>
      </c>
      <c r="M44" s="139">
        <v>3</v>
      </c>
      <c r="N44" s="139">
        <v>1</v>
      </c>
      <c r="O44" s="139">
        <v>3</v>
      </c>
      <c r="P44" s="139">
        <v>1</v>
      </c>
      <c r="Q44" s="187" t="s">
        <v>115</v>
      </c>
      <c r="R44" s="240">
        <v>3</v>
      </c>
      <c r="S44" s="187">
        <v>2</v>
      </c>
      <c r="T44" s="187">
        <v>6</v>
      </c>
      <c r="U44" s="252" t="s">
        <v>330</v>
      </c>
      <c r="V44" s="204" t="s">
        <v>146</v>
      </c>
      <c r="W44" s="239">
        <v>2</v>
      </c>
      <c r="X44" s="204">
        <v>1</v>
      </c>
      <c r="Y44" s="204">
        <v>2</v>
      </c>
      <c r="Z44" s="244">
        <v>179</v>
      </c>
      <c r="AA44" s="241">
        <v>10421</v>
      </c>
      <c r="AB44" s="187">
        <v>2</v>
      </c>
      <c r="AC44" s="187">
        <v>2</v>
      </c>
      <c r="AD44" s="240">
        <f>IF(AND(BE44&gt;=2.71, BE44&lt;=2.86, AA44&gt;23700), 1, IF(AND(BE44&gt;=2.71, BE44&lt;=2.86, AA44&gt;=6000, AA44&lt;=23700), 1, IF(AND(BE44&gt;=2.71, BE44&lt;=2.86, AA44&lt;6000), 1, IF(AND(BE44&gt;=2.57, BE44&lt;=2.71, AA44&gt;23700), 2, IF(AND(BE44&gt;=2.57, BE44&lt;=2.71, AA44&gt;=6000, AA44&lt;=23700), 2, IF(AND(BE44&gt;=2.57, BE44&lt;=2.71, AA44&lt;6000), 1, IF(AND(BE44&gt;=1, BE44&lt;=2.57, AA44&gt;23700), 3, IF(AND(BE44&gt;=1, BE44&lt;=2.71, AA44&gt;=6000, AA44&lt;=23700), 3, IF(AND(BE44&gt;=1, BE44&lt;=2.71, AA44&lt;6000), 2, 0 ) ) ) ) ) ) ) ) )</f>
        <v>3</v>
      </c>
      <c r="AE44" s="187">
        <f t="shared" si="6"/>
        <v>0.95424250943932487</v>
      </c>
      <c r="AF44" s="209">
        <v>2</v>
      </c>
      <c r="AG44" s="209">
        <v>1</v>
      </c>
      <c r="AH44" s="211">
        <v>0.3010299956639812</v>
      </c>
      <c r="AI44" s="146">
        <v>6</v>
      </c>
      <c r="AJ44" s="146">
        <v>1</v>
      </c>
      <c r="AK44" s="146">
        <v>1</v>
      </c>
      <c r="AL44" s="146">
        <v>0</v>
      </c>
      <c r="AM44" s="92">
        <v>1</v>
      </c>
      <c r="AN44" s="226">
        <v>1</v>
      </c>
      <c r="AO44" s="226">
        <f t="shared" si="9"/>
        <v>0</v>
      </c>
      <c r="AP44" s="229">
        <v>1</v>
      </c>
      <c r="AQ44" s="187">
        <v>1</v>
      </c>
      <c r="AR44" s="187">
        <f t="shared" si="1"/>
        <v>0</v>
      </c>
      <c r="AS44" s="205">
        <v>3</v>
      </c>
      <c r="AT44" s="54">
        <f>IF(AS44&lt;2.5,1,IF(AS44&gt;3.5,3,2))</f>
        <v>2</v>
      </c>
      <c r="AU44" s="187">
        <v>1</v>
      </c>
      <c r="AV44" s="187">
        <f t="shared" si="2"/>
        <v>0.3010299956639812</v>
      </c>
      <c r="AW44" s="92" t="s">
        <v>273</v>
      </c>
      <c r="AX44" s="66" t="s">
        <v>250</v>
      </c>
      <c r="AY44" s="85">
        <v>3</v>
      </c>
      <c r="AZ44" s="246">
        <v>2</v>
      </c>
      <c r="BA44" s="206">
        <f t="shared" si="8"/>
        <v>0.95424250943932487</v>
      </c>
      <c r="BB44" s="206">
        <v>2</v>
      </c>
      <c r="BC44" s="206">
        <v>1</v>
      </c>
      <c r="BD44" s="206">
        <v>0.3010299956639812</v>
      </c>
      <c r="BE44" s="224">
        <v>2</v>
      </c>
      <c r="BF44" s="187">
        <v>0.2555977278064176</v>
      </c>
      <c r="BG44" s="187">
        <v>1.8013484401352284</v>
      </c>
      <c r="BH44" s="187">
        <v>1.2814676439563988</v>
      </c>
    </row>
    <row r="45" spans="1:60" ht="16">
      <c r="A45" s="146">
        <v>43</v>
      </c>
      <c r="B45" s="99" t="s">
        <v>333</v>
      </c>
      <c r="C45" s="99" t="s">
        <v>336</v>
      </c>
      <c r="D45" t="s">
        <v>84</v>
      </c>
      <c r="E45" s="239">
        <v>2</v>
      </c>
      <c r="F45" s="187">
        <v>2</v>
      </c>
      <c r="G45" s="187">
        <v>4</v>
      </c>
      <c r="H45" s="139">
        <v>1</v>
      </c>
      <c r="I45" s="239">
        <v>2</v>
      </c>
      <c r="J45" s="187">
        <v>1</v>
      </c>
      <c r="K45" s="187">
        <v>2</v>
      </c>
      <c r="L45" s="139" t="s">
        <v>88</v>
      </c>
      <c r="M45" s="139">
        <v>1</v>
      </c>
      <c r="N45" s="139">
        <v>1</v>
      </c>
      <c r="O45" s="139">
        <v>1</v>
      </c>
      <c r="P45" s="139">
        <v>1</v>
      </c>
      <c r="Q45" s="187" t="s">
        <v>146</v>
      </c>
      <c r="R45" s="240">
        <v>1</v>
      </c>
      <c r="S45" s="187">
        <v>2</v>
      </c>
      <c r="T45" s="187">
        <v>2</v>
      </c>
      <c r="U45" s="252" t="s">
        <v>339</v>
      </c>
      <c r="V45" s="204" t="s">
        <v>115</v>
      </c>
      <c r="W45" s="239">
        <v>1</v>
      </c>
      <c r="X45" s="204">
        <v>1</v>
      </c>
      <c r="Y45" s="204">
        <v>1</v>
      </c>
      <c r="Z45" s="204">
        <v>48</v>
      </c>
      <c r="AA45" s="241">
        <v>10348</v>
      </c>
      <c r="AB45" s="187">
        <v>2</v>
      </c>
      <c r="AC45" s="187">
        <v>2</v>
      </c>
      <c r="AD45" s="240">
        <f>IF(AND(BE45&gt;=2.71, BE45&lt;=2.86, AA45&gt;23700), 1, IF(AND(BE45&gt;=2.71, BE45&lt;=2.86, AA45&gt;=6000, AA45&lt;=23700), 1, IF(AND(BE45&gt;=2.71, BE45&lt;=2.86, AA45&lt;6000), 1, IF(AND(BE45&gt;=2.57, BE45&lt;=2.71, AA45&gt;23700), 2, IF(AND(BE45&gt;=2.57, BE45&lt;=2.71, AA45&gt;=6000, AA45&lt;=23700), 2, IF(AND(BE45&gt;=2.57, BE45&lt;=2.71, AA45&lt;6000), 1, IF(AND(BE45&gt;=1, BE45&lt;=2.57, AA45&gt;23700), 3, IF(AND(BE45&gt;=1, BE45&lt;=2.71, AA45&gt;=6000, AA45&lt;=23700), 3, IF(AND(BE45&gt;=1, BE45&lt;=2.71, AA45&lt;6000), 2, 0 ) ) ) ) ) ) ) ) )</f>
        <v>3</v>
      </c>
      <c r="AE45" s="187">
        <f t="shared" si="6"/>
        <v>0.95424250943932487</v>
      </c>
      <c r="AF45" s="209">
        <v>2</v>
      </c>
      <c r="AG45" s="209">
        <v>1</v>
      </c>
      <c r="AH45" s="211">
        <v>0.3010299956639812</v>
      </c>
      <c r="AI45" s="146">
        <v>6</v>
      </c>
      <c r="AJ45" s="146">
        <v>1</v>
      </c>
      <c r="AK45" s="146">
        <v>1</v>
      </c>
      <c r="AL45" s="146">
        <v>0</v>
      </c>
      <c r="AM45" s="92">
        <v>1</v>
      </c>
      <c r="AN45" s="226">
        <v>1</v>
      </c>
      <c r="AO45" s="226">
        <f t="shared" si="9"/>
        <v>0</v>
      </c>
      <c r="AP45" s="229">
        <v>2</v>
      </c>
      <c r="AQ45" s="187">
        <v>1</v>
      </c>
      <c r="AR45" s="187">
        <f t="shared" si="1"/>
        <v>0.3010299956639812</v>
      </c>
      <c r="AS45" s="205">
        <v>2.25</v>
      </c>
      <c r="AT45" s="54">
        <f>IF(AS45&lt;2.5,1,IF(AS45&gt;3.5,3,2))</f>
        <v>1</v>
      </c>
      <c r="AU45" s="187">
        <v>1</v>
      </c>
      <c r="AV45" s="187">
        <f t="shared" si="2"/>
        <v>0</v>
      </c>
      <c r="AW45" s="92" t="s">
        <v>99</v>
      </c>
      <c r="AX45" s="66" t="s">
        <v>106</v>
      </c>
      <c r="AY45" s="85">
        <v>3</v>
      </c>
      <c r="AZ45" s="246">
        <v>2</v>
      </c>
      <c r="BA45" s="206">
        <f t="shared" si="8"/>
        <v>0.95424250943932487</v>
      </c>
      <c r="BB45" s="206">
        <v>2</v>
      </c>
      <c r="BC45" s="206">
        <v>1</v>
      </c>
      <c r="BD45" s="206">
        <v>0.3010299956639812</v>
      </c>
      <c r="BE45" s="224">
        <v>1.4285714285714286</v>
      </c>
      <c r="BF45" s="187">
        <v>0.2555977278064176</v>
      </c>
      <c r="BG45" s="187">
        <v>1.8013484401352284</v>
      </c>
      <c r="BH45" s="187">
        <v>1.7639577879329211</v>
      </c>
    </row>
    <row r="46" spans="1:60" ht="16">
      <c r="A46" s="146">
        <v>44</v>
      </c>
      <c r="B46" s="99" t="s">
        <v>342</v>
      </c>
      <c r="C46" s="99" t="s">
        <v>152</v>
      </c>
      <c r="D46" t="s">
        <v>84</v>
      </c>
      <c r="E46" s="239">
        <v>2</v>
      </c>
      <c r="F46" s="187">
        <v>2</v>
      </c>
      <c r="G46" s="187">
        <v>4</v>
      </c>
      <c r="H46" s="139" t="s">
        <v>153</v>
      </c>
      <c r="I46" s="239">
        <v>2</v>
      </c>
      <c r="J46" s="187">
        <v>1</v>
      </c>
      <c r="K46" s="187">
        <v>2</v>
      </c>
      <c r="L46" s="139" t="s">
        <v>88</v>
      </c>
      <c r="M46" s="139">
        <v>2</v>
      </c>
      <c r="N46" s="139">
        <v>1</v>
      </c>
      <c r="O46" s="139">
        <v>2</v>
      </c>
      <c r="P46" s="139">
        <v>1</v>
      </c>
      <c r="Q46" s="187" t="s">
        <v>146</v>
      </c>
      <c r="R46" s="240">
        <v>3</v>
      </c>
      <c r="S46" s="187">
        <v>2</v>
      </c>
      <c r="T46" s="187">
        <v>6</v>
      </c>
      <c r="U46" s="204" t="s">
        <v>347</v>
      </c>
      <c r="V46" s="204" t="s">
        <v>88</v>
      </c>
      <c r="W46" s="239">
        <v>1</v>
      </c>
      <c r="X46" s="204">
        <v>1</v>
      </c>
      <c r="Y46" s="204">
        <v>1</v>
      </c>
      <c r="Z46" s="204"/>
      <c r="AA46" s="241">
        <v>10238</v>
      </c>
      <c r="AB46" s="187">
        <v>2</v>
      </c>
      <c r="AC46" s="187">
        <v>2</v>
      </c>
      <c r="AD46" s="240">
        <f>IF(AND(BE46&gt;=2.71, BE46&lt;=2.86, AA46&gt;23700), 1, IF(AND(BE46&gt;=2.71, BE46&lt;=2.86, AA46&gt;=6000, AA46&lt;=23700), 1, IF(AND(BE46&gt;=2.71, BE46&lt;=2.86, AA46&lt;6000), 1, IF(AND(BE46&gt;=2.57, BE46&lt;=2.71, AA46&gt;23700), 2, IF(AND(BE46&gt;=2.57, BE46&lt;=2.71, AA46&gt;=6000, AA46&lt;=23700), 2, IF(AND(BE46&gt;=2.57, BE46&lt;=2.71, AA46&lt;6000), 1, IF(AND(BE46&gt;=1, BE46&lt;=2.57, AA46&gt;23700), 3, IF(AND(BE46&gt;=1, BE46&lt;=2.71, AA46&gt;=6000, AA46&lt;=23700), 3, IF(AND(BE46&gt;=1, BE46&lt;=2.71, AA46&lt;6000), 2, 0 ) ) ) ) ) ) ) ) )</f>
        <v>3</v>
      </c>
      <c r="AE46" s="187">
        <f t="shared" si="6"/>
        <v>0.95424250943932487</v>
      </c>
      <c r="AF46" s="209">
        <v>1</v>
      </c>
      <c r="AG46" s="209">
        <v>1</v>
      </c>
      <c r="AH46" s="211">
        <v>0</v>
      </c>
      <c r="AI46" s="146">
        <v>6</v>
      </c>
      <c r="AJ46" s="146">
        <v>1</v>
      </c>
      <c r="AK46" s="146">
        <v>1</v>
      </c>
      <c r="AL46" s="146">
        <v>0</v>
      </c>
      <c r="AM46" s="92">
        <v>1</v>
      </c>
      <c r="AN46" s="226">
        <v>1</v>
      </c>
      <c r="AO46" s="226">
        <f t="shared" si="9"/>
        <v>0</v>
      </c>
      <c r="AP46" s="229">
        <v>1</v>
      </c>
      <c r="AQ46" s="187">
        <v>1</v>
      </c>
      <c r="AR46" s="187">
        <f t="shared" si="1"/>
        <v>0</v>
      </c>
      <c r="AS46" s="205">
        <v>1.875</v>
      </c>
      <c r="AT46" s="54">
        <f>IF(AS46&lt;2.5,1,IF(AS46&gt;3.5,3,2))</f>
        <v>1</v>
      </c>
      <c r="AU46" s="187">
        <v>1</v>
      </c>
      <c r="AV46" s="187">
        <f t="shared" si="2"/>
        <v>0</v>
      </c>
      <c r="AW46" s="92" t="s">
        <v>99</v>
      </c>
      <c r="AX46" s="66" t="s">
        <v>216</v>
      </c>
      <c r="AY46" s="85">
        <v>3</v>
      </c>
      <c r="AZ46" s="246">
        <v>2</v>
      </c>
      <c r="BA46" s="206">
        <f t="shared" si="8"/>
        <v>0.95424250943932487</v>
      </c>
      <c r="BB46" s="206">
        <v>2</v>
      </c>
      <c r="BC46" s="206">
        <v>1</v>
      </c>
      <c r="BD46" s="206">
        <v>0.3010299956639812</v>
      </c>
      <c r="BE46" s="224">
        <v>2.1428571428571428</v>
      </c>
      <c r="BF46" s="187">
        <v>0.20086500132205734</v>
      </c>
      <c r="BG46" s="187">
        <v>1.5880530320239412</v>
      </c>
      <c r="BH46" s="187">
        <v>1.0394711376577856</v>
      </c>
    </row>
    <row r="47" spans="1:60" ht="16">
      <c r="A47" s="146">
        <v>45</v>
      </c>
      <c r="B47" s="99" t="s">
        <v>348</v>
      </c>
      <c r="C47" s="99" t="s">
        <v>318</v>
      </c>
      <c r="D47" t="s">
        <v>84</v>
      </c>
      <c r="E47" s="239">
        <v>2</v>
      </c>
      <c r="F47" s="187">
        <v>2</v>
      </c>
      <c r="G47" s="187">
        <v>4</v>
      </c>
      <c r="H47" s="139" t="s">
        <v>153</v>
      </c>
      <c r="I47" s="239">
        <v>1</v>
      </c>
      <c r="J47" s="187">
        <v>1</v>
      </c>
      <c r="K47" s="187">
        <v>1</v>
      </c>
      <c r="L47" s="139" t="s">
        <v>146</v>
      </c>
      <c r="M47" s="139">
        <v>3</v>
      </c>
      <c r="N47" s="139">
        <v>1</v>
      </c>
      <c r="O47" s="139">
        <v>3</v>
      </c>
      <c r="P47" s="139">
        <v>86</v>
      </c>
      <c r="Q47" s="187" t="s">
        <v>88</v>
      </c>
      <c r="R47" s="240">
        <v>3</v>
      </c>
      <c r="S47" s="187">
        <v>2</v>
      </c>
      <c r="T47" s="187">
        <v>6</v>
      </c>
      <c r="U47" s="204">
        <v>144</v>
      </c>
      <c r="V47" s="204" t="s">
        <v>88</v>
      </c>
      <c r="W47" s="239">
        <v>2</v>
      </c>
      <c r="X47" s="204">
        <v>1</v>
      </c>
      <c r="Y47" s="204">
        <v>2</v>
      </c>
      <c r="Z47" s="204"/>
      <c r="AA47" s="241">
        <v>9942</v>
      </c>
      <c r="AB47" s="187">
        <v>2</v>
      </c>
      <c r="AC47" s="187">
        <v>2</v>
      </c>
      <c r="AD47" s="240">
        <f>IF(AND(BE47&gt;=2.71, BE47&lt;=2.86, AA47&gt;23700), 1, IF(AND(BE47&gt;=2.71, BE47&lt;=2.86, AA47&gt;=6000, AA47&lt;=23700), 1, IF(AND(BE47&gt;=2.71, BE47&lt;=2.86, AA47&lt;6000), 1, IF(AND(BE47&gt;=2.57, BE47&lt;=2.71, AA47&gt;23700), 2, IF(AND(BE47&gt;=2.57, BE47&lt;=2.71, AA47&gt;=6000, AA47&lt;=23700), 2, IF(AND(BE47&gt;=2.57, BE47&lt;=2.71, AA47&lt;6000), 1, IF(AND(BE47&gt;=1, BE47&lt;=2.57, AA47&gt;23700), 3, IF(AND(BE47&gt;=1, BE47&lt;=2.71, AA47&gt;=6000, AA47&lt;=23700), 3, IF(AND(BE47&gt;=1, BE47&lt;=2.71, AA47&lt;6000), 2, 0 ) ) ) ) ) ) ) ) )</f>
        <v>3</v>
      </c>
      <c r="AE47" s="187">
        <f t="shared" si="6"/>
        <v>0.95424250943932487</v>
      </c>
      <c r="AF47" s="209">
        <v>1</v>
      </c>
      <c r="AG47" s="209">
        <v>1</v>
      </c>
      <c r="AH47" s="211">
        <v>0</v>
      </c>
      <c r="AI47" s="146">
        <v>5</v>
      </c>
      <c r="AJ47" s="146">
        <v>1</v>
      </c>
      <c r="AK47" s="146">
        <v>1</v>
      </c>
      <c r="AL47" s="146">
        <v>0</v>
      </c>
      <c r="AM47" s="92">
        <v>1</v>
      </c>
      <c r="AN47" s="226">
        <v>1</v>
      </c>
      <c r="AO47" s="226">
        <f t="shared" si="9"/>
        <v>0</v>
      </c>
      <c r="AP47" s="229">
        <v>1</v>
      </c>
      <c r="AQ47" s="187">
        <v>1</v>
      </c>
      <c r="AR47" s="187">
        <f t="shared" si="1"/>
        <v>0</v>
      </c>
      <c r="AS47" s="205">
        <v>2.125</v>
      </c>
      <c r="AT47" s="54">
        <f>IF(AS47&lt;2.5,1,IF(AS47&gt;3.5,3,2))</f>
        <v>1</v>
      </c>
      <c r="AU47" s="187">
        <v>1</v>
      </c>
      <c r="AV47" s="187">
        <f t="shared" si="2"/>
        <v>0</v>
      </c>
      <c r="AW47" s="92" t="s">
        <v>99</v>
      </c>
      <c r="AX47" s="66" t="s">
        <v>106</v>
      </c>
      <c r="AY47" s="85">
        <v>3</v>
      </c>
      <c r="AZ47" s="246">
        <v>2</v>
      </c>
      <c r="BA47" s="206">
        <f t="shared" si="8"/>
        <v>0.95424250943932487</v>
      </c>
      <c r="BB47" s="206">
        <v>3</v>
      </c>
      <c r="BC47" s="206">
        <v>1</v>
      </c>
      <c r="BD47" s="206">
        <v>0.47712125471966244</v>
      </c>
      <c r="BE47" s="224">
        <v>2.2857142857142856</v>
      </c>
      <c r="BF47" s="187">
        <v>0.21687329759984655</v>
      </c>
      <c r="BG47" s="187">
        <v>1.6476816217236241</v>
      </c>
      <c r="BH47" s="187">
        <v>0.96420722085617927</v>
      </c>
    </row>
    <row r="48" spans="1:60" ht="16">
      <c r="A48" s="146">
        <v>46</v>
      </c>
      <c r="B48" s="99" t="s">
        <v>352</v>
      </c>
      <c r="C48" s="207" t="s">
        <v>355</v>
      </c>
      <c r="D48" t="s">
        <v>84</v>
      </c>
      <c r="E48" s="239">
        <v>3</v>
      </c>
      <c r="F48" s="187">
        <v>2</v>
      </c>
      <c r="G48" s="187">
        <v>6</v>
      </c>
      <c r="H48" s="139" t="s">
        <v>111</v>
      </c>
      <c r="I48" s="239">
        <v>2</v>
      </c>
      <c r="J48" s="187">
        <v>1</v>
      </c>
      <c r="K48" s="187">
        <v>2</v>
      </c>
      <c r="L48" s="139" t="s">
        <v>88</v>
      </c>
      <c r="M48" s="139">
        <v>3</v>
      </c>
      <c r="N48" s="139">
        <v>1</v>
      </c>
      <c r="O48" s="139">
        <v>3</v>
      </c>
      <c r="P48" s="139">
        <v>1</v>
      </c>
      <c r="Q48" s="187" t="s">
        <v>88</v>
      </c>
      <c r="R48" s="240">
        <v>3</v>
      </c>
      <c r="S48" s="187">
        <v>2</v>
      </c>
      <c r="T48" s="187">
        <v>6</v>
      </c>
      <c r="U48" s="252" t="s">
        <v>357</v>
      </c>
      <c r="V48" s="204" t="s">
        <v>115</v>
      </c>
      <c r="W48" s="239">
        <v>2</v>
      </c>
      <c r="X48" s="204">
        <v>1</v>
      </c>
      <c r="Y48" s="204">
        <v>2</v>
      </c>
      <c r="Z48" s="204">
        <v>71</v>
      </c>
      <c r="AA48" s="241">
        <v>9887</v>
      </c>
      <c r="AB48" s="187">
        <v>2</v>
      </c>
      <c r="AC48" s="187">
        <v>2</v>
      </c>
      <c r="AD48" s="240">
        <f>IF(AND(BE48&gt;=2.71, BE48&lt;=2.86, AA48&gt;23700), 1, IF(AND(BE48&gt;=2.71, BE48&lt;=2.86, AA48&gt;=6000, AA48&lt;=23700), 1, IF(AND(BE48&gt;=2.71, BE48&lt;=2.86, AA48&lt;6000), 1, IF(AND(BE48&gt;=2.57, BE48&lt;=2.71, AA48&gt;23700), 2, IF(AND(BE48&gt;=2.57, BE48&lt;=2.71, AA48&gt;=6000, AA48&lt;=23700), 2, IF(AND(BE48&gt;=2.57, BE48&lt;=2.71, AA48&lt;6000), 1, IF(AND(BE48&gt;=1, BE48&lt;=2.57, AA48&gt;23700), 3, IF(AND(BE48&gt;=1, BE48&lt;=2.71, AA48&gt;=6000, AA48&lt;=23700), 3, IF(AND(BE48&gt;=1, BE48&lt;=2.71, AA48&lt;6000), 2, 0 ) ) ) ) ) ) ) ) )</f>
        <v>1</v>
      </c>
      <c r="AE48" s="187">
        <f t="shared" si="6"/>
        <v>0</v>
      </c>
      <c r="AF48" s="209">
        <v>1</v>
      </c>
      <c r="AG48" s="209">
        <v>1</v>
      </c>
      <c r="AH48" s="211">
        <v>0</v>
      </c>
      <c r="AI48" s="146">
        <v>3</v>
      </c>
      <c r="AJ48" s="146">
        <v>2</v>
      </c>
      <c r="AK48" s="146">
        <v>1</v>
      </c>
      <c r="AL48" s="146">
        <v>0.3010299956639812</v>
      </c>
      <c r="AM48" s="92">
        <v>1</v>
      </c>
      <c r="AN48" s="226">
        <v>1</v>
      </c>
      <c r="AO48" s="226">
        <f t="shared" si="9"/>
        <v>0</v>
      </c>
      <c r="AP48" s="229">
        <v>1</v>
      </c>
      <c r="AQ48" s="187">
        <v>1</v>
      </c>
      <c r="AR48" s="187">
        <f t="shared" si="1"/>
        <v>0</v>
      </c>
      <c r="AS48" s="205">
        <v>1.75</v>
      </c>
      <c r="AT48" s="54">
        <f>IF(AS48&lt;2.5,1,IF(AS48&gt;3.5,3,2))</f>
        <v>1</v>
      </c>
      <c r="AU48" s="187">
        <v>1</v>
      </c>
      <c r="AV48" s="187">
        <f t="shared" si="2"/>
        <v>0</v>
      </c>
      <c r="AW48" s="92" t="s">
        <v>99</v>
      </c>
      <c r="AX48" s="66" t="s">
        <v>92</v>
      </c>
      <c r="AY48" s="85">
        <v>3</v>
      </c>
      <c r="AZ48" s="246">
        <v>2</v>
      </c>
      <c r="BA48" s="206">
        <f t="shared" si="8"/>
        <v>0.95424250943932487</v>
      </c>
      <c r="BB48" s="206">
        <v>1</v>
      </c>
      <c r="BC48" s="206">
        <v>1</v>
      </c>
      <c r="BD48" s="206">
        <v>0</v>
      </c>
      <c r="BE48" s="224">
        <v>2.7142857142857144</v>
      </c>
      <c r="BF48" s="187">
        <v>0.13947472278925621</v>
      </c>
      <c r="BG48" s="187">
        <v>1.3787157053417285</v>
      </c>
      <c r="BH48" s="187">
        <v>0.4744030338580344</v>
      </c>
    </row>
    <row r="49" spans="1:60" ht="16">
      <c r="A49" s="146">
        <v>47</v>
      </c>
      <c r="B49" s="99" t="s">
        <v>359</v>
      </c>
      <c r="C49" s="99" t="s">
        <v>152</v>
      </c>
      <c r="D49" t="s">
        <v>84</v>
      </c>
      <c r="E49" s="239">
        <v>3</v>
      </c>
      <c r="F49" s="187">
        <v>2</v>
      </c>
      <c r="G49" s="187">
        <v>6</v>
      </c>
      <c r="H49" s="139" t="s">
        <v>161</v>
      </c>
      <c r="I49" s="239">
        <v>2</v>
      </c>
      <c r="J49" s="187">
        <v>1</v>
      </c>
      <c r="K49" s="187">
        <v>2</v>
      </c>
      <c r="L49" s="139" t="s">
        <v>88</v>
      </c>
      <c r="M49" s="139">
        <v>2</v>
      </c>
      <c r="N49" s="139">
        <v>1</v>
      </c>
      <c r="O49" s="139">
        <v>2</v>
      </c>
      <c r="P49" s="139">
        <v>1</v>
      </c>
      <c r="Q49" s="187" t="s">
        <v>115</v>
      </c>
      <c r="R49" s="240">
        <v>3</v>
      </c>
      <c r="S49" s="187">
        <v>2</v>
      </c>
      <c r="T49" s="187">
        <v>6</v>
      </c>
      <c r="U49" s="204" t="s">
        <v>363</v>
      </c>
      <c r="V49" s="204" t="s">
        <v>88</v>
      </c>
      <c r="W49" s="239">
        <v>2</v>
      </c>
      <c r="X49" s="204">
        <v>1</v>
      </c>
      <c r="Y49" s="204">
        <v>2</v>
      </c>
      <c r="Z49" s="204"/>
      <c r="AA49" s="241">
        <v>9846</v>
      </c>
      <c r="AB49" s="187">
        <v>2</v>
      </c>
      <c r="AC49" s="187">
        <v>2</v>
      </c>
      <c r="AD49" s="240">
        <f>IF(AND(BE49&gt;=2.71, BE49&lt;=2.86, AA49&gt;23700), 1, IF(AND(BE49&gt;=2.71, BE49&lt;=2.86, AA49&gt;=6000, AA49&lt;=23700), 1, IF(AND(BE49&gt;=2.71, BE49&lt;=2.86, AA49&lt;6000), 1, IF(AND(BE49&gt;=2.57, BE49&lt;=2.71, AA49&gt;23700), 2, IF(AND(BE49&gt;=2.57, BE49&lt;=2.71, AA49&gt;=6000, AA49&lt;=23700), 2, IF(AND(BE49&gt;=2.57, BE49&lt;=2.71, AA49&lt;6000), 1, IF(AND(BE49&gt;=1, BE49&lt;=2.57, AA49&gt;23700), 3, IF(AND(BE49&gt;=1, BE49&lt;=2.71, AA49&gt;=6000, AA49&lt;=23700), 3, IF(AND(BE49&gt;=1, BE49&lt;=2.71, AA49&lt;6000), 2, 0 ) ) ) ) ) ) ) ) )</f>
        <v>2</v>
      </c>
      <c r="AE49" s="187">
        <f t="shared" si="6"/>
        <v>0.6020599913279624</v>
      </c>
      <c r="AF49" s="209">
        <v>1</v>
      </c>
      <c r="AG49" s="209">
        <v>1</v>
      </c>
      <c r="AH49" s="211">
        <v>0</v>
      </c>
      <c r="AI49" s="146">
        <v>6</v>
      </c>
      <c r="AJ49" s="146">
        <v>1</v>
      </c>
      <c r="AK49" s="146">
        <v>1</v>
      </c>
      <c r="AL49" s="146">
        <v>0</v>
      </c>
      <c r="AM49" s="92">
        <v>1</v>
      </c>
      <c r="AN49" s="226">
        <v>1</v>
      </c>
      <c r="AO49" s="226">
        <f t="shared" si="9"/>
        <v>0</v>
      </c>
      <c r="AP49" s="229">
        <v>1</v>
      </c>
      <c r="AQ49" s="187">
        <v>1</v>
      </c>
      <c r="AR49" s="187">
        <f t="shared" si="1"/>
        <v>0</v>
      </c>
      <c r="AS49" s="205">
        <v>1.833</v>
      </c>
      <c r="AT49" s="54">
        <f>IF(AS49&lt;2.5,1,IF(AS49&gt;3.5,3,2))</f>
        <v>1</v>
      </c>
      <c r="AU49" s="187">
        <v>1</v>
      </c>
      <c r="AV49" s="187">
        <f t="shared" si="2"/>
        <v>0</v>
      </c>
      <c r="AW49" s="92" t="s">
        <v>91</v>
      </c>
      <c r="AX49" s="66" t="s">
        <v>92</v>
      </c>
      <c r="AY49" s="85">
        <v>3</v>
      </c>
      <c r="AZ49" s="246">
        <v>2</v>
      </c>
      <c r="BA49" s="206">
        <f t="shared" si="8"/>
        <v>0.95424250943932487</v>
      </c>
      <c r="BB49" s="206">
        <v>2</v>
      </c>
      <c r="BC49" s="206">
        <v>1</v>
      </c>
      <c r="BD49" s="206">
        <v>0.3010299956639812</v>
      </c>
      <c r="BE49" s="224">
        <v>2.5714285714285716</v>
      </c>
      <c r="BF49" s="187">
        <v>0.18573324964312685</v>
      </c>
      <c r="BG49" s="187">
        <v>1.5336746868385576</v>
      </c>
      <c r="BH49" s="187">
        <v>0.68445755219734949</v>
      </c>
    </row>
    <row r="50" spans="1:60" ht="16">
      <c r="A50" s="146">
        <v>48</v>
      </c>
      <c r="B50" s="99" t="s">
        <v>364</v>
      </c>
      <c r="C50" s="99" t="s">
        <v>83</v>
      </c>
      <c r="D50" t="s">
        <v>84</v>
      </c>
      <c r="E50" s="239">
        <v>3</v>
      </c>
      <c r="F50" s="187">
        <v>2</v>
      </c>
      <c r="G50" s="187">
        <v>6</v>
      </c>
      <c r="H50" s="139" t="s">
        <v>161</v>
      </c>
      <c r="I50" s="239">
        <v>2</v>
      </c>
      <c r="J50" s="187">
        <v>1</v>
      </c>
      <c r="K50" s="187">
        <v>2</v>
      </c>
      <c r="L50" s="139" t="s">
        <v>88</v>
      </c>
      <c r="M50" s="139">
        <v>3</v>
      </c>
      <c r="N50" s="139">
        <v>1</v>
      </c>
      <c r="O50" s="139">
        <v>3</v>
      </c>
      <c r="P50" s="139">
        <v>1</v>
      </c>
      <c r="Q50" s="187" t="s">
        <v>115</v>
      </c>
      <c r="R50" s="240">
        <v>3</v>
      </c>
      <c r="S50" s="187">
        <v>2</v>
      </c>
      <c r="T50" s="187">
        <v>6</v>
      </c>
      <c r="U50" s="204" t="s">
        <v>368</v>
      </c>
      <c r="V50" s="204" t="s">
        <v>88</v>
      </c>
      <c r="W50" s="239">
        <v>2</v>
      </c>
      <c r="X50" s="204">
        <v>1</v>
      </c>
      <c r="Y50" s="204">
        <v>2</v>
      </c>
      <c r="Z50" s="204"/>
      <c r="AA50" s="241">
        <v>9795</v>
      </c>
      <c r="AB50" s="187">
        <v>2</v>
      </c>
      <c r="AC50" s="187">
        <v>2</v>
      </c>
      <c r="AD50" s="240">
        <f>IF(AND(BE50&gt;=2.71, BE50&lt;=2.86, AA50&gt;23700), 1, IF(AND(BE50&gt;=2.71, BE50&lt;=2.86, AA50&gt;=6000, AA50&lt;=23700), 1, IF(AND(BE50&gt;=2.71, BE50&lt;=2.86, AA50&lt;6000), 1, IF(AND(BE50&gt;=2.57, BE50&lt;=2.71, AA50&gt;23700), 2, IF(AND(BE50&gt;=2.57, BE50&lt;=2.71, AA50&gt;=6000, AA50&lt;=23700), 2, IF(AND(BE50&gt;=2.57, BE50&lt;=2.71, AA50&lt;6000), 1, IF(AND(BE50&gt;=1, BE50&lt;=2.57, AA50&gt;23700), 3, IF(AND(BE50&gt;=1, BE50&lt;=2.71, AA50&gt;=6000, AA50&lt;=23700), 3, IF(AND(BE50&gt;=1, BE50&lt;=2.71, AA50&lt;6000), 2, 0 ) ) ) ) ) ) ) ) )</f>
        <v>1</v>
      </c>
      <c r="AE50" s="187">
        <f t="shared" si="6"/>
        <v>0</v>
      </c>
      <c r="AF50" s="209">
        <v>2</v>
      </c>
      <c r="AG50" s="209">
        <v>1</v>
      </c>
      <c r="AH50" s="211">
        <v>0.3010299956639812</v>
      </c>
      <c r="AI50" s="146">
        <v>6</v>
      </c>
      <c r="AJ50" s="146">
        <v>1</v>
      </c>
      <c r="AK50" s="146">
        <v>1</v>
      </c>
      <c r="AL50" s="146">
        <v>0</v>
      </c>
      <c r="AM50" s="92">
        <v>1</v>
      </c>
      <c r="AN50" s="226">
        <v>1</v>
      </c>
      <c r="AO50" s="226">
        <f t="shared" si="9"/>
        <v>0</v>
      </c>
      <c r="AP50" s="229">
        <v>2</v>
      </c>
      <c r="AQ50" s="187">
        <v>1</v>
      </c>
      <c r="AR50" s="187">
        <f t="shared" si="1"/>
        <v>0.3010299956639812</v>
      </c>
      <c r="AS50" s="205">
        <v>1.5</v>
      </c>
      <c r="AT50" s="54">
        <f>IF(AS50&lt;2.5,1,IF(AS50&gt;3.5,3,2))</f>
        <v>1</v>
      </c>
      <c r="AU50" s="187">
        <v>1</v>
      </c>
      <c r="AV50" s="187">
        <f t="shared" si="2"/>
        <v>0</v>
      </c>
      <c r="AW50" s="92" t="s">
        <v>273</v>
      </c>
      <c r="AX50" s="66">
        <v>2</v>
      </c>
      <c r="AY50" s="85">
        <v>3</v>
      </c>
      <c r="AZ50" s="246">
        <v>2</v>
      </c>
      <c r="BA50" s="206">
        <f t="shared" si="8"/>
        <v>0.95424250943932487</v>
      </c>
      <c r="BB50" s="206">
        <v>1</v>
      </c>
      <c r="BC50" s="206">
        <v>1</v>
      </c>
      <c r="BD50" s="206">
        <v>0</v>
      </c>
      <c r="BE50" s="224">
        <v>2.7142857142857144</v>
      </c>
      <c r="BF50" s="187">
        <v>0.17292250008525414</v>
      </c>
      <c r="BG50" s="187">
        <v>1.4890953247181091</v>
      </c>
      <c r="BH50" s="187">
        <v>0.56643348216921019</v>
      </c>
    </row>
    <row r="51" spans="1:60" ht="16">
      <c r="A51" s="146">
        <v>49</v>
      </c>
      <c r="B51" s="99" t="s">
        <v>369</v>
      </c>
      <c r="C51" s="99" t="s">
        <v>372</v>
      </c>
      <c r="D51" t="s">
        <v>84</v>
      </c>
      <c r="E51" s="239">
        <v>3</v>
      </c>
      <c r="F51" s="187">
        <v>2</v>
      </c>
      <c r="G51" s="187">
        <v>6</v>
      </c>
      <c r="H51" s="139" t="s">
        <v>153</v>
      </c>
      <c r="I51" s="239">
        <v>2</v>
      </c>
      <c r="J51" s="187">
        <v>1</v>
      </c>
      <c r="K51" s="187">
        <v>2</v>
      </c>
      <c r="L51" s="139" t="s">
        <v>88</v>
      </c>
      <c r="M51" s="139">
        <v>3</v>
      </c>
      <c r="N51" s="139">
        <v>1</v>
      </c>
      <c r="O51" s="139">
        <v>3</v>
      </c>
      <c r="P51" s="139">
        <v>1</v>
      </c>
      <c r="Q51" s="187" t="s">
        <v>146</v>
      </c>
      <c r="R51" s="240">
        <v>3</v>
      </c>
      <c r="S51" s="187">
        <v>2</v>
      </c>
      <c r="T51" s="187">
        <v>6</v>
      </c>
      <c r="U51" s="204" t="s">
        <v>375</v>
      </c>
      <c r="V51" s="204" t="s">
        <v>88</v>
      </c>
      <c r="W51" s="239">
        <v>1</v>
      </c>
      <c r="X51" s="204">
        <v>1</v>
      </c>
      <c r="Y51" s="204">
        <v>1</v>
      </c>
      <c r="Z51" s="204"/>
      <c r="AA51" s="241">
        <v>9550</v>
      </c>
      <c r="AB51" s="187">
        <v>2</v>
      </c>
      <c r="AC51" s="187">
        <v>2</v>
      </c>
      <c r="AD51" s="240">
        <f>IF(AND(BE51&gt;=2.71, BE51&lt;=2.86, AA51&gt;23700), 1, IF(AND(BE51&gt;=2.71, BE51&lt;=2.86, AA51&gt;=6000, AA51&lt;=23700), 1, IF(AND(BE51&gt;=2.71, BE51&lt;=2.86, AA51&lt;6000), 1, IF(AND(BE51&gt;=2.57, BE51&lt;=2.71, AA51&gt;23700), 2, IF(AND(BE51&gt;=2.57, BE51&lt;=2.71, AA51&gt;=6000, AA51&lt;=23700), 2, IF(AND(BE51&gt;=2.57, BE51&lt;=2.71, AA51&lt;6000), 1, IF(AND(BE51&gt;=1, BE51&lt;=2.57, AA51&gt;23700), 3, IF(AND(BE51&gt;=1, BE51&lt;=2.71, AA51&gt;=6000, AA51&lt;=23700), 3, IF(AND(BE51&gt;=1, BE51&lt;=2.71, AA51&lt;6000), 2, 0 ) ) ) ) ) ) ) ) )</f>
        <v>2</v>
      </c>
      <c r="AE51" s="187">
        <f t="shared" si="6"/>
        <v>0.6020599913279624</v>
      </c>
      <c r="AF51" s="209">
        <v>2</v>
      </c>
      <c r="AG51" s="209">
        <v>1</v>
      </c>
      <c r="AH51" s="211">
        <v>0.3010299956639812</v>
      </c>
      <c r="AI51" s="146">
        <v>4</v>
      </c>
      <c r="AJ51" s="146">
        <v>2</v>
      </c>
      <c r="AK51" s="146">
        <v>1</v>
      </c>
      <c r="AL51" s="146">
        <v>0.3010299956639812</v>
      </c>
      <c r="AM51" s="92">
        <v>1</v>
      </c>
      <c r="AN51" s="226">
        <v>1</v>
      </c>
      <c r="AO51" s="226">
        <f t="shared" si="9"/>
        <v>0</v>
      </c>
      <c r="AP51" s="229">
        <v>1</v>
      </c>
      <c r="AQ51" s="187">
        <v>1</v>
      </c>
      <c r="AR51" s="187">
        <f t="shared" si="1"/>
        <v>0</v>
      </c>
      <c r="AS51" s="205">
        <v>1.25</v>
      </c>
      <c r="AT51" s="54">
        <f>IF(AS51&lt;2.5,1,IF(AS51&gt;3.5,3,2))</f>
        <v>1</v>
      </c>
      <c r="AU51" s="187">
        <v>1</v>
      </c>
      <c r="AV51" s="187">
        <f t="shared" si="2"/>
        <v>0</v>
      </c>
      <c r="AW51" s="92" t="s">
        <v>99</v>
      </c>
      <c r="AX51" s="66" t="s">
        <v>137</v>
      </c>
      <c r="AY51" s="85">
        <v>2</v>
      </c>
      <c r="AZ51" s="246">
        <v>2</v>
      </c>
      <c r="BA51" s="206">
        <f t="shared" si="8"/>
        <v>0.6020599913279624</v>
      </c>
      <c r="BB51" s="206">
        <v>3</v>
      </c>
      <c r="BC51" s="206">
        <v>1</v>
      </c>
      <c r="BD51" s="206">
        <v>0.47712125471966244</v>
      </c>
      <c r="BE51" s="224">
        <v>2.5714285714285716</v>
      </c>
      <c r="BF51" s="187">
        <v>0.22833012287035498</v>
      </c>
      <c r="BG51" s="187">
        <v>1.6917263851493574</v>
      </c>
      <c r="BH51" s="187">
        <v>0.8137314429832192</v>
      </c>
    </row>
    <row r="52" spans="1:60" ht="20" customHeight="1">
      <c r="A52" s="146">
        <v>50</v>
      </c>
      <c r="B52" s="99" t="s">
        <v>376</v>
      </c>
      <c r="C52" s="99" t="s">
        <v>170</v>
      </c>
      <c r="D52" t="s">
        <v>84</v>
      </c>
      <c r="E52" s="239">
        <v>3</v>
      </c>
      <c r="F52" s="187">
        <v>2</v>
      </c>
      <c r="G52" s="187">
        <v>6</v>
      </c>
      <c r="H52" s="139">
        <v>1</v>
      </c>
      <c r="I52" s="239">
        <v>1</v>
      </c>
      <c r="J52" s="187">
        <v>1</v>
      </c>
      <c r="K52" s="187">
        <v>1</v>
      </c>
      <c r="L52" s="139" t="s">
        <v>88</v>
      </c>
      <c r="M52" s="139">
        <v>3</v>
      </c>
      <c r="N52" s="139">
        <v>1</v>
      </c>
      <c r="O52" s="139">
        <v>3</v>
      </c>
      <c r="P52" s="139">
        <v>1</v>
      </c>
      <c r="Q52" s="187" t="s">
        <v>88</v>
      </c>
      <c r="R52" s="240">
        <v>3</v>
      </c>
      <c r="S52" s="187">
        <v>2</v>
      </c>
      <c r="T52" s="187">
        <v>6</v>
      </c>
      <c r="U52" s="204">
        <v>126</v>
      </c>
      <c r="V52" s="204" t="s">
        <v>146</v>
      </c>
      <c r="W52" s="239">
        <v>1</v>
      </c>
      <c r="X52" s="204">
        <v>1</v>
      </c>
      <c r="Y52" s="204">
        <v>1</v>
      </c>
      <c r="Z52" s="244" t="s">
        <v>1626</v>
      </c>
      <c r="AA52" s="241">
        <v>9396</v>
      </c>
      <c r="AB52" s="187">
        <v>2</v>
      </c>
      <c r="AC52" s="187">
        <v>2</v>
      </c>
      <c r="AD52" s="240">
        <f>IF(AND(BE52&gt;=2.71, BE52&lt;=2.86, AA52&gt;23700), 1, IF(AND(BE52&gt;=2.71, BE52&lt;=2.86, AA52&gt;=6000, AA52&lt;=23700), 1, IF(AND(BE52&gt;=2.71, BE52&lt;=2.86, AA52&lt;6000), 1, IF(AND(BE52&gt;=2.57, BE52&lt;=2.71, AA52&gt;23700), 2, IF(AND(BE52&gt;=2.57, BE52&lt;=2.71, AA52&gt;=6000, AA52&lt;=23700), 2, IF(AND(BE52&gt;=2.57, BE52&lt;=2.71, AA52&lt;6000), 1, IF(AND(BE52&gt;=1, BE52&lt;=2.57, AA52&gt;23700), 3, IF(AND(BE52&gt;=1, BE52&lt;=2.71, AA52&gt;=6000, AA52&lt;=23700), 3, IF(AND(BE52&gt;=1, BE52&lt;=2.71, AA52&lt;6000), 2, 0 ) ) ) ) ) ) ) ) )</f>
        <v>3</v>
      </c>
      <c r="AE52" s="187">
        <f t="shared" si="6"/>
        <v>0.95424250943932487</v>
      </c>
      <c r="AF52" s="209">
        <v>2</v>
      </c>
      <c r="AG52" s="209">
        <v>1</v>
      </c>
      <c r="AH52" s="211">
        <v>0.3010299956639812</v>
      </c>
      <c r="AI52" s="146">
        <v>1</v>
      </c>
      <c r="AJ52" s="146">
        <v>3</v>
      </c>
      <c r="AK52" s="146">
        <v>1</v>
      </c>
      <c r="AL52" s="146">
        <v>0.47712125471966244</v>
      </c>
      <c r="AM52" s="92">
        <v>1</v>
      </c>
      <c r="AN52" s="226">
        <v>1</v>
      </c>
      <c r="AO52" s="226">
        <f t="shared" si="9"/>
        <v>0</v>
      </c>
      <c r="AP52" s="229">
        <v>2</v>
      </c>
      <c r="AQ52" s="187">
        <v>1</v>
      </c>
      <c r="AR52" s="187">
        <f t="shared" si="1"/>
        <v>0.3010299956639812</v>
      </c>
      <c r="AS52" s="205">
        <v>4</v>
      </c>
      <c r="AT52" s="54">
        <f>IF(AS52&lt;2.5,1,IF(AS52&gt;3.5,3,2))</f>
        <v>3</v>
      </c>
      <c r="AU52" s="187">
        <v>1</v>
      </c>
      <c r="AV52" s="187">
        <f t="shared" si="2"/>
        <v>0.47712125471966244</v>
      </c>
      <c r="AW52" s="92" t="s">
        <v>381</v>
      </c>
      <c r="AX52" s="96" t="s">
        <v>92</v>
      </c>
      <c r="AY52" s="204">
        <v>3</v>
      </c>
      <c r="AZ52" s="246">
        <v>2</v>
      </c>
      <c r="BA52" s="206">
        <f t="shared" si="8"/>
        <v>0.95424250943932487</v>
      </c>
      <c r="BB52" s="206">
        <v>2</v>
      </c>
      <c r="BC52" s="206">
        <v>1</v>
      </c>
      <c r="BD52" s="206">
        <v>0.3010299956639812</v>
      </c>
      <c r="BE52" s="224">
        <v>2.4285714285714284</v>
      </c>
      <c r="BF52" s="187">
        <v>0.3423470468463562</v>
      </c>
      <c r="BG52" s="187">
        <v>2.1996168952968169</v>
      </c>
      <c r="BH52" s="187">
        <v>1.3287630743388652</v>
      </c>
    </row>
    <row r="53" spans="1:60" ht="16">
      <c r="A53" s="146">
        <v>51</v>
      </c>
      <c r="B53" s="99" t="s">
        <v>382</v>
      </c>
      <c r="C53" s="99" t="s">
        <v>177</v>
      </c>
      <c r="D53" t="s">
        <v>84</v>
      </c>
      <c r="E53" s="239">
        <v>2</v>
      </c>
      <c r="F53" s="187">
        <v>2</v>
      </c>
      <c r="G53" s="187">
        <v>4</v>
      </c>
      <c r="H53" s="139" t="s">
        <v>161</v>
      </c>
      <c r="I53" s="239">
        <v>3</v>
      </c>
      <c r="J53" s="187">
        <v>1</v>
      </c>
      <c r="K53" s="187">
        <v>3</v>
      </c>
      <c r="L53" s="139" t="s">
        <v>88</v>
      </c>
      <c r="M53" s="139">
        <v>3</v>
      </c>
      <c r="N53" s="139">
        <v>1</v>
      </c>
      <c r="O53" s="139">
        <v>3</v>
      </c>
      <c r="P53" s="139">
        <v>1</v>
      </c>
      <c r="Q53" s="187" t="s">
        <v>88</v>
      </c>
      <c r="R53" s="240">
        <v>3</v>
      </c>
      <c r="S53" s="187">
        <v>2</v>
      </c>
      <c r="T53" s="187">
        <v>6</v>
      </c>
      <c r="U53" s="252">
        <v>115</v>
      </c>
      <c r="V53" s="204" t="s">
        <v>88</v>
      </c>
      <c r="W53" s="239">
        <v>1</v>
      </c>
      <c r="X53" s="204">
        <v>1</v>
      </c>
      <c r="Y53" s="204">
        <v>1</v>
      </c>
      <c r="Z53" s="204"/>
      <c r="AA53" s="241">
        <v>9043</v>
      </c>
      <c r="AB53" s="187">
        <v>2</v>
      </c>
      <c r="AC53" s="187">
        <v>2</v>
      </c>
      <c r="AD53" s="240">
        <f>IF(AND(BE53&gt;=2.71, BE53&lt;=2.86, AA53&gt;23700), 1, IF(AND(BE53&gt;=2.71, BE53&lt;=2.86, AA53&gt;=6000, AA53&lt;=23700), 1, IF(AND(BE53&gt;=2.71, BE53&lt;=2.86, AA53&lt;6000), 1, IF(AND(BE53&gt;=2.57, BE53&lt;=2.71, AA53&gt;23700), 2, IF(AND(BE53&gt;=2.57, BE53&lt;=2.71, AA53&gt;=6000, AA53&lt;=23700), 2, IF(AND(BE53&gt;=2.57, BE53&lt;=2.71, AA53&lt;6000), 1, IF(AND(BE53&gt;=1, BE53&lt;=2.57, AA53&gt;23700), 3, IF(AND(BE53&gt;=1, BE53&lt;=2.71, AA53&gt;=6000, AA53&lt;=23700), 3, IF(AND(BE53&gt;=1, BE53&lt;=2.71, AA53&lt;6000), 2, 0 ) ) ) ) ) ) ) ) )</f>
        <v>3</v>
      </c>
      <c r="AE53" s="187">
        <f t="shared" si="6"/>
        <v>0.95424250943932487</v>
      </c>
      <c r="AF53" s="209">
        <v>1</v>
      </c>
      <c r="AG53" s="209">
        <v>1</v>
      </c>
      <c r="AH53" s="211">
        <v>0</v>
      </c>
      <c r="AI53" s="146">
        <v>6</v>
      </c>
      <c r="AJ53" s="146">
        <v>1</v>
      </c>
      <c r="AK53" s="146">
        <v>1</v>
      </c>
      <c r="AL53" s="146">
        <v>0</v>
      </c>
      <c r="AM53" s="92">
        <v>3</v>
      </c>
      <c r="AN53" s="226">
        <v>1</v>
      </c>
      <c r="AO53" s="226">
        <f t="shared" si="9"/>
        <v>0.47712125471966244</v>
      </c>
      <c r="AP53" s="229">
        <v>1</v>
      </c>
      <c r="AQ53" s="187">
        <v>1</v>
      </c>
      <c r="AR53" s="187">
        <f t="shared" si="1"/>
        <v>0</v>
      </c>
      <c r="AS53" s="205">
        <v>2</v>
      </c>
      <c r="AT53" s="54">
        <f>IF(AS53&lt;2.5,1,IF(AS53&gt;3.5,3,2))</f>
        <v>1</v>
      </c>
      <c r="AU53" s="187">
        <v>1</v>
      </c>
      <c r="AV53" s="187">
        <f t="shared" si="2"/>
        <v>0</v>
      </c>
      <c r="AW53" s="92" t="s">
        <v>99</v>
      </c>
      <c r="AX53" s="66" t="s">
        <v>216</v>
      </c>
      <c r="AY53" s="85">
        <v>3</v>
      </c>
      <c r="AZ53" s="246">
        <v>2</v>
      </c>
      <c r="BA53" s="206">
        <f t="shared" si="8"/>
        <v>0.95424250943932487</v>
      </c>
      <c r="BB53" s="206">
        <v>1</v>
      </c>
      <c r="BC53" s="206">
        <v>1</v>
      </c>
      <c r="BD53" s="206">
        <v>0</v>
      </c>
      <c r="BE53" s="224">
        <v>2.4285714285714284</v>
      </c>
      <c r="BF53" s="187">
        <v>0.21687329759984655</v>
      </c>
      <c r="BG53" s="187">
        <v>1.6476816217236241</v>
      </c>
      <c r="BH53" s="187">
        <v>0.86372570609160504</v>
      </c>
    </row>
    <row r="54" spans="1:60" ht="16">
      <c r="A54" s="146">
        <v>52</v>
      </c>
      <c r="B54" s="99" t="s">
        <v>385</v>
      </c>
      <c r="C54" s="99" t="s">
        <v>170</v>
      </c>
      <c r="D54" t="s">
        <v>84</v>
      </c>
      <c r="E54" s="239">
        <v>3</v>
      </c>
      <c r="F54" s="187">
        <v>2</v>
      </c>
      <c r="G54" s="187">
        <v>6</v>
      </c>
      <c r="H54" s="139">
        <v>1</v>
      </c>
      <c r="I54" s="239">
        <v>3</v>
      </c>
      <c r="J54" s="187">
        <v>1</v>
      </c>
      <c r="K54" s="187">
        <v>3</v>
      </c>
      <c r="L54" s="139" t="s">
        <v>88</v>
      </c>
      <c r="M54" s="139">
        <v>3</v>
      </c>
      <c r="N54" s="139">
        <v>1</v>
      </c>
      <c r="O54" s="139">
        <v>3</v>
      </c>
      <c r="P54" s="139">
        <v>1</v>
      </c>
      <c r="Q54" s="187" t="s">
        <v>88</v>
      </c>
      <c r="R54" s="240">
        <v>2</v>
      </c>
      <c r="S54" s="187">
        <v>2</v>
      </c>
      <c r="T54" s="187">
        <v>4</v>
      </c>
      <c r="U54" s="204">
        <v>117</v>
      </c>
      <c r="V54" s="204" t="s">
        <v>146</v>
      </c>
      <c r="W54" s="239">
        <v>1</v>
      </c>
      <c r="X54" s="204">
        <v>1</v>
      </c>
      <c r="Y54" s="204">
        <v>1</v>
      </c>
      <c r="Z54" s="204">
        <v>48</v>
      </c>
      <c r="AA54" s="241">
        <v>8998</v>
      </c>
      <c r="AB54" s="187">
        <v>2</v>
      </c>
      <c r="AC54" s="187">
        <v>2</v>
      </c>
      <c r="AD54" s="240">
        <f>IF(AND(BE54&gt;=2.71, BE54&lt;=2.86, AA54&gt;23700), 1, IF(AND(BE54&gt;=2.71, BE54&lt;=2.86, AA54&gt;=6000, AA54&lt;=23700), 1, IF(AND(BE54&gt;=2.71, BE54&lt;=2.86, AA54&lt;6000), 1, IF(AND(BE54&gt;=2.57, BE54&lt;=2.71, AA54&gt;23700), 2, IF(AND(BE54&gt;=2.57, BE54&lt;=2.71, AA54&gt;=6000, AA54&lt;=23700), 2, IF(AND(BE54&gt;=2.57, BE54&lt;=2.71, AA54&lt;6000), 1, IF(AND(BE54&gt;=1, BE54&lt;=2.57, AA54&gt;23700), 3, IF(AND(BE54&gt;=1, BE54&lt;=2.71, AA54&gt;=6000, AA54&lt;=23700), 3, IF(AND(BE54&gt;=1, BE54&lt;=2.71, AA54&lt;6000), 2, 0 ) ) ) ) ) ) ) ) )</f>
        <v>3</v>
      </c>
      <c r="AE54" s="187">
        <f t="shared" si="6"/>
        <v>0.95424250943932487</v>
      </c>
      <c r="AF54" s="209">
        <v>1</v>
      </c>
      <c r="AG54" s="209">
        <v>1</v>
      </c>
      <c r="AH54" s="211">
        <v>0</v>
      </c>
      <c r="AI54" s="146">
        <v>3</v>
      </c>
      <c r="AJ54" s="146">
        <v>2</v>
      </c>
      <c r="AK54" s="146">
        <v>1</v>
      </c>
      <c r="AL54" s="146">
        <v>0.3010299956639812</v>
      </c>
      <c r="AM54" s="92">
        <v>1</v>
      </c>
      <c r="AN54" s="226">
        <v>1</v>
      </c>
      <c r="AO54" s="226">
        <f t="shared" si="9"/>
        <v>0</v>
      </c>
      <c r="AP54" s="229">
        <v>2</v>
      </c>
      <c r="AQ54" s="187">
        <v>1</v>
      </c>
      <c r="AR54" s="187">
        <f t="shared" si="1"/>
        <v>0.3010299956639812</v>
      </c>
      <c r="AS54" s="205">
        <v>1.333</v>
      </c>
      <c r="AT54" s="54">
        <f>IF(AS54&lt;2.5,1,IF(AS54&gt;3.5,3,2))</f>
        <v>1</v>
      </c>
      <c r="AU54" s="187">
        <v>1</v>
      </c>
      <c r="AV54" s="187">
        <f t="shared" si="2"/>
        <v>0</v>
      </c>
      <c r="AW54" s="92" t="s">
        <v>91</v>
      </c>
      <c r="AX54" s="66" t="s">
        <v>137</v>
      </c>
      <c r="AY54" s="85">
        <v>2</v>
      </c>
      <c r="AZ54" s="246">
        <v>2</v>
      </c>
      <c r="BA54" s="206">
        <f t="shared" si="8"/>
        <v>0.6020599913279624</v>
      </c>
      <c r="BB54" s="206">
        <v>2</v>
      </c>
      <c r="BC54" s="206">
        <v>1</v>
      </c>
      <c r="BD54" s="206">
        <v>0.3010299956639812</v>
      </c>
      <c r="BE54" s="224">
        <v>2.4285714285714284</v>
      </c>
      <c r="BF54" s="187">
        <v>0.2235811352508392</v>
      </c>
      <c r="BG54" s="187">
        <v>1.6733282197478314</v>
      </c>
      <c r="BH54" s="187">
        <v>0.88312032235346172</v>
      </c>
    </row>
    <row r="55" spans="1:60" ht="16">
      <c r="A55" s="146">
        <v>53</v>
      </c>
      <c r="B55" s="99" t="s">
        <v>388</v>
      </c>
      <c r="C55" s="99" t="s">
        <v>160</v>
      </c>
      <c r="D55" t="s">
        <v>84</v>
      </c>
      <c r="E55" s="239">
        <v>3</v>
      </c>
      <c r="F55" s="187">
        <v>2</v>
      </c>
      <c r="G55" s="187">
        <v>6</v>
      </c>
      <c r="H55" s="139" t="s">
        <v>153</v>
      </c>
      <c r="I55" s="239">
        <v>2</v>
      </c>
      <c r="J55" s="187">
        <v>1</v>
      </c>
      <c r="K55" s="187">
        <v>2</v>
      </c>
      <c r="L55" s="139" t="s">
        <v>146</v>
      </c>
      <c r="M55" s="139">
        <v>3</v>
      </c>
      <c r="N55" s="139">
        <v>1</v>
      </c>
      <c r="O55" s="139">
        <v>3</v>
      </c>
      <c r="P55" s="139">
        <v>98</v>
      </c>
      <c r="Q55" s="187" t="s">
        <v>115</v>
      </c>
      <c r="R55" s="240">
        <v>3</v>
      </c>
      <c r="S55" s="187">
        <v>2</v>
      </c>
      <c r="T55" s="187">
        <v>6</v>
      </c>
      <c r="U55" s="204">
        <v>99</v>
      </c>
      <c r="V55" s="204" t="s">
        <v>88</v>
      </c>
      <c r="W55" s="239">
        <v>1</v>
      </c>
      <c r="X55" s="204">
        <v>1</v>
      </c>
      <c r="Y55" s="204">
        <v>1</v>
      </c>
      <c r="Z55" s="204"/>
      <c r="AA55" s="241">
        <v>8465</v>
      </c>
      <c r="AB55" s="187">
        <v>2</v>
      </c>
      <c r="AC55" s="187">
        <v>2</v>
      </c>
      <c r="AD55" s="240">
        <f>IF(AND(BE55&gt;=2.71, BE55&lt;=2.86, AA55&gt;23700), 1, IF(AND(BE55&gt;=2.71, BE55&lt;=2.86, AA55&gt;=6000, AA55&lt;=23700), 1, IF(AND(BE55&gt;=2.71, BE55&lt;=2.86, AA55&lt;6000), 1, IF(AND(BE55&gt;=2.57, BE55&lt;=2.71, AA55&gt;23700), 2, IF(AND(BE55&gt;=2.57, BE55&lt;=2.71, AA55&gt;=6000, AA55&lt;=23700), 2, IF(AND(BE55&gt;=2.57, BE55&lt;=2.71, AA55&lt;6000), 1, IF(AND(BE55&gt;=1, BE55&lt;=2.57, AA55&gt;23700), 3, IF(AND(BE55&gt;=1, BE55&lt;=2.71, AA55&gt;=6000, AA55&lt;=23700), 3, IF(AND(BE55&gt;=1, BE55&lt;=2.71, AA55&lt;6000), 2, 0 ) ) ) ) ) ) ) ) )</f>
        <v>2</v>
      </c>
      <c r="AE55" s="187">
        <f t="shared" si="6"/>
        <v>0.6020599913279624</v>
      </c>
      <c r="AF55" s="209">
        <v>1</v>
      </c>
      <c r="AG55" s="209">
        <v>1</v>
      </c>
      <c r="AH55" s="211">
        <v>0</v>
      </c>
      <c r="AI55" s="146">
        <v>2</v>
      </c>
      <c r="AJ55" s="146">
        <v>3</v>
      </c>
      <c r="AK55" s="146">
        <v>1</v>
      </c>
      <c r="AL55" s="146">
        <v>0.47712125471966244</v>
      </c>
      <c r="AM55" s="92">
        <v>3</v>
      </c>
      <c r="AN55" s="226">
        <v>1</v>
      </c>
      <c r="AO55" s="226">
        <f t="shared" si="9"/>
        <v>0.47712125471966244</v>
      </c>
      <c r="AP55" s="229">
        <v>1</v>
      </c>
      <c r="AQ55" s="187">
        <v>1</v>
      </c>
      <c r="AR55" s="187">
        <f t="shared" si="1"/>
        <v>0</v>
      </c>
      <c r="AS55" s="205">
        <v>2</v>
      </c>
      <c r="AT55" s="54">
        <f>IF(AS55&lt;2.5,1,IF(AS55&gt;3.5,3,2))</f>
        <v>1</v>
      </c>
      <c r="AU55" s="187">
        <v>1</v>
      </c>
      <c r="AV55" s="187">
        <f t="shared" si="2"/>
        <v>0</v>
      </c>
      <c r="AW55" s="92" t="s">
        <v>99</v>
      </c>
      <c r="AX55" s="66" t="s">
        <v>92</v>
      </c>
      <c r="AY55" s="85">
        <v>3</v>
      </c>
      <c r="AZ55" s="246">
        <v>2</v>
      </c>
      <c r="BA55" s="206">
        <f t="shared" si="8"/>
        <v>0.95424250943932487</v>
      </c>
      <c r="BB55" s="206">
        <v>2</v>
      </c>
      <c r="BC55" s="206">
        <v>1</v>
      </c>
      <c r="BD55" s="206">
        <v>0.3010299956639812</v>
      </c>
      <c r="BE55" s="224">
        <v>2.5714285714285716</v>
      </c>
      <c r="BF55" s="187">
        <v>0.28115750058705935</v>
      </c>
      <c r="BG55" s="187">
        <v>1.9105460086999306</v>
      </c>
      <c r="BH55" s="187">
        <v>1.0063635045783055</v>
      </c>
    </row>
    <row r="56" spans="1:60" ht="16">
      <c r="A56" s="146">
        <v>54</v>
      </c>
      <c r="B56" s="99" t="s">
        <v>391</v>
      </c>
      <c r="C56" s="99" t="s">
        <v>110</v>
      </c>
      <c r="D56" t="s">
        <v>84</v>
      </c>
      <c r="E56" s="239">
        <v>3</v>
      </c>
      <c r="F56" s="187">
        <v>2</v>
      </c>
      <c r="G56" s="187">
        <v>6</v>
      </c>
      <c r="H56" s="139" t="s">
        <v>111</v>
      </c>
      <c r="I56" s="239">
        <v>2</v>
      </c>
      <c r="J56" s="187">
        <v>1</v>
      </c>
      <c r="K56" s="187">
        <v>2</v>
      </c>
      <c r="L56" s="139" t="s">
        <v>146</v>
      </c>
      <c r="M56" s="139">
        <v>1</v>
      </c>
      <c r="N56" s="139">
        <v>1</v>
      </c>
      <c r="O56" s="139">
        <v>1</v>
      </c>
      <c r="P56" s="139">
        <v>1</v>
      </c>
      <c r="Q56" s="187" t="s">
        <v>88</v>
      </c>
      <c r="R56" s="240">
        <v>1</v>
      </c>
      <c r="S56" s="187">
        <v>2</v>
      </c>
      <c r="T56" s="187">
        <v>2</v>
      </c>
      <c r="U56" s="204">
        <v>163</v>
      </c>
      <c r="V56" s="204" t="s">
        <v>115</v>
      </c>
      <c r="W56" s="239">
        <v>2</v>
      </c>
      <c r="X56" s="204">
        <v>1</v>
      </c>
      <c r="Y56" s="204">
        <v>2</v>
      </c>
      <c r="Z56" s="204">
        <v>48</v>
      </c>
      <c r="AA56" s="241">
        <v>8441</v>
      </c>
      <c r="AB56" s="187">
        <v>2</v>
      </c>
      <c r="AC56" s="187">
        <v>2</v>
      </c>
      <c r="AD56" s="240">
        <f>IF(AND(BE56&gt;=2.71, BE56&lt;=2.86, AA56&gt;23700), 1, IF(AND(BE56&gt;=2.71, BE56&lt;=2.86, AA56&gt;=6000, AA56&lt;=23700), 1, IF(AND(BE56&gt;=2.71, BE56&lt;=2.86, AA56&lt;6000), 1, IF(AND(BE56&gt;=2.57, BE56&lt;=2.71, AA56&gt;23700), 2, IF(AND(BE56&gt;=2.57, BE56&lt;=2.71, AA56&gt;=6000, AA56&lt;=23700), 2, IF(AND(BE56&gt;=2.57, BE56&lt;=2.71, AA56&lt;6000), 1, IF(AND(BE56&gt;=1, BE56&lt;=2.57, AA56&gt;23700), 3, IF(AND(BE56&gt;=1, BE56&lt;=2.71, AA56&gt;=6000, AA56&lt;=23700), 3, IF(AND(BE56&gt;=1, BE56&lt;=2.71, AA56&lt;6000), 2, 0 ) ) ) ) ) ) ) ) )</f>
        <v>3</v>
      </c>
      <c r="AE56" s="187">
        <f t="shared" si="6"/>
        <v>0.95424250943932487</v>
      </c>
      <c r="AF56" s="209">
        <v>1</v>
      </c>
      <c r="AG56" s="209">
        <v>1</v>
      </c>
      <c r="AH56" s="211">
        <v>0</v>
      </c>
      <c r="AI56" s="146">
        <v>6</v>
      </c>
      <c r="AJ56" s="146">
        <v>1</v>
      </c>
      <c r="AK56" s="146">
        <v>1</v>
      </c>
      <c r="AL56" s="146">
        <v>0</v>
      </c>
      <c r="AM56" s="92">
        <v>1</v>
      </c>
      <c r="AN56" s="226">
        <v>1</v>
      </c>
      <c r="AO56" s="226">
        <f t="shared" si="9"/>
        <v>0</v>
      </c>
      <c r="AP56" s="229">
        <v>1</v>
      </c>
      <c r="AQ56" s="187">
        <v>1</v>
      </c>
      <c r="AR56" s="187">
        <f t="shared" si="1"/>
        <v>0</v>
      </c>
      <c r="AS56" s="205">
        <v>1.375</v>
      </c>
      <c r="AT56" s="54">
        <f>IF(AS56&lt;2.5,1,IF(AS56&gt;3.5,3,2))</f>
        <v>1</v>
      </c>
      <c r="AU56" s="187">
        <v>1</v>
      </c>
      <c r="AV56" s="187">
        <f t="shared" si="2"/>
        <v>0</v>
      </c>
      <c r="AW56" s="92" t="s">
        <v>99</v>
      </c>
      <c r="AX56" s="66" t="s">
        <v>92</v>
      </c>
      <c r="AY56" s="85">
        <v>3</v>
      </c>
      <c r="AZ56" s="246">
        <v>2</v>
      </c>
      <c r="BA56" s="206">
        <f t="shared" si="8"/>
        <v>0.95424250943932487</v>
      </c>
      <c r="BB56" s="206">
        <v>3</v>
      </c>
      <c r="BC56" s="206">
        <v>1</v>
      </c>
      <c r="BD56" s="206">
        <v>0.47712125471966244</v>
      </c>
      <c r="BE56" s="224">
        <v>1.8571428571428572</v>
      </c>
      <c r="BF56" s="187">
        <v>0.21687329759984655</v>
      </c>
      <c r="BG56" s="187">
        <v>1.6476816217236241</v>
      </c>
      <c r="BH56" s="187">
        <v>1.3136262528200842</v>
      </c>
    </row>
    <row r="57" spans="1:60" ht="16">
      <c r="A57" s="146">
        <v>55</v>
      </c>
      <c r="B57" s="99" t="s">
        <v>394</v>
      </c>
      <c r="C57" s="99" t="s">
        <v>83</v>
      </c>
      <c r="D57" t="s">
        <v>84</v>
      </c>
      <c r="E57" s="239">
        <v>3</v>
      </c>
      <c r="F57" s="187">
        <v>2</v>
      </c>
      <c r="G57" s="187">
        <v>6</v>
      </c>
      <c r="H57" s="139" t="s">
        <v>85</v>
      </c>
      <c r="I57" s="239">
        <v>2</v>
      </c>
      <c r="J57" s="187">
        <v>1</v>
      </c>
      <c r="K57" s="187">
        <v>2</v>
      </c>
      <c r="L57" s="139" t="s">
        <v>88</v>
      </c>
      <c r="M57" s="139">
        <v>3</v>
      </c>
      <c r="N57" s="139">
        <v>1</v>
      </c>
      <c r="O57" s="139">
        <v>3</v>
      </c>
      <c r="P57" s="139">
        <v>1</v>
      </c>
      <c r="Q57" s="187" t="s">
        <v>115</v>
      </c>
      <c r="R57" s="240">
        <v>2</v>
      </c>
      <c r="S57" s="187">
        <v>2</v>
      </c>
      <c r="T57" s="187">
        <v>4</v>
      </c>
      <c r="U57" s="252" t="s">
        <v>398</v>
      </c>
      <c r="V57" s="204" t="s">
        <v>88</v>
      </c>
      <c r="W57" s="239">
        <v>2</v>
      </c>
      <c r="X57" s="204">
        <v>1</v>
      </c>
      <c r="Y57" s="204">
        <v>2</v>
      </c>
      <c r="Z57" s="204"/>
      <c r="AA57" s="241">
        <v>8410</v>
      </c>
      <c r="AB57" s="187">
        <v>2</v>
      </c>
      <c r="AC57" s="187">
        <v>2</v>
      </c>
      <c r="AD57" s="240">
        <f>IF(AND(BE57&gt;=2.71, BE57&lt;=2.86, AA57&gt;23700), 1, IF(AND(BE57&gt;=2.71, BE57&lt;=2.86, AA57&gt;=6000, AA57&lt;=23700), 1, IF(AND(BE57&gt;=2.71, BE57&lt;=2.86, AA57&lt;6000), 1, IF(AND(BE57&gt;=2.57, BE57&lt;=2.71, AA57&gt;23700), 2, IF(AND(BE57&gt;=2.57, BE57&lt;=2.71, AA57&gt;=6000, AA57&lt;=23700), 2, IF(AND(BE57&gt;=2.57, BE57&lt;=2.71, AA57&lt;6000), 1, IF(AND(BE57&gt;=1, BE57&lt;=2.57, AA57&gt;23700), 3, IF(AND(BE57&gt;=1, BE57&lt;=2.71, AA57&gt;=6000, AA57&lt;=23700), 3, IF(AND(BE57&gt;=1, BE57&lt;=2.71, AA57&lt;6000), 2, 0 ) ) ) ) ) ) ) ) )</f>
        <v>3</v>
      </c>
      <c r="AE57" s="187">
        <f t="shared" si="6"/>
        <v>0.95424250943932487</v>
      </c>
      <c r="AF57" s="209">
        <v>1</v>
      </c>
      <c r="AG57" s="209">
        <v>1</v>
      </c>
      <c r="AH57" s="211">
        <v>0</v>
      </c>
      <c r="AI57" s="146">
        <v>6</v>
      </c>
      <c r="AJ57" s="146">
        <v>1</v>
      </c>
      <c r="AK57" s="146">
        <v>1</v>
      </c>
      <c r="AL57" s="146">
        <v>0</v>
      </c>
      <c r="AM57" s="92">
        <v>1</v>
      </c>
      <c r="AN57" s="226">
        <v>1</v>
      </c>
      <c r="AO57" s="226">
        <f t="shared" si="9"/>
        <v>0</v>
      </c>
      <c r="AP57" s="229">
        <v>3</v>
      </c>
      <c r="AQ57" s="187">
        <v>1</v>
      </c>
      <c r="AR57" s="187">
        <f t="shared" si="1"/>
        <v>0.47712125471966244</v>
      </c>
      <c r="AS57" s="205">
        <v>3.5</v>
      </c>
      <c r="AT57" s="54">
        <f>IF(AS57&lt;2.5,1,IF(AS57&gt;3.5,3,2))</f>
        <v>2</v>
      </c>
      <c r="AU57" s="187">
        <v>1</v>
      </c>
      <c r="AV57" s="187">
        <f t="shared" si="2"/>
        <v>0.3010299956639812</v>
      </c>
      <c r="AW57" s="92" t="s">
        <v>273</v>
      </c>
      <c r="AX57" s="66" t="s">
        <v>92</v>
      </c>
      <c r="AY57" s="85">
        <v>3</v>
      </c>
      <c r="AZ57" s="246">
        <v>2</v>
      </c>
      <c r="BA57" s="206">
        <f t="shared" si="8"/>
        <v>0.95424250943932487</v>
      </c>
      <c r="BB57" s="206">
        <v>1</v>
      </c>
      <c r="BC57" s="206">
        <v>1</v>
      </c>
      <c r="BD57" s="206">
        <v>0</v>
      </c>
      <c r="BE57" s="224">
        <v>2.4285714285714284</v>
      </c>
      <c r="BF57" s="187">
        <v>0.24423966084202667</v>
      </c>
      <c r="BG57" s="187">
        <v>1.7548486294507331</v>
      </c>
      <c r="BH57" s="187">
        <v>0.94674551260016448</v>
      </c>
    </row>
    <row r="58" spans="1:60" ht="16">
      <c r="A58" s="146">
        <v>56</v>
      </c>
      <c r="B58" s="99" t="s">
        <v>399</v>
      </c>
      <c r="C58" s="207" t="s">
        <v>355</v>
      </c>
      <c r="D58" t="s">
        <v>84</v>
      </c>
      <c r="E58" s="239">
        <v>3</v>
      </c>
      <c r="F58" s="187">
        <v>2</v>
      </c>
      <c r="G58" s="187">
        <v>6</v>
      </c>
      <c r="H58" s="139" t="s">
        <v>111</v>
      </c>
      <c r="I58" s="239">
        <v>2</v>
      </c>
      <c r="J58" s="187">
        <v>1</v>
      </c>
      <c r="K58" s="187">
        <v>2</v>
      </c>
      <c r="L58" s="139" t="s">
        <v>115</v>
      </c>
      <c r="M58" s="139">
        <v>3</v>
      </c>
      <c r="N58" s="139">
        <v>1</v>
      </c>
      <c r="O58" s="139">
        <v>3</v>
      </c>
      <c r="P58" s="139">
        <v>1</v>
      </c>
      <c r="Q58" s="187" t="s">
        <v>146</v>
      </c>
      <c r="R58" s="240">
        <v>3</v>
      </c>
      <c r="S58" s="187">
        <v>2</v>
      </c>
      <c r="T58" s="187">
        <v>6</v>
      </c>
      <c r="U58" s="204" t="s">
        <v>402</v>
      </c>
      <c r="V58" s="204" t="s">
        <v>115</v>
      </c>
      <c r="W58" s="239">
        <v>2</v>
      </c>
      <c r="X58" s="204">
        <v>1</v>
      </c>
      <c r="Y58" s="204">
        <v>2</v>
      </c>
      <c r="Z58" s="204">
        <v>71</v>
      </c>
      <c r="AA58" s="241">
        <v>8346</v>
      </c>
      <c r="AB58" s="187">
        <v>2</v>
      </c>
      <c r="AC58" s="187">
        <v>2</v>
      </c>
      <c r="AD58" s="240">
        <f>IF(AND(BE58&gt;=2.71, BE58&lt;=2.86, AA58&gt;23700), 1, IF(AND(BE58&gt;=2.71, BE58&lt;=2.86, AA58&gt;=6000, AA58&lt;=23700), 1, IF(AND(BE58&gt;=2.71, BE58&lt;=2.86, AA58&lt;6000), 1, IF(AND(BE58&gt;=2.57, BE58&lt;=2.71, AA58&gt;23700), 2, IF(AND(BE58&gt;=2.57, BE58&lt;=2.71, AA58&gt;=6000, AA58&lt;=23700), 2, IF(AND(BE58&gt;=2.57, BE58&lt;=2.71, AA58&lt;6000), 1, IF(AND(BE58&gt;=1, BE58&lt;=2.57, AA58&gt;23700), 3, IF(AND(BE58&gt;=1, BE58&lt;=2.71, AA58&gt;=6000, AA58&lt;=23700), 3, IF(AND(BE58&gt;=1, BE58&lt;=2.71, AA58&lt;6000), 2, 0 ) ) ) ) ) ) ) ) )</f>
        <v>1</v>
      </c>
      <c r="AE58" s="187">
        <f t="shared" si="6"/>
        <v>0</v>
      </c>
      <c r="AF58" s="209">
        <v>1</v>
      </c>
      <c r="AG58" s="209">
        <v>1</v>
      </c>
      <c r="AH58" s="211">
        <v>0</v>
      </c>
      <c r="AI58" s="146">
        <v>2</v>
      </c>
      <c r="AJ58" s="146">
        <v>3</v>
      </c>
      <c r="AK58" s="146">
        <v>1</v>
      </c>
      <c r="AL58" s="146">
        <v>0.47712125471966244</v>
      </c>
      <c r="AM58" s="92">
        <v>1</v>
      </c>
      <c r="AN58" s="226">
        <v>1</v>
      </c>
      <c r="AO58" s="226">
        <f t="shared" si="9"/>
        <v>0</v>
      </c>
      <c r="AP58" s="229">
        <v>1</v>
      </c>
      <c r="AQ58" s="187">
        <v>1</v>
      </c>
      <c r="AR58" s="187">
        <f t="shared" si="1"/>
        <v>0</v>
      </c>
      <c r="AS58" s="205">
        <v>2</v>
      </c>
      <c r="AT58" s="54">
        <f>IF(AS58&lt;2.5,1,IF(AS58&gt;3.5,3,2))</f>
        <v>1</v>
      </c>
      <c r="AU58" s="187">
        <v>1</v>
      </c>
      <c r="AV58" s="187">
        <f t="shared" si="2"/>
        <v>0</v>
      </c>
      <c r="AW58" s="92" t="s">
        <v>99</v>
      </c>
      <c r="AX58" s="66" t="s">
        <v>92</v>
      </c>
      <c r="AY58" s="85">
        <v>3</v>
      </c>
      <c r="AZ58" s="246">
        <v>2</v>
      </c>
      <c r="BA58" s="206">
        <f t="shared" si="8"/>
        <v>0.95424250943932487</v>
      </c>
      <c r="BB58" s="206">
        <v>2</v>
      </c>
      <c r="BC58" s="206">
        <v>1</v>
      </c>
      <c r="BD58" s="206">
        <v>0.3010299956639812</v>
      </c>
      <c r="BE58" s="224">
        <v>2.7142857142857144</v>
      </c>
      <c r="BF58" s="187">
        <v>0.19248819553588539</v>
      </c>
      <c r="BG58" s="187">
        <v>1.5577156943237602</v>
      </c>
      <c r="BH58" s="187">
        <v>0.62664140364027843</v>
      </c>
    </row>
    <row r="59" spans="1:60" ht="16">
      <c r="A59" s="146">
        <v>57</v>
      </c>
      <c r="B59" s="99" t="s">
        <v>403</v>
      </c>
      <c r="C59" s="99" t="s">
        <v>286</v>
      </c>
      <c r="D59" t="s">
        <v>84</v>
      </c>
      <c r="E59" s="239">
        <v>3</v>
      </c>
      <c r="F59" s="187">
        <v>2</v>
      </c>
      <c r="G59" s="187">
        <v>6</v>
      </c>
      <c r="H59" s="139" t="s">
        <v>153</v>
      </c>
      <c r="I59" s="239">
        <v>2</v>
      </c>
      <c r="J59" s="187">
        <v>1</v>
      </c>
      <c r="K59" s="187">
        <v>2</v>
      </c>
      <c r="L59" s="139" t="s">
        <v>88</v>
      </c>
      <c r="M59" s="139">
        <v>3</v>
      </c>
      <c r="N59" s="139">
        <v>1</v>
      </c>
      <c r="O59" s="139">
        <v>3</v>
      </c>
      <c r="P59" s="139">
        <v>1</v>
      </c>
      <c r="Q59" s="187" t="s">
        <v>88</v>
      </c>
      <c r="R59" s="240">
        <v>2</v>
      </c>
      <c r="S59" s="187">
        <v>2</v>
      </c>
      <c r="T59" s="187">
        <v>4</v>
      </c>
      <c r="U59" s="204">
        <v>157</v>
      </c>
      <c r="V59" s="204" t="s">
        <v>88</v>
      </c>
      <c r="W59" s="239">
        <v>1</v>
      </c>
      <c r="X59" s="204">
        <v>1</v>
      </c>
      <c r="Y59" s="204">
        <v>1</v>
      </c>
      <c r="Z59" s="204"/>
      <c r="AA59" s="241">
        <v>8343</v>
      </c>
      <c r="AB59" s="187">
        <v>2</v>
      </c>
      <c r="AC59" s="187">
        <v>2</v>
      </c>
      <c r="AD59" s="240">
        <f>IF(AND(BE59&gt;=2.71, BE59&lt;=2.86, AA59&gt;23700), 1, IF(AND(BE59&gt;=2.71, BE59&lt;=2.86, AA59&gt;=6000, AA59&lt;=23700), 1, IF(AND(BE59&gt;=2.71, BE59&lt;=2.86, AA59&lt;6000), 1, IF(AND(BE59&gt;=2.57, BE59&lt;=2.71, AA59&gt;23700), 2, IF(AND(BE59&gt;=2.57, BE59&lt;=2.71, AA59&gt;=6000, AA59&lt;=23700), 2, IF(AND(BE59&gt;=2.57, BE59&lt;=2.71, AA59&lt;6000), 1, IF(AND(BE59&gt;=1, BE59&lt;=2.57, AA59&gt;23700), 3, IF(AND(BE59&gt;=1, BE59&lt;=2.71, AA59&gt;=6000, AA59&lt;=23700), 3, IF(AND(BE59&gt;=1, BE59&lt;=2.71, AA59&lt;6000), 2, 0 ) ) ) ) ) ) ) ) )</f>
        <v>3</v>
      </c>
      <c r="AE59" s="187">
        <f t="shared" si="6"/>
        <v>0.95424250943932487</v>
      </c>
      <c r="AF59" s="209">
        <v>1</v>
      </c>
      <c r="AG59" s="209">
        <v>1</v>
      </c>
      <c r="AH59" s="211">
        <v>0</v>
      </c>
      <c r="AI59" s="146">
        <v>6</v>
      </c>
      <c r="AJ59" s="146">
        <v>1</v>
      </c>
      <c r="AK59" s="146">
        <v>1</v>
      </c>
      <c r="AL59" s="146">
        <v>0</v>
      </c>
      <c r="AM59" s="92">
        <v>3</v>
      </c>
      <c r="AN59" s="226">
        <v>1</v>
      </c>
      <c r="AO59" s="226">
        <f t="shared" si="9"/>
        <v>0.47712125471966244</v>
      </c>
      <c r="AP59" s="229">
        <v>1</v>
      </c>
      <c r="AQ59" s="187">
        <v>1</v>
      </c>
      <c r="AR59" s="187">
        <f t="shared" si="1"/>
        <v>0</v>
      </c>
      <c r="AS59" s="205">
        <v>2.25</v>
      </c>
      <c r="AT59" s="54">
        <f>IF(AS59&lt;2.5,1,IF(AS59&gt;3.5,3,2))</f>
        <v>1</v>
      </c>
      <c r="AU59" s="187">
        <v>1</v>
      </c>
      <c r="AV59" s="187">
        <f t="shared" si="2"/>
        <v>0</v>
      </c>
      <c r="AW59" s="92" t="s">
        <v>99</v>
      </c>
      <c r="AX59" s="66" t="s">
        <v>92</v>
      </c>
      <c r="AY59" s="85">
        <v>3</v>
      </c>
      <c r="AZ59" s="246">
        <v>2</v>
      </c>
      <c r="BA59" s="206">
        <f t="shared" si="8"/>
        <v>0.95424250943932487</v>
      </c>
      <c r="BB59" s="206">
        <v>2</v>
      </c>
      <c r="BC59" s="206">
        <v>1</v>
      </c>
      <c r="BD59" s="206">
        <v>0.3010299956639812</v>
      </c>
      <c r="BE59" s="224">
        <v>2.2857142857142856</v>
      </c>
      <c r="BF59" s="187">
        <v>0.24423966084202667</v>
      </c>
      <c r="BG59" s="187">
        <v>1.7548486294507331</v>
      </c>
      <c r="BH59" s="187">
        <v>1.0392307419511335</v>
      </c>
    </row>
    <row r="60" spans="1:60" ht="16">
      <c r="A60" s="146">
        <v>58</v>
      </c>
      <c r="B60" s="99" t="s">
        <v>407</v>
      </c>
      <c r="C60" s="99" t="s">
        <v>152</v>
      </c>
      <c r="D60" t="s">
        <v>84</v>
      </c>
      <c r="E60" s="239">
        <v>2</v>
      </c>
      <c r="F60" s="187">
        <v>2</v>
      </c>
      <c r="G60" s="187">
        <v>4</v>
      </c>
      <c r="H60" s="139" t="s">
        <v>161</v>
      </c>
      <c r="I60" s="239">
        <v>2</v>
      </c>
      <c r="J60" s="187">
        <v>1</v>
      </c>
      <c r="K60" s="187">
        <v>2</v>
      </c>
      <c r="L60" s="139" t="s">
        <v>88</v>
      </c>
      <c r="M60" s="139">
        <v>2</v>
      </c>
      <c r="N60" s="139">
        <v>1</v>
      </c>
      <c r="O60" s="139">
        <v>2</v>
      </c>
      <c r="P60" s="139">
        <v>1</v>
      </c>
      <c r="Q60" s="187" t="s">
        <v>146</v>
      </c>
      <c r="R60" s="240">
        <v>3</v>
      </c>
      <c r="S60" s="187">
        <v>2</v>
      </c>
      <c r="T60" s="187">
        <v>6</v>
      </c>
      <c r="U60" s="204" t="s">
        <v>347</v>
      </c>
      <c r="V60" s="204" t="s">
        <v>88</v>
      </c>
      <c r="W60" s="239">
        <v>1</v>
      </c>
      <c r="X60" s="204">
        <v>1</v>
      </c>
      <c r="Y60" s="204">
        <v>1</v>
      </c>
      <c r="Z60" s="204"/>
      <c r="AA60" s="241">
        <v>8342</v>
      </c>
      <c r="AB60" s="187">
        <v>2</v>
      </c>
      <c r="AC60" s="187">
        <v>2</v>
      </c>
      <c r="AD60" s="240">
        <f>IF(AND(BE60&gt;=2.71, BE60&lt;=2.86, AA60&gt;23700), 1, IF(AND(BE60&gt;=2.71, BE60&lt;=2.86, AA60&gt;=6000, AA60&lt;=23700), 1, IF(AND(BE60&gt;=2.71, BE60&lt;=2.86, AA60&lt;6000), 1, IF(AND(BE60&gt;=2.57, BE60&lt;=2.71, AA60&gt;23700), 2, IF(AND(BE60&gt;=2.57, BE60&lt;=2.71, AA60&gt;=6000, AA60&lt;=23700), 2, IF(AND(BE60&gt;=2.57, BE60&lt;=2.71, AA60&lt;6000), 1, IF(AND(BE60&gt;=1, BE60&lt;=2.57, AA60&gt;23700), 3, IF(AND(BE60&gt;=1, BE60&lt;=2.71, AA60&gt;=6000, AA60&lt;=23700), 3, IF(AND(BE60&gt;=1, BE60&lt;=2.71, AA60&lt;6000), 2, 0 ) ) ) ) ) ) ) ) )</f>
        <v>3</v>
      </c>
      <c r="AE60" s="187">
        <f t="shared" si="6"/>
        <v>0.95424250943932487</v>
      </c>
      <c r="AF60" s="209">
        <v>1</v>
      </c>
      <c r="AG60" s="209">
        <v>1</v>
      </c>
      <c r="AH60" s="211">
        <v>0</v>
      </c>
      <c r="AI60" s="146">
        <v>6</v>
      </c>
      <c r="AJ60" s="146">
        <v>1</v>
      </c>
      <c r="AK60" s="146">
        <v>1</v>
      </c>
      <c r="AL60" s="146">
        <v>0</v>
      </c>
      <c r="AM60" s="92">
        <v>1</v>
      </c>
      <c r="AN60" s="226">
        <v>1</v>
      </c>
      <c r="AO60" s="226">
        <f t="shared" si="9"/>
        <v>0</v>
      </c>
      <c r="AP60" s="229">
        <v>1</v>
      </c>
      <c r="AQ60" s="187">
        <v>1</v>
      </c>
      <c r="AR60" s="187">
        <f t="shared" si="1"/>
        <v>0</v>
      </c>
      <c r="AS60" s="205">
        <v>2</v>
      </c>
      <c r="AT60" s="54">
        <f>IF(AS60&lt;2.5,1,IF(AS60&gt;3.5,3,2))</f>
        <v>1</v>
      </c>
      <c r="AU60" s="187">
        <v>1</v>
      </c>
      <c r="AV60" s="187">
        <f t="shared" si="2"/>
        <v>0</v>
      </c>
      <c r="AW60" s="92" t="s">
        <v>99</v>
      </c>
      <c r="AX60" s="96" t="s">
        <v>106</v>
      </c>
      <c r="AY60" s="204">
        <v>3</v>
      </c>
      <c r="AZ60" s="246">
        <v>2</v>
      </c>
      <c r="BA60" s="206">
        <f t="shared" si="8"/>
        <v>0.95424250943932487</v>
      </c>
      <c r="BB60" s="206">
        <v>2</v>
      </c>
      <c r="BC60" s="206">
        <v>1</v>
      </c>
      <c r="BD60" s="206">
        <v>0.3010299956639812</v>
      </c>
      <c r="BE60" s="224">
        <v>2.1428571428571428</v>
      </c>
      <c r="BF60" s="187">
        <v>0.20086500132205734</v>
      </c>
      <c r="BG60" s="187">
        <v>1.5880530320239412</v>
      </c>
      <c r="BH60" s="187">
        <v>1.0394711376577856</v>
      </c>
    </row>
    <row r="61" spans="1:60" ht="16">
      <c r="A61" s="146">
        <v>59</v>
      </c>
      <c r="B61" s="99" t="s">
        <v>411</v>
      </c>
      <c r="C61" s="99" t="s">
        <v>83</v>
      </c>
      <c r="D61" t="s">
        <v>413</v>
      </c>
      <c r="E61" s="239">
        <v>3</v>
      </c>
      <c r="F61" s="187">
        <v>2</v>
      </c>
      <c r="G61" s="187">
        <v>6</v>
      </c>
      <c r="H61" s="139" t="s">
        <v>161</v>
      </c>
      <c r="I61" s="239">
        <v>2</v>
      </c>
      <c r="J61" s="187">
        <v>1</v>
      </c>
      <c r="K61" s="187">
        <v>2</v>
      </c>
      <c r="L61" s="139" t="s">
        <v>88</v>
      </c>
      <c r="M61" s="139">
        <v>3</v>
      </c>
      <c r="N61" s="139">
        <v>1</v>
      </c>
      <c r="O61" s="139">
        <v>3</v>
      </c>
      <c r="P61" s="139">
        <v>1</v>
      </c>
      <c r="Q61" s="187" t="s">
        <v>146</v>
      </c>
      <c r="R61" s="240">
        <v>3</v>
      </c>
      <c r="S61" s="187">
        <v>2</v>
      </c>
      <c r="T61" s="187">
        <v>6</v>
      </c>
      <c r="U61" s="252" t="s">
        <v>220</v>
      </c>
      <c r="V61" s="204" t="s">
        <v>88</v>
      </c>
      <c r="W61" s="239">
        <v>2</v>
      </c>
      <c r="X61" s="204">
        <v>1</v>
      </c>
      <c r="Y61" s="204">
        <v>2</v>
      </c>
      <c r="Z61" s="204"/>
      <c r="AA61" s="241">
        <v>8263</v>
      </c>
      <c r="AB61" s="187">
        <v>2</v>
      </c>
      <c r="AC61" s="187">
        <v>2</v>
      </c>
      <c r="AD61" s="240">
        <f>IF(AND(BE61&gt;=2.71, BE61&lt;=2.86, AA61&gt;23700), 1, IF(AND(BE61&gt;=2.71, BE61&lt;=2.86, AA61&gt;=6000, AA61&lt;=23700), 1, IF(AND(BE61&gt;=2.71, BE61&lt;=2.86, AA61&lt;6000), 1, IF(AND(BE61&gt;=2.57, BE61&lt;=2.71, AA61&gt;23700), 2, IF(AND(BE61&gt;=2.57, BE61&lt;=2.71, AA61&gt;=6000, AA61&lt;=23700), 2, IF(AND(BE61&gt;=2.57, BE61&lt;=2.71, AA61&lt;6000), 1, IF(AND(BE61&gt;=1, BE61&lt;=2.57, AA61&gt;23700), 3, IF(AND(BE61&gt;=1, BE61&lt;=2.71, AA61&gt;=6000, AA61&lt;=23700), 3, IF(AND(BE61&gt;=1, BE61&lt;=2.71, AA61&lt;6000), 2, 0 ) ) ) ) ) ) ) ) )</f>
        <v>1</v>
      </c>
      <c r="AE61" s="187">
        <f t="shared" si="6"/>
        <v>0</v>
      </c>
      <c r="AF61" s="209">
        <v>2</v>
      </c>
      <c r="AG61" s="209">
        <v>1</v>
      </c>
      <c r="AH61" s="211">
        <v>0.3010299956639812</v>
      </c>
      <c r="AI61" s="146">
        <v>4</v>
      </c>
      <c r="AJ61" s="146">
        <v>2</v>
      </c>
      <c r="AK61" s="146">
        <v>1</v>
      </c>
      <c r="AL61" s="146">
        <v>0.3010299956639812</v>
      </c>
      <c r="AM61" s="92">
        <v>1</v>
      </c>
      <c r="AN61" s="226">
        <v>1</v>
      </c>
      <c r="AO61" s="226">
        <f t="shared" si="9"/>
        <v>0</v>
      </c>
      <c r="AP61" s="229">
        <v>2</v>
      </c>
      <c r="AQ61" s="187">
        <v>1</v>
      </c>
      <c r="AR61" s="187">
        <f t="shared" si="1"/>
        <v>0.3010299956639812</v>
      </c>
      <c r="AS61" s="205">
        <v>1.167</v>
      </c>
      <c r="AT61" s="54">
        <f>IF(AS61&lt;2.5,1,IF(AS61&gt;3.5,3,2))</f>
        <v>1</v>
      </c>
      <c r="AU61" s="187">
        <v>1</v>
      </c>
      <c r="AV61" s="187">
        <f t="shared" si="2"/>
        <v>0</v>
      </c>
      <c r="AW61" s="92" t="s">
        <v>91</v>
      </c>
      <c r="AX61" s="66">
        <v>2</v>
      </c>
      <c r="AY61" s="85">
        <v>3</v>
      </c>
      <c r="AZ61" s="246">
        <v>2</v>
      </c>
      <c r="BA61" s="206">
        <f t="shared" si="8"/>
        <v>0.95424250943932487</v>
      </c>
      <c r="BB61" s="206">
        <v>1</v>
      </c>
      <c r="BC61" s="206">
        <v>1</v>
      </c>
      <c r="BD61" s="206">
        <v>0</v>
      </c>
      <c r="BE61" s="224">
        <v>2.7142857142857144</v>
      </c>
      <c r="BF61" s="187">
        <v>0.20637027738125205</v>
      </c>
      <c r="BG61" s="187">
        <v>1.6083119076007948</v>
      </c>
      <c r="BH61" s="187">
        <v>0.67206847120672331</v>
      </c>
    </row>
    <row r="62" spans="1:60" ht="16">
      <c r="A62" s="146">
        <v>60</v>
      </c>
      <c r="B62" s="99" t="s">
        <v>414</v>
      </c>
      <c r="C62" s="99" t="s">
        <v>152</v>
      </c>
      <c r="D62" t="s">
        <v>84</v>
      </c>
      <c r="E62" s="239">
        <v>3</v>
      </c>
      <c r="F62" s="187">
        <v>2</v>
      </c>
      <c r="G62" s="187">
        <v>6</v>
      </c>
      <c r="H62" s="139" t="s">
        <v>153</v>
      </c>
      <c r="I62" s="239">
        <v>2</v>
      </c>
      <c r="J62" s="187">
        <v>1</v>
      </c>
      <c r="K62" s="187">
        <v>2</v>
      </c>
      <c r="L62" s="139" t="s">
        <v>88</v>
      </c>
      <c r="M62" s="139">
        <v>2</v>
      </c>
      <c r="N62" s="139">
        <v>1</v>
      </c>
      <c r="O62" s="139">
        <v>2</v>
      </c>
      <c r="P62" s="139">
        <v>1</v>
      </c>
      <c r="Q62" s="187" t="s">
        <v>115</v>
      </c>
      <c r="R62" s="240">
        <v>3</v>
      </c>
      <c r="S62" s="187">
        <v>2</v>
      </c>
      <c r="T62" s="187">
        <v>6</v>
      </c>
      <c r="U62" s="204" t="s">
        <v>363</v>
      </c>
      <c r="V62" s="204" t="s">
        <v>88</v>
      </c>
      <c r="W62" s="239">
        <v>2</v>
      </c>
      <c r="X62" s="204">
        <v>1</v>
      </c>
      <c r="Y62" s="204">
        <v>2</v>
      </c>
      <c r="Z62" s="204"/>
      <c r="AA62" s="241">
        <v>8257</v>
      </c>
      <c r="AB62" s="187">
        <v>2</v>
      </c>
      <c r="AC62" s="187">
        <v>2</v>
      </c>
      <c r="AD62" s="240">
        <f>IF(AND(BE62&gt;=2.71, BE62&lt;=2.86, AA62&gt;23700), 1, IF(AND(BE62&gt;=2.71, BE62&lt;=2.86, AA62&gt;=6000, AA62&lt;=23700), 1, IF(AND(BE62&gt;=2.71, BE62&lt;=2.86, AA62&lt;6000), 1, IF(AND(BE62&gt;=2.57, BE62&lt;=2.71, AA62&gt;23700), 2, IF(AND(BE62&gt;=2.57, BE62&lt;=2.71, AA62&gt;=6000, AA62&lt;=23700), 2, IF(AND(BE62&gt;=2.57, BE62&lt;=2.71, AA62&lt;6000), 1, IF(AND(BE62&gt;=1, BE62&lt;=2.57, AA62&gt;23700), 3, IF(AND(BE62&gt;=1, BE62&lt;=2.71, AA62&gt;=6000, AA62&lt;=23700), 3, IF(AND(BE62&gt;=1, BE62&lt;=2.71, AA62&lt;6000), 2, 0 ) ) ) ) ) ) ) ) )</f>
        <v>2</v>
      </c>
      <c r="AE62" s="187">
        <f t="shared" si="6"/>
        <v>0.6020599913279624</v>
      </c>
      <c r="AF62" s="209">
        <v>1</v>
      </c>
      <c r="AG62" s="209">
        <v>1</v>
      </c>
      <c r="AH62" s="211">
        <v>0</v>
      </c>
      <c r="AI62" s="146">
        <v>6</v>
      </c>
      <c r="AJ62" s="146">
        <v>1</v>
      </c>
      <c r="AK62" s="146">
        <v>1</v>
      </c>
      <c r="AL62" s="146">
        <v>0</v>
      </c>
      <c r="AM62" s="92">
        <v>1</v>
      </c>
      <c r="AN62" s="226">
        <v>1</v>
      </c>
      <c r="AO62" s="226">
        <f t="shared" si="9"/>
        <v>0</v>
      </c>
      <c r="AP62" s="229">
        <v>2</v>
      </c>
      <c r="AQ62" s="187">
        <v>1</v>
      </c>
      <c r="AR62" s="187">
        <f t="shared" si="1"/>
        <v>0.3010299956639812</v>
      </c>
      <c r="AS62" s="205">
        <v>1.625</v>
      </c>
      <c r="AT62" s="54">
        <f>IF(AS62&lt;2.5,1,IF(AS62&gt;3.5,3,2))</f>
        <v>1</v>
      </c>
      <c r="AU62" s="187">
        <v>1</v>
      </c>
      <c r="AV62" s="187">
        <f t="shared" si="2"/>
        <v>0</v>
      </c>
      <c r="AW62" s="92" t="s">
        <v>99</v>
      </c>
      <c r="AX62" s="66" t="s">
        <v>92</v>
      </c>
      <c r="AY62" s="85">
        <v>3</v>
      </c>
      <c r="AZ62" s="246">
        <v>2</v>
      </c>
      <c r="BA62" s="206">
        <f t="shared" si="8"/>
        <v>0.95424250943932487</v>
      </c>
      <c r="BB62" s="206">
        <v>2</v>
      </c>
      <c r="BC62" s="206">
        <v>1</v>
      </c>
      <c r="BD62" s="206">
        <v>0.3010299956639812</v>
      </c>
      <c r="BE62" s="224">
        <v>2.5714285714285716</v>
      </c>
      <c r="BF62" s="187">
        <v>0.21583624920952499</v>
      </c>
      <c r="BG62" s="187">
        <v>1.643751829517226</v>
      </c>
      <c r="BH62" s="187">
        <v>0.77336271399294299</v>
      </c>
    </row>
    <row r="63" spans="1:60" ht="16">
      <c r="A63" s="146">
        <v>61</v>
      </c>
      <c r="B63" s="99" t="s">
        <v>416</v>
      </c>
      <c r="C63" s="99" t="s">
        <v>184</v>
      </c>
      <c r="D63" t="s">
        <v>84</v>
      </c>
      <c r="E63" s="239">
        <v>3</v>
      </c>
      <c r="F63" s="187">
        <v>2</v>
      </c>
      <c r="G63" s="187">
        <v>6</v>
      </c>
      <c r="H63" s="139">
        <v>1</v>
      </c>
      <c r="I63" s="239">
        <v>2</v>
      </c>
      <c r="J63" s="187">
        <v>1</v>
      </c>
      <c r="K63" s="187">
        <v>2</v>
      </c>
      <c r="L63" s="139" t="s">
        <v>88</v>
      </c>
      <c r="M63" s="139">
        <v>3</v>
      </c>
      <c r="N63" s="139">
        <v>1</v>
      </c>
      <c r="O63" s="139">
        <v>3</v>
      </c>
      <c r="P63" s="139">
        <v>1</v>
      </c>
      <c r="Q63" s="187" t="s">
        <v>146</v>
      </c>
      <c r="R63" s="240">
        <v>3</v>
      </c>
      <c r="S63" s="187">
        <v>2</v>
      </c>
      <c r="T63" s="187">
        <v>6</v>
      </c>
      <c r="U63" s="204" t="s">
        <v>419</v>
      </c>
      <c r="V63" s="204" t="s">
        <v>146</v>
      </c>
      <c r="W63" s="239">
        <v>2</v>
      </c>
      <c r="X63" s="204">
        <v>1</v>
      </c>
      <c r="Y63" s="204">
        <v>2</v>
      </c>
      <c r="Z63" s="204">
        <v>176</v>
      </c>
      <c r="AA63" s="241">
        <v>8173</v>
      </c>
      <c r="AB63" s="187">
        <v>2</v>
      </c>
      <c r="AC63" s="187">
        <v>2</v>
      </c>
      <c r="AD63" s="240">
        <f>IF(AND(BE63&gt;=2.71, BE63&lt;=2.86, AA63&gt;23700), 1, IF(AND(BE63&gt;=2.71, BE63&lt;=2.86, AA63&gt;=6000, AA63&lt;=23700), 1, IF(AND(BE63&gt;=2.71, BE63&lt;=2.86, AA63&lt;6000), 1, IF(AND(BE63&gt;=2.57, BE63&lt;=2.71, AA63&gt;23700), 2, IF(AND(BE63&gt;=2.57, BE63&lt;=2.71, AA63&gt;=6000, AA63&lt;=23700), 2, IF(AND(BE63&gt;=2.57, BE63&lt;=2.71, AA63&lt;6000), 1, IF(AND(BE63&gt;=1, BE63&lt;=2.57, AA63&gt;23700), 3, IF(AND(BE63&gt;=1, BE63&lt;=2.71, AA63&gt;=6000, AA63&lt;=23700), 3, IF(AND(BE63&gt;=1, BE63&lt;=2.71, AA63&lt;6000), 2, 0 ) ) ) ) ) ) ) ) )</f>
        <v>1</v>
      </c>
      <c r="AE63" s="187">
        <f t="shared" si="6"/>
        <v>0</v>
      </c>
      <c r="AF63" s="209">
        <v>1</v>
      </c>
      <c r="AG63" s="209">
        <v>1</v>
      </c>
      <c r="AH63" s="211">
        <v>0</v>
      </c>
      <c r="AI63" s="146">
        <v>2</v>
      </c>
      <c r="AJ63" s="146">
        <v>3</v>
      </c>
      <c r="AK63" s="146">
        <v>1</v>
      </c>
      <c r="AL63" s="146">
        <v>0.47712125471966244</v>
      </c>
      <c r="AM63" s="92">
        <v>1</v>
      </c>
      <c r="AN63" s="226">
        <v>1</v>
      </c>
      <c r="AO63" s="226">
        <f t="shared" si="9"/>
        <v>0</v>
      </c>
      <c r="AP63" s="229">
        <v>1</v>
      </c>
      <c r="AQ63" s="187">
        <v>1</v>
      </c>
      <c r="AR63" s="187">
        <f t="shared" si="1"/>
        <v>0</v>
      </c>
      <c r="AS63" s="205">
        <v>3</v>
      </c>
      <c r="AT63" s="54">
        <f>IF(AS63&lt;2.5,1,IF(AS63&gt;3.5,3,2))</f>
        <v>2</v>
      </c>
      <c r="AU63" s="187">
        <v>1</v>
      </c>
      <c r="AV63" s="187">
        <f t="shared" si="2"/>
        <v>0.3010299956639812</v>
      </c>
      <c r="AW63" s="92" t="s">
        <v>99</v>
      </c>
      <c r="AX63" s="66" t="s">
        <v>92</v>
      </c>
      <c r="AY63" s="85">
        <v>3</v>
      </c>
      <c r="AZ63" s="246">
        <v>2</v>
      </c>
      <c r="BA63" s="206">
        <f t="shared" si="8"/>
        <v>0.95424250943932487</v>
      </c>
      <c r="BB63" s="206">
        <v>2</v>
      </c>
      <c r="BC63" s="206">
        <v>1</v>
      </c>
      <c r="BD63" s="206">
        <v>0.3010299956639812</v>
      </c>
      <c r="BE63" s="224">
        <v>2.7142857142857144</v>
      </c>
      <c r="BF63" s="187">
        <v>0.22593597283188332</v>
      </c>
      <c r="BG63" s="187">
        <v>1.682426006079768</v>
      </c>
      <c r="BH63" s="187">
        <v>0.73982288882894665</v>
      </c>
    </row>
    <row r="64" spans="1:60" ht="16">
      <c r="A64" s="146">
        <v>62</v>
      </c>
      <c r="B64" s="99" t="s">
        <v>420</v>
      </c>
      <c r="C64" s="99" t="s">
        <v>83</v>
      </c>
      <c r="D64" t="s">
        <v>84</v>
      </c>
      <c r="E64" s="239">
        <v>3</v>
      </c>
      <c r="F64" s="187">
        <v>2</v>
      </c>
      <c r="G64" s="187">
        <v>6</v>
      </c>
      <c r="H64" s="139">
        <v>1</v>
      </c>
      <c r="I64" s="239">
        <v>2</v>
      </c>
      <c r="J64" s="187">
        <v>1</v>
      </c>
      <c r="K64" s="187">
        <v>2</v>
      </c>
      <c r="L64" s="139" t="s">
        <v>88</v>
      </c>
      <c r="M64" s="139">
        <v>3</v>
      </c>
      <c r="N64" s="139">
        <v>1</v>
      </c>
      <c r="O64" s="139">
        <v>3</v>
      </c>
      <c r="P64" s="139">
        <v>1</v>
      </c>
      <c r="Q64" s="187" t="s">
        <v>88</v>
      </c>
      <c r="R64" s="240">
        <v>2</v>
      </c>
      <c r="S64" s="187">
        <v>2</v>
      </c>
      <c r="T64" s="187">
        <v>4</v>
      </c>
      <c r="U64" s="204">
        <v>100</v>
      </c>
      <c r="V64" s="204" t="s">
        <v>88</v>
      </c>
      <c r="W64" s="239">
        <v>3</v>
      </c>
      <c r="X64" s="204">
        <v>1</v>
      </c>
      <c r="Y64" s="204">
        <v>3</v>
      </c>
      <c r="Z64" s="204"/>
      <c r="AA64" s="241">
        <v>8103</v>
      </c>
      <c r="AB64" s="187">
        <v>2</v>
      </c>
      <c r="AC64" s="187">
        <v>2</v>
      </c>
      <c r="AD64" s="240">
        <f>IF(AND(BE64&gt;=2.71, BE64&lt;=2.86, AA64&gt;23700), 1, IF(AND(BE64&gt;=2.71, BE64&lt;=2.86, AA64&gt;=6000, AA64&lt;=23700), 1, IF(AND(BE64&gt;=2.71, BE64&lt;=2.86, AA64&lt;6000), 1, IF(AND(BE64&gt;=2.57, BE64&lt;=2.71, AA64&gt;23700), 2, IF(AND(BE64&gt;=2.57, BE64&lt;=2.71, AA64&gt;=6000, AA64&lt;=23700), 2, IF(AND(BE64&gt;=2.57, BE64&lt;=2.71, AA64&lt;6000), 1, IF(AND(BE64&gt;=1, BE64&lt;=2.57, AA64&gt;23700), 3, IF(AND(BE64&gt;=1, BE64&lt;=2.71, AA64&gt;=6000, AA64&lt;=23700), 3, IF(AND(BE64&gt;=1, BE64&lt;=2.71, AA64&lt;6000), 2, 0 ) ) ) ) ) ) ) ) )</f>
        <v>2</v>
      </c>
      <c r="AE64" s="187">
        <f t="shared" si="6"/>
        <v>0.6020599913279624</v>
      </c>
      <c r="AF64" s="209">
        <v>3</v>
      </c>
      <c r="AG64" s="209">
        <v>1</v>
      </c>
      <c r="AH64" s="211">
        <v>0.47712125471966244</v>
      </c>
      <c r="AI64" s="146">
        <v>1</v>
      </c>
      <c r="AJ64" s="146">
        <v>3</v>
      </c>
      <c r="AK64" s="146">
        <v>1</v>
      </c>
      <c r="AL64" s="146">
        <v>0.47712125471966244</v>
      </c>
      <c r="AM64" s="92">
        <v>1</v>
      </c>
      <c r="AN64" s="226">
        <v>1</v>
      </c>
      <c r="AO64" s="226">
        <f t="shared" si="9"/>
        <v>0</v>
      </c>
      <c r="AP64" s="229">
        <v>2</v>
      </c>
      <c r="AQ64" s="187">
        <v>1</v>
      </c>
      <c r="AR64" s="187">
        <f t="shared" si="1"/>
        <v>0.3010299956639812</v>
      </c>
      <c r="AS64" s="205">
        <v>1.333</v>
      </c>
      <c r="AT64" s="54">
        <f>IF(AS64&lt;2.5,1,IF(AS64&gt;3.5,3,2))</f>
        <v>1</v>
      </c>
      <c r="AU64" s="187">
        <v>1</v>
      </c>
      <c r="AV64" s="187">
        <f t="shared" si="2"/>
        <v>0</v>
      </c>
      <c r="AW64" s="92" t="s">
        <v>91</v>
      </c>
      <c r="AX64" s="66" t="s">
        <v>106</v>
      </c>
      <c r="AY64" s="85">
        <v>3</v>
      </c>
      <c r="AZ64" s="246">
        <v>2</v>
      </c>
      <c r="BA64" s="206">
        <f t="shared" si="8"/>
        <v>0.95424250943932487</v>
      </c>
      <c r="BB64" s="206">
        <v>2</v>
      </c>
      <c r="BC64" s="206">
        <v>1</v>
      </c>
      <c r="BD64" s="206">
        <v>0.3010299956639812</v>
      </c>
      <c r="BE64" s="224">
        <v>2.5714285714285716</v>
      </c>
      <c r="BF64" s="187">
        <v>0.31126050015345746</v>
      </c>
      <c r="BG64" s="187">
        <v>2.0476725110792193</v>
      </c>
      <c r="BH64" s="187">
        <v>1.1319413235052389</v>
      </c>
    </row>
    <row r="65" spans="1:60" ht="16">
      <c r="A65" s="146">
        <v>63</v>
      </c>
      <c r="B65" s="99" t="s">
        <v>424</v>
      </c>
      <c r="C65" s="99" t="s">
        <v>83</v>
      </c>
      <c r="D65" t="s">
        <v>84</v>
      </c>
      <c r="E65" s="239">
        <v>3</v>
      </c>
      <c r="F65" s="187">
        <v>2</v>
      </c>
      <c r="G65" s="187">
        <v>6</v>
      </c>
      <c r="H65" s="139">
        <v>1</v>
      </c>
      <c r="I65" s="239">
        <v>2</v>
      </c>
      <c r="J65" s="187">
        <v>1</v>
      </c>
      <c r="K65" s="187">
        <v>2</v>
      </c>
      <c r="L65" s="139" t="s">
        <v>88</v>
      </c>
      <c r="M65" s="139">
        <v>1</v>
      </c>
      <c r="N65" s="139">
        <v>1</v>
      </c>
      <c r="O65" s="139">
        <v>1</v>
      </c>
      <c r="P65" s="139">
        <v>1</v>
      </c>
      <c r="Q65" s="187" t="s">
        <v>88</v>
      </c>
      <c r="R65" s="240">
        <v>1</v>
      </c>
      <c r="S65" s="187">
        <v>2</v>
      </c>
      <c r="T65" s="187">
        <v>2</v>
      </c>
      <c r="U65" s="204">
        <v>135</v>
      </c>
      <c r="V65" s="204" t="s">
        <v>88</v>
      </c>
      <c r="W65" s="239">
        <v>3</v>
      </c>
      <c r="X65" s="204">
        <v>1</v>
      </c>
      <c r="Y65" s="204">
        <v>3</v>
      </c>
      <c r="Z65" s="204"/>
      <c r="AA65" s="241">
        <v>7955</v>
      </c>
      <c r="AB65" s="187">
        <v>2</v>
      </c>
      <c r="AC65" s="187">
        <v>2</v>
      </c>
      <c r="AD65" s="240">
        <f>IF(AND(BE65&gt;=2.71, BE65&lt;=2.86, AA65&gt;23700), 1, IF(AND(BE65&gt;=2.71, BE65&lt;=2.86, AA65&gt;=6000, AA65&lt;=23700), 1, IF(AND(BE65&gt;=2.71, BE65&lt;=2.86, AA65&lt;6000), 1, IF(AND(BE65&gt;=2.57, BE65&lt;=2.71, AA65&gt;23700), 2, IF(AND(BE65&gt;=2.57, BE65&lt;=2.71, AA65&gt;=6000, AA65&lt;=23700), 2, IF(AND(BE65&gt;=2.57, BE65&lt;=2.71, AA65&lt;6000), 1, IF(AND(BE65&gt;=1, BE65&lt;=2.57, AA65&gt;23700), 3, IF(AND(BE65&gt;=1, BE65&lt;=2.71, AA65&gt;=6000, AA65&lt;=23700), 3, IF(AND(BE65&gt;=1, BE65&lt;=2.71, AA65&lt;6000), 2, 0 ) ) ) ) ) ) ) ) )</f>
        <v>3</v>
      </c>
      <c r="AE65" s="187">
        <f t="shared" si="6"/>
        <v>0.95424250943932487</v>
      </c>
      <c r="AF65" s="209">
        <v>1</v>
      </c>
      <c r="AG65" s="209">
        <v>1</v>
      </c>
      <c r="AH65" s="211">
        <v>0</v>
      </c>
      <c r="AI65" s="146">
        <v>6</v>
      </c>
      <c r="AJ65" s="146">
        <v>1</v>
      </c>
      <c r="AK65" s="146">
        <v>1</v>
      </c>
      <c r="AL65" s="146">
        <v>0</v>
      </c>
      <c r="AM65" s="92">
        <v>1</v>
      </c>
      <c r="AN65" s="226">
        <v>1</v>
      </c>
      <c r="AO65" s="226">
        <f t="shared" si="9"/>
        <v>0</v>
      </c>
      <c r="AP65" s="229">
        <v>1</v>
      </c>
      <c r="AQ65" s="187">
        <v>1</v>
      </c>
      <c r="AR65" s="187">
        <f t="shared" si="1"/>
        <v>0</v>
      </c>
      <c r="AS65" s="205">
        <v>1.167</v>
      </c>
      <c r="AT65" s="54">
        <f>IF(AS65&lt;2.5,1,IF(AS65&gt;3.5,3,2))</f>
        <v>1</v>
      </c>
      <c r="AU65" s="187">
        <v>1</v>
      </c>
      <c r="AV65" s="187">
        <f t="shared" si="2"/>
        <v>0</v>
      </c>
      <c r="AW65" s="92" t="s">
        <v>91</v>
      </c>
      <c r="AX65" s="66">
        <v>2</v>
      </c>
      <c r="AY65" s="85">
        <v>3</v>
      </c>
      <c r="AZ65" s="246">
        <v>2</v>
      </c>
      <c r="BA65" s="206">
        <f t="shared" si="8"/>
        <v>0.95424250943932487</v>
      </c>
      <c r="BB65" s="206">
        <v>1</v>
      </c>
      <c r="BC65" s="206">
        <v>1</v>
      </c>
      <c r="BD65" s="206">
        <v>0</v>
      </c>
      <c r="BE65" s="224">
        <v>2</v>
      </c>
      <c r="BF65" s="187">
        <v>0.17349863807987725</v>
      </c>
      <c r="BG65" s="187">
        <v>1.4910720795373231</v>
      </c>
      <c r="BH65" s="187">
        <v>1.1140699202927575</v>
      </c>
    </row>
    <row r="66" spans="1:60" ht="16">
      <c r="A66" s="146">
        <v>64</v>
      </c>
      <c r="B66" s="99" t="s">
        <v>428</v>
      </c>
      <c r="C66" s="99" t="s">
        <v>152</v>
      </c>
      <c r="D66" t="s">
        <v>431</v>
      </c>
      <c r="E66" s="239">
        <v>3</v>
      </c>
      <c r="F66" s="187">
        <v>2</v>
      </c>
      <c r="G66" s="187">
        <v>6</v>
      </c>
      <c r="H66" s="139" t="s">
        <v>161</v>
      </c>
      <c r="I66" s="239">
        <v>2</v>
      </c>
      <c r="J66" s="187">
        <v>1</v>
      </c>
      <c r="K66" s="187">
        <v>2</v>
      </c>
      <c r="L66" s="139" t="s">
        <v>88</v>
      </c>
      <c r="M66" s="139">
        <v>2</v>
      </c>
      <c r="N66" s="139">
        <v>1</v>
      </c>
      <c r="O66" s="139">
        <v>2</v>
      </c>
      <c r="P66" s="139">
        <v>1</v>
      </c>
      <c r="Q66" s="187" t="s">
        <v>146</v>
      </c>
      <c r="R66" s="240">
        <v>3</v>
      </c>
      <c r="S66" s="187">
        <v>2</v>
      </c>
      <c r="T66" s="187">
        <v>6</v>
      </c>
      <c r="U66" s="252" t="s">
        <v>347</v>
      </c>
      <c r="V66" s="204" t="s">
        <v>88</v>
      </c>
      <c r="W66" s="239">
        <v>2</v>
      </c>
      <c r="X66" s="204">
        <v>1</v>
      </c>
      <c r="Y66" s="204">
        <v>2</v>
      </c>
      <c r="Z66" s="204"/>
      <c r="AA66" s="241">
        <v>7677</v>
      </c>
      <c r="AB66" s="187">
        <v>2</v>
      </c>
      <c r="AC66" s="187">
        <v>2</v>
      </c>
      <c r="AD66" s="240">
        <f>IF(AND(BE66&gt;=2.71, BE66&lt;=2.86, AA66&gt;23700), 1, IF(AND(BE66&gt;=2.71, BE66&lt;=2.86, AA66&gt;=6000, AA66&lt;=23700), 1, IF(AND(BE66&gt;=2.71, BE66&lt;=2.86, AA66&lt;6000), 1, IF(AND(BE66&gt;=2.57, BE66&lt;=2.71, AA66&gt;23700), 2, IF(AND(BE66&gt;=2.57, BE66&lt;=2.71, AA66&gt;=6000, AA66&lt;=23700), 2, IF(AND(BE66&gt;=2.57, BE66&lt;=2.71, AA66&lt;6000), 1, IF(AND(BE66&gt;=1, BE66&lt;=2.57, AA66&gt;23700), 3, IF(AND(BE66&gt;=1, BE66&lt;=2.71, AA66&gt;=6000, AA66&lt;=23700), 3, IF(AND(BE66&gt;=1, BE66&lt;=2.71, AA66&lt;6000), 2, 0 ) ) ) ) ) ) ) ) )</f>
        <v>2</v>
      </c>
      <c r="AE66" s="187">
        <f t="shared" ref="AE66:AE97" si="10">AC66*LOG(AD66)</f>
        <v>0.6020599913279624</v>
      </c>
      <c r="AF66" s="209">
        <v>1</v>
      </c>
      <c r="AG66" s="209">
        <v>1</v>
      </c>
      <c r="AH66" s="211">
        <v>0</v>
      </c>
      <c r="AI66" s="146">
        <v>6</v>
      </c>
      <c r="AJ66" s="146">
        <v>1</v>
      </c>
      <c r="AK66" s="146">
        <v>1</v>
      </c>
      <c r="AL66" s="146">
        <v>0</v>
      </c>
      <c r="AM66" s="92">
        <v>1</v>
      </c>
      <c r="AN66" s="226">
        <v>1</v>
      </c>
      <c r="AO66" s="226">
        <f t="shared" ref="AO66:AO97" si="11">AN66*LOG(AM66)</f>
        <v>0</v>
      </c>
      <c r="AP66" s="229">
        <v>1</v>
      </c>
      <c r="AQ66" s="187">
        <v>1</v>
      </c>
      <c r="AR66" s="187">
        <f t="shared" ref="AR66:AR78" si="12">AQ66*LOG(AP66)</f>
        <v>0</v>
      </c>
      <c r="AS66" s="205">
        <v>1.625</v>
      </c>
      <c r="AT66" s="54">
        <f>IF(AS66&lt;2.5,1,IF(AS66&gt;3.5,3,2))</f>
        <v>1</v>
      </c>
      <c r="AU66" s="187">
        <v>1</v>
      </c>
      <c r="AV66" s="187">
        <f t="shared" si="2"/>
        <v>0</v>
      </c>
      <c r="AW66" s="92" t="s">
        <v>99</v>
      </c>
      <c r="AX66" s="66" t="s">
        <v>137</v>
      </c>
      <c r="AY66" s="85">
        <v>2</v>
      </c>
      <c r="AZ66" s="246">
        <v>2</v>
      </c>
      <c r="BA66" s="206">
        <f t="shared" ref="BA66:BA97" si="13">AZ66*LOG(AY66)</f>
        <v>0.6020599913279624</v>
      </c>
      <c r="BB66" s="206">
        <v>1</v>
      </c>
      <c r="BC66" s="206">
        <v>1</v>
      </c>
      <c r="BD66" s="206">
        <v>0</v>
      </c>
      <c r="BE66" s="224">
        <v>2.5714285714285716</v>
      </c>
      <c r="BF66" s="187">
        <v>0.12041199826559248</v>
      </c>
      <c r="BG66" s="187">
        <v>1.3195079107728942</v>
      </c>
      <c r="BH66" s="187">
        <v>0.53456409759187407</v>
      </c>
    </row>
    <row r="67" spans="1:60" ht="16">
      <c r="A67" s="146">
        <v>65</v>
      </c>
      <c r="B67" s="99" t="s">
        <v>432</v>
      </c>
      <c r="C67" s="99" t="s">
        <v>177</v>
      </c>
      <c r="D67" t="s">
        <v>84</v>
      </c>
      <c r="E67" s="239">
        <v>3</v>
      </c>
      <c r="F67" s="187">
        <v>2</v>
      </c>
      <c r="G67" s="187">
        <v>6</v>
      </c>
      <c r="H67" s="139" t="s">
        <v>111</v>
      </c>
      <c r="I67" s="239">
        <v>3</v>
      </c>
      <c r="J67" s="187">
        <v>1</v>
      </c>
      <c r="K67" s="187">
        <v>3</v>
      </c>
      <c r="L67" s="139" t="s">
        <v>146</v>
      </c>
      <c r="M67" s="139">
        <v>3</v>
      </c>
      <c r="N67" s="139">
        <v>1</v>
      </c>
      <c r="O67" s="139">
        <v>3</v>
      </c>
      <c r="P67" s="139">
        <v>86</v>
      </c>
      <c r="Q67" s="187" t="s">
        <v>115</v>
      </c>
      <c r="R67" s="240">
        <v>3</v>
      </c>
      <c r="S67" s="187">
        <v>2</v>
      </c>
      <c r="T67" s="187">
        <v>6</v>
      </c>
      <c r="U67" s="252" t="s">
        <v>241</v>
      </c>
      <c r="V67" s="204" t="s">
        <v>115</v>
      </c>
      <c r="W67" s="239">
        <v>1</v>
      </c>
      <c r="X67" s="204">
        <v>1</v>
      </c>
      <c r="Y67" s="204">
        <v>1</v>
      </c>
      <c r="Z67" s="204">
        <v>48</v>
      </c>
      <c r="AA67" s="241">
        <v>7656</v>
      </c>
      <c r="AB67" s="187">
        <v>2</v>
      </c>
      <c r="AC67" s="187">
        <v>2</v>
      </c>
      <c r="AD67" s="240">
        <f>IF(AND(BE67&gt;=2.71, BE67&lt;=2.86, AA67&gt;23700), 1, IF(AND(BE67&gt;=2.71, BE67&lt;=2.86, AA67&gt;=6000, AA67&lt;=23700), 1, IF(AND(BE67&gt;=2.71, BE67&lt;=2.86, AA67&lt;6000), 1, IF(AND(BE67&gt;=2.57, BE67&lt;=2.71, AA67&gt;23700), 2, IF(AND(BE67&gt;=2.57, BE67&lt;=2.71, AA67&gt;=6000, AA67&lt;=23700), 2, IF(AND(BE67&gt;=2.57, BE67&lt;=2.71, AA67&lt;6000), 1, IF(AND(BE67&gt;=1, BE67&lt;=2.57, AA67&gt;23700), 3, IF(AND(BE67&gt;=1, BE67&lt;=2.71, AA67&gt;=6000, AA67&lt;=23700), 3, IF(AND(BE67&gt;=1, BE67&lt;=2.71, AA67&lt;6000), 2, 0 ) ) ) ) ) ) ) ) )</f>
        <v>1</v>
      </c>
      <c r="AE67" s="187">
        <f t="shared" si="10"/>
        <v>0</v>
      </c>
      <c r="AF67" s="209">
        <v>1</v>
      </c>
      <c r="AG67" s="209">
        <v>1</v>
      </c>
      <c r="AH67" s="211">
        <v>0</v>
      </c>
      <c r="AI67" s="146">
        <v>6</v>
      </c>
      <c r="AJ67" s="146">
        <v>1</v>
      </c>
      <c r="AK67" s="146">
        <v>1</v>
      </c>
      <c r="AL67" s="146">
        <v>0</v>
      </c>
      <c r="AM67" s="92">
        <v>3</v>
      </c>
      <c r="AN67" s="226">
        <v>1</v>
      </c>
      <c r="AO67" s="226">
        <f t="shared" si="11"/>
        <v>0.47712125471966244</v>
      </c>
      <c r="AP67" s="229">
        <v>1</v>
      </c>
      <c r="AQ67" s="187">
        <v>1</v>
      </c>
      <c r="AR67" s="187">
        <f t="shared" si="12"/>
        <v>0</v>
      </c>
      <c r="AS67" s="205">
        <v>1.875</v>
      </c>
      <c r="AT67" s="54">
        <f>IF(AS67&lt;2.5,1,IF(AS67&gt;3.5,3,2))</f>
        <v>1</v>
      </c>
      <c r="AU67" s="187">
        <v>1</v>
      </c>
      <c r="AV67" s="187">
        <f t="shared" si="2"/>
        <v>0</v>
      </c>
      <c r="AW67" s="92" t="s">
        <v>99</v>
      </c>
      <c r="AX67" s="66" t="s">
        <v>106</v>
      </c>
      <c r="AY67" s="85">
        <v>3</v>
      </c>
      <c r="AZ67" s="246">
        <v>2</v>
      </c>
      <c r="BA67" s="206">
        <f t="shared" si="13"/>
        <v>0.95424250943932487</v>
      </c>
      <c r="BB67" s="206">
        <v>2</v>
      </c>
      <c r="BC67" s="206">
        <v>1</v>
      </c>
      <c r="BD67" s="206">
        <v>0.3010299956639812</v>
      </c>
      <c r="BE67" s="224">
        <v>2.7142857142857144</v>
      </c>
      <c r="BF67" s="187">
        <v>0.19248819553588539</v>
      </c>
      <c r="BG67" s="187">
        <v>1.5577156943237602</v>
      </c>
      <c r="BH67" s="187">
        <v>0.62664140364027843</v>
      </c>
    </row>
    <row r="68" spans="1:60" ht="16">
      <c r="A68" s="146">
        <v>66</v>
      </c>
      <c r="B68" s="99" t="s">
        <v>435</v>
      </c>
      <c r="C68" s="99" t="s">
        <v>177</v>
      </c>
      <c r="D68" t="s">
        <v>84</v>
      </c>
      <c r="E68" s="239">
        <v>3</v>
      </c>
      <c r="F68" s="187">
        <v>2</v>
      </c>
      <c r="G68" s="187">
        <v>6</v>
      </c>
      <c r="H68" s="139">
        <v>1</v>
      </c>
      <c r="I68" s="239">
        <v>3</v>
      </c>
      <c r="J68" s="187">
        <v>1</v>
      </c>
      <c r="K68" s="187">
        <v>3</v>
      </c>
      <c r="L68" s="139" t="s">
        <v>146</v>
      </c>
      <c r="M68" s="139">
        <v>3</v>
      </c>
      <c r="N68" s="139">
        <v>1</v>
      </c>
      <c r="O68" s="139">
        <v>3</v>
      </c>
      <c r="P68" s="139">
        <v>86</v>
      </c>
      <c r="Q68" s="187" t="s">
        <v>146</v>
      </c>
      <c r="R68" s="240">
        <v>3</v>
      </c>
      <c r="S68" s="187">
        <v>2</v>
      </c>
      <c r="T68" s="187">
        <v>6</v>
      </c>
      <c r="U68" s="252" t="s">
        <v>215</v>
      </c>
      <c r="V68" s="204" t="s">
        <v>115</v>
      </c>
      <c r="W68" s="239">
        <v>1</v>
      </c>
      <c r="X68" s="204">
        <v>1</v>
      </c>
      <c r="Y68" s="204">
        <v>1</v>
      </c>
      <c r="Z68" s="244" t="s">
        <v>1630</v>
      </c>
      <c r="AA68" s="241">
        <v>7577</v>
      </c>
      <c r="AB68" s="187">
        <v>2</v>
      </c>
      <c r="AC68" s="187">
        <v>2</v>
      </c>
      <c r="AD68" s="240">
        <f>IF(AND(BE68&gt;=2.71, BE68&lt;=2.86, AA68&gt;23700), 1, IF(AND(BE68&gt;=2.71, BE68&lt;=2.86, AA68&gt;=6000, AA68&lt;=23700), 1, IF(AND(BE68&gt;=2.71, BE68&lt;=2.86, AA68&lt;6000), 1, IF(AND(BE68&gt;=2.57, BE68&lt;=2.71, AA68&gt;23700), 2, IF(AND(BE68&gt;=2.57, BE68&lt;=2.71, AA68&gt;=6000, AA68&lt;=23700), 2, IF(AND(BE68&gt;=2.57, BE68&lt;=2.71, AA68&lt;6000), 1, IF(AND(BE68&gt;=1, BE68&lt;=2.57, AA68&gt;23700), 3, IF(AND(BE68&gt;=1, BE68&lt;=2.71, AA68&gt;=6000, AA68&lt;=23700), 3, IF(AND(BE68&gt;=1, BE68&lt;=2.71, AA68&lt;6000), 2, 0 ) ) ) ) ) ) ) ) )</f>
        <v>1</v>
      </c>
      <c r="AE68" s="187">
        <f t="shared" si="10"/>
        <v>0</v>
      </c>
      <c r="AF68" s="209">
        <v>2</v>
      </c>
      <c r="AG68" s="209">
        <v>1</v>
      </c>
      <c r="AH68" s="211">
        <v>0.3010299956639812</v>
      </c>
      <c r="AI68" s="146">
        <v>6</v>
      </c>
      <c r="AJ68" s="146">
        <v>1</v>
      </c>
      <c r="AK68" s="146">
        <v>1</v>
      </c>
      <c r="AL68" s="146">
        <v>0</v>
      </c>
      <c r="AM68" s="92">
        <v>3</v>
      </c>
      <c r="AN68" s="226">
        <v>1</v>
      </c>
      <c r="AO68" s="226">
        <f t="shared" si="11"/>
        <v>0.47712125471966244</v>
      </c>
      <c r="AP68" s="229">
        <v>1</v>
      </c>
      <c r="AQ68" s="187">
        <v>1</v>
      </c>
      <c r="AR68" s="187">
        <f t="shared" si="12"/>
        <v>0</v>
      </c>
      <c r="AS68" s="205">
        <v>2.3330000000000002</v>
      </c>
      <c r="AT68" s="54">
        <f>IF(AS68&lt;2.5,1,IF(AS68&gt;3.5,3,2))</f>
        <v>1</v>
      </c>
      <c r="AU68" s="187">
        <v>1</v>
      </c>
      <c r="AV68" s="187">
        <f t="shared" ref="AV68:AV93" si="14">AU68*LOG(AT68)</f>
        <v>0</v>
      </c>
      <c r="AW68" s="92" t="s">
        <v>91</v>
      </c>
      <c r="AX68" s="66" t="s">
        <v>250</v>
      </c>
      <c r="AY68" s="85">
        <v>3</v>
      </c>
      <c r="AZ68" s="246">
        <v>2</v>
      </c>
      <c r="BA68" s="206">
        <f t="shared" si="13"/>
        <v>0.95424250943932487</v>
      </c>
      <c r="BB68" s="206">
        <v>2</v>
      </c>
      <c r="BC68" s="206">
        <v>1</v>
      </c>
      <c r="BD68" s="206">
        <v>0.3010299956639812</v>
      </c>
      <c r="BE68" s="224">
        <v>2.7142857142857144</v>
      </c>
      <c r="BF68" s="187">
        <v>0.22593597283188332</v>
      </c>
      <c r="BG68" s="187">
        <v>1.682426006079768</v>
      </c>
      <c r="BH68" s="187">
        <v>0.73982288882894665</v>
      </c>
    </row>
    <row r="69" spans="1:60" ht="16">
      <c r="A69" s="146">
        <v>67</v>
      </c>
      <c r="B69" s="99" t="s">
        <v>439</v>
      </c>
      <c r="C69" s="99" t="s">
        <v>83</v>
      </c>
      <c r="D69" t="s">
        <v>84</v>
      </c>
      <c r="E69" s="239">
        <v>3</v>
      </c>
      <c r="F69" s="187">
        <v>2</v>
      </c>
      <c r="G69" s="187">
        <v>6</v>
      </c>
      <c r="H69" s="139" t="s">
        <v>153</v>
      </c>
      <c r="I69" s="239">
        <v>2</v>
      </c>
      <c r="J69" s="187">
        <v>1</v>
      </c>
      <c r="K69" s="187">
        <v>2</v>
      </c>
      <c r="L69" s="139" t="s">
        <v>88</v>
      </c>
      <c r="M69" s="139">
        <v>3</v>
      </c>
      <c r="N69" s="139">
        <v>1</v>
      </c>
      <c r="O69" s="139">
        <v>3</v>
      </c>
      <c r="P69" s="139">
        <v>1</v>
      </c>
      <c r="Q69" s="187" t="s">
        <v>115</v>
      </c>
      <c r="R69" s="240">
        <v>3</v>
      </c>
      <c r="S69" s="187">
        <v>2</v>
      </c>
      <c r="T69" s="187">
        <v>6</v>
      </c>
      <c r="U69" s="204" t="s">
        <v>442</v>
      </c>
      <c r="V69" s="204" t="s">
        <v>88</v>
      </c>
      <c r="W69" s="239">
        <v>3</v>
      </c>
      <c r="X69" s="204">
        <v>1</v>
      </c>
      <c r="Y69" s="204">
        <v>3</v>
      </c>
      <c r="Z69" s="204"/>
      <c r="AA69" s="241">
        <v>7475</v>
      </c>
      <c r="AB69" s="187">
        <v>2</v>
      </c>
      <c r="AC69" s="187">
        <v>2</v>
      </c>
      <c r="AD69" s="240">
        <f>IF(AND(BE69&gt;=2.71, BE69&lt;=2.86, AA69&gt;23700), 1, IF(AND(BE69&gt;=2.71, BE69&lt;=2.86, AA69&gt;=6000, AA69&lt;=23700), 1, IF(AND(BE69&gt;=2.71, BE69&lt;=2.86, AA69&lt;6000), 1, IF(AND(BE69&gt;=2.57, BE69&lt;=2.71, AA69&gt;23700), 2, IF(AND(BE69&gt;=2.57, BE69&lt;=2.71, AA69&gt;=6000, AA69&lt;=23700), 2, IF(AND(BE69&gt;=2.57, BE69&lt;=2.71, AA69&lt;6000), 1, IF(AND(BE69&gt;=1, BE69&lt;=2.57, AA69&gt;23700), 3, IF(AND(BE69&gt;=1, BE69&lt;=2.71, AA69&gt;=6000, AA69&lt;=23700), 3, IF(AND(BE69&gt;=1, BE69&lt;=2.71, AA69&lt;6000), 2, 0 ) ) ) ) ) ) ) ) )</f>
        <v>1</v>
      </c>
      <c r="AE69" s="187">
        <f t="shared" si="10"/>
        <v>0</v>
      </c>
      <c r="AF69" s="209">
        <v>3</v>
      </c>
      <c r="AG69" s="209">
        <v>1</v>
      </c>
      <c r="AH69" s="211">
        <v>0.47712125471966244</v>
      </c>
      <c r="AI69" s="146">
        <v>3</v>
      </c>
      <c r="AJ69" s="146">
        <v>2</v>
      </c>
      <c r="AK69" s="146">
        <v>1</v>
      </c>
      <c r="AL69" s="146">
        <v>0.3010299956639812</v>
      </c>
      <c r="AM69" s="92">
        <v>1</v>
      </c>
      <c r="AN69" s="226">
        <v>1</v>
      </c>
      <c r="AO69" s="226">
        <f t="shared" si="11"/>
        <v>0</v>
      </c>
      <c r="AP69" s="229">
        <v>1</v>
      </c>
      <c r="AQ69" s="187">
        <v>1</v>
      </c>
      <c r="AR69" s="187">
        <f t="shared" si="12"/>
        <v>0</v>
      </c>
      <c r="AS69" s="205">
        <v>2</v>
      </c>
      <c r="AT69" s="54">
        <f>IF(AS69&lt;2.5,1,IF(AS69&gt;3.5,3,2))</f>
        <v>1</v>
      </c>
      <c r="AU69" s="187">
        <v>1</v>
      </c>
      <c r="AV69" s="187">
        <f t="shared" si="14"/>
        <v>0</v>
      </c>
      <c r="AW69" s="92" t="s">
        <v>99</v>
      </c>
      <c r="AX69" s="66" t="s">
        <v>106</v>
      </c>
      <c r="AY69" s="85">
        <v>3</v>
      </c>
      <c r="AZ69" s="246">
        <v>2</v>
      </c>
      <c r="BA69" s="206">
        <f t="shared" si="13"/>
        <v>0.95424250943932487</v>
      </c>
      <c r="BB69" s="206">
        <v>3</v>
      </c>
      <c r="BC69" s="206">
        <v>1</v>
      </c>
      <c r="BD69" s="206">
        <v>0.47712125471966244</v>
      </c>
      <c r="BE69" s="224">
        <v>2.8571428571428572</v>
      </c>
      <c r="BF69" s="187">
        <v>0.24550166828251457</v>
      </c>
      <c r="BG69" s="187">
        <v>1.7599554244151645</v>
      </c>
      <c r="BH69" s="187">
        <v>0.77326606699333378</v>
      </c>
    </row>
    <row r="70" spans="1:60" ht="16">
      <c r="A70" s="146">
        <v>68</v>
      </c>
      <c r="B70" s="99" t="s">
        <v>443</v>
      </c>
      <c r="C70" s="99" t="s">
        <v>152</v>
      </c>
      <c r="D70" t="s">
        <v>84</v>
      </c>
      <c r="E70" s="239">
        <v>3</v>
      </c>
      <c r="F70" s="187">
        <v>2</v>
      </c>
      <c r="G70" s="187">
        <v>6</v>
      </c>
      <c r="H70" s="139" t="s">
        <v>153</v>
      </c>
      <c r="I70" s="239">
        <v>2</v>
      </c>
      <c r="J70" s="187">
        <v>1</v>
      </c>
      <c r="K70" s="187">
        <v>2</v>
      </c>
      <c r="L70" s="139" t="s">
        <v>88</v>
      </c>
      <c r="M70" s="139">
        <v>2</v>
      </c>
      <c r="N70" s="139">
        <v>1</v>
      </c>
      <c r="O70" s="139">
        <v>2</v>
      </c>
      <c r="P70" s="139">
        <v>1</v>
      </c>
      <c r="Q70" s="187" t="s">
        <v>146</v>
      </c>
      <c r="R70" s="240">
        <v>3</v>
      </c>
      <c r="S70" s="187">
        <v>2</v>
      </c>
      <c r="T70" s="187">
        <v>6</v>
      </c>
      <c r="U70" s="252" t="s">
        <v>347</v>
      </c>
      <c r="V70" s="204" t="s">
        <v>88</v>
      </c>
      <c r="W70" s="239">
        <v>2</v>
      </c>
      <c r="X70" s="204">
        <v>1</v>
      </c>
      <c r="Y70" s="204">
        <v>2</v>
      </c>
      <c r="Z70" s="204"/>
      <c r="AA70" s="241">
        <v>7057</v>
      </c>
      <c r="AB70" s="187">
        <v>2</v>
      </c>
      <c r="AC70" s="187">
        <v>2</v>
      </c>
      <c r="AD70" s="240">
        <f>IF(AND(BE70&gt;=2.71, BE70&lt;=2.86, AA70&gt;23700), 1, IF(AND(BE70&gt;=2.71, BE70&lt;=2.86, AA70&gt;=6000, AA70&lt;=23700), 1, IF(AND(BE70&gt;=2.71, BE70&lt;=2.86, AA70&lt;6000), 1, IF(AND(BE70&gt;=2.57, BE70&lt;=2.71, AA70&gt;23700), 2, IF(AND(BE70&gt;=2.57, BE70&lt;=2.71, AA70&gt;=6000, AA70&lt;=23700), 2, IF(AND(BE70&gt;=2.57, BE70&lt;=2.71, AA70&lt;6000), 1, IF(AND(BE70&gt;=1, BE70&lt;=2.57, AA70&gt;23700), 3, IF(AND(BE70&gt;=1, BE70&lt;=2.71, AA70&gt;=6000, AA70&lt;=23700), 3, IF(AND(BE70&gt;=1, BE70&lt;=2.71, AA70&lt;6000), 2, 0 ) ) ) ) ) ) ) ) )</f>
        <v>2</v>
      </c>
      <c r="AE70" s="187">
        <f t="shared" si="10"/>
        <v>0.6020599913279624</v>
      </c>
      <c r="AF70" s="209">
        <v>1</v>
      </c>
      <c r="AG70" s="209">
        <v>1</v>
      </c>
      <c r="AH70" s="211">
        <v>0</v>
      </c>
      <c r="AI70" s="146">
        <v>6</v>
      </c>
      <c r="AJ70" s="146">
        <v>1</v>
      </c>
      <c r="AK70" s="146">
        <v>1</v>
      </c>
      <c r="AL70" s="146">
        <v>0</v>
      </c>
      <c r="AM70" s="92">
        <v>1</v>
      </c>
      <c r="AN70" s="226">
        <v>1</v>
      </c>
      <c r="AO70" s="226">
        <f t="shared" si="11"/>
        <v>0</v>
      </c>
      <c r="AP70" s="229">
        <v>1</v>
      </c>
      <c r="AQ70" s="187">
        <v>1</v>
      </c>
      <c r="AR70" s="187">
        <f t="shared" si="12"/>
        <v>0</v>
      </c>
      <c r="AS70" s="205">
        <v>2.75</v>
      </c>
      <c r="AT70" s="54">
        <f>IF(AS70&lt;2.5,1,IF(AS70&gt;3.5,3,2))</f>
        <v>2</v>
      </c>
      <c r="AU70" s="187">
        <v>1</v>
      </c>
      <c r="AV70" s="187">
        <f t="shared" si="14"/>
        <v>0.3010299956639812</v>
      </c>
      <c r="AW70" s="92" t="s">
        <v>99</v>
      </c>
      <c r="AX70" s="96" t="s">
        <v>92</v>
      </c>
      <c r="AY70" s="204">
        <v>3</v>
      </c>
      <c r="AZ70" s="246">
        <v>2</v>
      </c>
      <c r="BA70" s="206">
        <f t="shared" si="13"/>
        <v>0.95424250943932487</v>
      </c>
      <c r="BB70" s="206">
        <v>2</v>
      </c>
      <c r="BC70" s="206">
        <v>1</v>
      </c>
      <c r="BD70" s="206">
        <v>0.3010299956639812</v>
      </c>
      <c r="BE70" s="224">
        <v>2.5714285714285716</v>
      </c>
      <c r="BF70" s="187">
        <v>0.21583624920952499</v>
      </c>
      <c r="BG70" s="187">
        <v>1.643751829517226</v>
      </c>
      <c r="BH70" s="187">
        <v>0.77336271399294299</v>
      </c>
    </row>
    <row r="71" spans="1:60" ht="16">
      <c r="A71" s="146">
        <v>69</v>
      </c>
      <c r="B71" s="99" t="s">
        <v>447</v>
      </c>
      <c r="C71" s="99" t="s">
        <v>160</v>
      </c>
      <c r="D71" t="s">
        <v>84</v>
      </c>
      <c r="E71" s="239">
        <v>2</v>
      </c>
      <c r="F71" s="187">
        <v>2</v>
      </c>
      <c r="G71" s="187">
        <v>4</v>
      </c>
      <c r="H71" s="139" t="s">
        <v>103</v>
      </c>
      <c r="I71" s="239">
        <v>2</v>
      </c>
      <c r="J71" s="187">
        <v>1</v>
      </c>
      <c r="K71" s="187">
        <v>2</v>
      </c>
      <c r="L71" s="139" t="s">
        <v>146</v>
      </c>
      <c r="M71" s="139">
        <v>3</v>
      </c>
      <c r="N71" s="139">
        <v>1</v>
      </c>
      <c r="O71" s="139">
        <v>3</v>
      </c>
      <c r="P71" s="139">
        <v>1</v>
      </c>
      <c r="Q71" s="187" t="s">
        <v>88</v>
      </c>
      <c r="R71" s="240">
        <v>3</v>
      </c>
      <c r="S71" s="187">
        <v>2</v>
      </c>
      <c r="T71" s="187">
        <v>6</v>
      </c>
      <c r="U71" s="204">
        <v>111</v>
      </c>
      <c r="V71" s="204" t="s">
        <v>88</v>
      </c>
      <c r="W71" s="239">
        <v>2</v>
      </c>
      <c r="X71" s="204">
        <v>1</v>
      </c>
      <c r="Y71" s="204">
        <v>2</v>
      </c>
      <c r="Z71" s="204"/>
      <c r="AA71" s="241">
        <v>6725</v>
      </c>
      <c r="AB71" s="187">
        <v>2</v>
      </c>
      <c r="AC71" s="187">
        <v>2</v>
      </c>
      <c r="AD71" s="240">
        <f>IF(AND(BE71&gt;=2.71, BE71&lt;=2.86, AA71&gt;23700), 1, IF(AND(BE71&gt;=2.71, BE71&lt;=2.86, AA71&gt;=6000, AA71&lt;=23700), 1, IF(AND(BE71&gt;=2.71, BE71&lt;=2.86, AA71&lt;6000), 1, IF(AND(BE71&gt;=2.57, BE71&lt;=2.71, AA71&gt;23700), 2, IF(AND(BE71&gt;=2.57, BE71&lt;=2.71, AA71&gt;=6000, AA71&lt;=23700), 2, IF(AND(BE71&gt;=2.57, BE71&lt;=2.71, AA71&lt;6000), 1, IF(AND(BE71&gt;=1, BE71&lt;=2.57, AA71&gt;23700), 3, IF(AND(BE71&gt;=1, BE71&lt;=2.71, AA71&gt;=6000, AA71&lt;=23700), 3, IF(AND(BE71&gt;=1, BE71&lt;=2.71, AA71&lt;6000), 2, 0 ) ) ) ) ) ) ) ) )</f>
        <v>3</v>
      </c>
      <c r="AE71" s="187">
        <f t="shared" si="10"/>
        <v>0.95424250943932487</v>
      </c>
      <c r="AF71" s="209">
        <v>1</v>
      </c>
      <c r="AG71" s="209">
        <v>1</v>
      </c>
      <c r="AH71" s="211">
        <v>0</v>
      </c>
      <c r="AI71" s="146">
        <v>5</v>
      </c>
      <c r="AJ71" s="146">
        <v>1</v>
      </c>
      <c r="AK71" s="146">
        <v>1</v>
      </c>
      <c r="AL71" s="146">
        <v>0</v>
      </c>
      <c r="AM71" s="92">
        <v>3</v>
      </c>
      <c r="AN71" s="226">
        <v>1</v>
      </c>
      <c r="AO71" s="226">
        <f t="shared" si="11"/>
        <v>0.47712125471966244</v>
      </c>
      <c r="AP71" s="229">
        <v>1</v>
      </c>
      <c r="AQ71" s="187">
        <v>1</v>
      </c>
      <c r="AR71" s="187">
        <f t="shared" si="12"/>
        <v>0</v>
      </c>
      <c r="AS71" s="205">
        <v>2.25</v>
      </c>
      <c r="AT71" s="54">
        <f>IF(AS71&lt;2.5,1,IF(AS71&gt;3.5,3,2))</f>
        <v>1</v>
      </c>
      <c r="AU71" s="187">
        <v>1</v>
      </c>
      <c r="AV71" s="187">
        <f t="shared" si="14"/>
        <v>0</v>
      </c>
      <c r="AW71" s="92" t="s">
        <v>99</v>
      </c>
      <c r="AX71" s="66" t="s">
        <v>180</v>
      </c>
      <c r="AY71" s="85">
        <v>3</v>
      </c>
      <c r="AZ71" s="246">
        <v>2</v>
      </c>
      <c r="BA71" s="206">
        <f t="shared" si="13"/>
        <v>0.95424250943932487</v>
      </c>
      <c r="BB71" s="206">
        <v>3</v>
      </c>
      <c r="BC71" s="206">
        <v>1</v>
      </c>
      <c r="BD71" s="206">
        <v>0.47712125471966244</v>
      </c>
      <c r="BE71" s="224">
        <v>2.4285714285714284</v>
      </c>
      <c r="BF71" s="187">
        <v>0.26024795711981591</v>
      </c>
      <c r="BG71" s="187">
        <v>1.8207400995719849</v>
      </c>
      <c r="BH71" s="187">
        <v>1.0000724590200101</v>
      </c>
    </row>
    <row r="72" spans="1:60" ht="16">
      <c r="A72" s="146">
        <v>70</v>
      </c>
      <c r="B72" s="99" t="s">
        <v>451</v>
      </c>
      <c r="C72" s="99" t="s">
        <v>277</v>
      </c>
      <c r="D72" t="s">
        <v>84</v>
      </c>
      <c r="E72" s="239">
        <v>3</v>
      </c>
      <c r="F72" s="187">
        <v>2</v>
      </c>
      <c r="G72" s="187">
        <v>6</v>
      </c>
      <c r="H72" s="139" t="s">
        <v>328</v>
      </c>
      <c r="I72" s="239">
        <v>2</v>
      </c>
      <c r="J72" s="187">
        <v>1</v>
      </c>
      <c r="K72" s="187">
        <v>2</v>
      </c>
      <c r="L72" s="139" t="s">
        <v>88</v>
      </c>
      <c r="M72" s="139">
        <v>3</v>
      </c>
      <c r="N72" s="139">
        <v>1</v>
      </c>
      <c r="O72" s="139">
        <v>3</v>
      </c>
      <c r="P72" s="139">
        <v>1</v>
      </c>
      <c r="Q72" s="187" t="s">
        <v>146</v>
      </c>
      <c r="R72" s="240">
        <v>3</v>
      </c>
      <c r="S72" s="187">
        <v>2</v>
      </c>
      <c r="T72" s="187">
        <v>6</v>
      </c>
      <c r="U72" s="204" t="s">
        <v>456</v>
      </c>
      <c r="V72" s="204" t="s">
        <v>146</v>
      </c>
      <c r="W72" s="239">
        <v>1</v>
      </c>
      <c r="X72" s="204">
        <v>1</v>
      </c>
      <c r="Y72" s="204">
        <v>1</v>
      </c>
      <c r="Z72" s="204">
        <v>48</v>
      </c>
      <c r="AA72" s="241">
        <v>6635</v>
      </c>
      <c r="AB72" s="187">
        <v>2</v>
      </c>
      <c r="AC72" s="187">
        <v>2</v>
      </c>
      <c r="AD72" s="240">
        <f>IF(AND(BE72&gt;=2.71, BE72&lt;=2.86, AA72&gt;23700), 1, IF(AND(BE72&gt;=2.71, BE72&lt;=2.86, AA72&gt;=6000, AA72&lt;=23700), 1, IF(AND(BE72&gt;=2.71, BE72&lt;=2.86, AA72&lt;6000), 1, IF(AND(BE72&gt;=2.57, BE72&lt;=2.71, AA72&gt;23700), 2, IF(AND(BE72&gt;=2.57, BE72&lt;=2.71, AA72&gt;=6000, AA72&lt;=23700), 2, IF(AND(BE72&gt;=2.57, BE72&lt;=2.71, AA72&lt;6000), 1, IF(AND(BE72&gt;=1, BE72&lt;=2.57, AA72&gt;23700), 3, IF(AND(BE72&gt;=1, BE72&lt;=2.71, AA72&gt;=6000, AA72&lt;=23700), 3, IF(AND(BE72&gt;=1, BE72&lt;=2.71, AA72&lt;6000), 2, 0 ) ) ) ) ) ) ) ) )</f>
        <v>2</v>
      </c>
      <c r="AE72" s="187">
        <f t="shared" si="10"/>
        <v>0.6020599913279624</v>
      </c>
      <c r="AF72" s="209">
        <v>2</v>
      </c>
      <c r="AG72" s="209">
        <v>1</v>
      </c>
      <c r="AH72" s="211">
        <v>0.3010299956639812</v>
      </c>
      <c r="AI72" s="146">
        <v>3</v>
      </c>
      <c r="AJ72" s="146">
        <v>2</v>
      </c>
      <c r="AK72" s="146">
        <v>1</v>
      </c>
      <c r="AL72" s="146">
        <v>0.3010299956639812</v>
      </c>
      <c r="AM72" s="92">
        <v>1</v>
      </c>
      <c r="AN72" s="226">
        <v>1</v>
      </c>
      <c r="AO72" s="226">
        <f t="shared" si="11"/>
        <v>0</v>
      </c>
      <c r="AP72" s="229">
        <v>1</v>
      </c>
      <c r="AQ72" s="187">
        <v>1</v>
      </c>
      <c r="AR72" s="187">
        <f t="shared" si="12"/>
        <v>0</v>
      </c>
      <c r="AS72" s="205">
        <v>1.375</v>
      </c>
      <c r="AT72" s="54">
        <f>IF(AS72&lt;2.5,1,IF(AS72&gt;3.5,3,2))</f>
        <v>1</v>
      </c>
      <c r="AU72" s="187">
        <v>1</v>
      </c>
      <c r="AV72" s="187">
        <f t="shared" si="14"/>
        <v>0</v>
      </c>
      <c r="AW72" s="92" t="s">
        <v>99</v>
      </c>
      <c r="AX72" s="66" t="s">
        <v>216</v>
      </c>
      <c r="AY72" s="85">
        <v>3</v>
      </c>
      <c r="AZ72" s="246">
        <v>2</v>
      </c>
      <c r="BA72" s="206">
        <f t="shared" si="13"/>
        <v>0.95424250943932487</v>
      </c>
      <c r="BB72" s="206">
        <v>3</v>
      </c>
      <c r="BC72" s="206">
        <v>1</v>
      </c>
      <c r="BD72" s="206">
        <v>0.47712125471966244</v>
      </c>
      <c r="BE72" s="224">
        <v>2.5714285714285716</v>
      </c>
      <c r="BF72" s="187">
        <v>0.26354837468149123</v>
      </c>
      <c r="BG72" s="187">
        <v>1.8346295092848037</v>
      </c>
      <c r="BH72" s="187">
        <v>0.93823232046052818</v>
      </c>
    </row>
    <row r="73" spans="1:60" ht="16">
      <c r="A73" s="146">
        <v>71</v>
      </c>
      <c r="B73" s="99" t="s">
        <v>457</v>
      </c>
      <c r="C73" s="99" t="s">
        <v>170</v>
      </c>
      <c r="D73" t="s">
        <v>84</v>
      </c>
      <c r="E73" s="239">
        <v>3</v>
      </c>
      <c r="F73" s="187">
        <v>2</v>
      </c>
      <c r="G73" s="187">
        <v>6</v>
      </c>
      <c r="H73" s="139">
        <v>1</v>
      </c>
      <c r="I73" s="239">
        <v>3</v>
      </c>
      <c r="J73" s="187">
        <v>1</v>
      </c>
      <c r="K73" s="187">
        <v>3</v>
      </c>
      <c r="L73" s="139" t="s">
        <v>88</v>
      </c>
      <c r="M73" s="139">
        <v>3</v>
      </c>
      <c r="N73" s="139">
        <v>1</v>
      </c>
      <c r="O73" s="139">
        <v>3</v>
      </c>
      <c r="P73" s="139">
        <v>1</v>
      </c>
      <c r="Q73" s="187" t="s">
        <v>88</v>
      </c>
      <c r="R73" s="240">
        <v>2</v>
      </c>
      <c r="S73" s="187">
        <v>2</v>
      </c>
      <c r="T73" s="187">
        <v>4</v>
      </c>
      <c r="U73" s="252">
        <v>117</v>
      </c>
      <c r="V73" s="204" t="s">
        <v>146</v>
      </c>
      <c r="W73" s="239">
        <v>1</v>
      </c>
      <c r="X73" s="204">
        <v>1</v>
      </c>
      <c r="Y73" s="204">
        <v>1</v>
      </c>
      <c r="Z73" s="244" t="s">
        <v>1624</v>
      </c>
      <c r="AA73" s="241">
        <v>6545</v>
      </c>
      <c r="AB73" s="187">
        <v>2</v>
      </c>
      <c r="AC73" s="187">
        <v>2</v>
      </c>
      <c r="AD73" s="240">
        <f>IF(AND(BE73&gt;=2.71, BE73&lt;=2.86, AA73&gt;23700), 1, IF(AND(BE73&gt;=2.71, BE73&lt;=2.86, AA73&gt;=6000, AA73&lt;=23700), 1, IF(AND(BE73&gt;=2.71, BE73&lt;=2.86, AA73&lt;6000), 1, IF(AND(BE73&gt;=2.57, BE73&lt;=2.71, AA73&gt;23700), 2, IF(AND(BE73&gt;=2.57, BE73&lt;=2.71, AA73&gt;=6000, AA73&lt;=23700), 2, IF(AND(BE73&gt;=2.57, BE73&lt;=2.71, AA73&lt;6000), 1, IF(AND(BE73&gt;=1, BE73&lt;=2.57, AA73&gt;23700), 3, IF(AND(BE73&gt;=1, BE73&lt;=2.71, AA73&gt;=6000, AA73&lt;=23700), 3, IF(AND(BE73&gt;=1, BE73&lt;=2.71, AA73&lt;6000), 2, 0 ) ) ) ) ) ) ) ) )</f>
        <v>3</v>
      </c>
      <c r="AE73" s="187">
        <f t="shared" si="10"/>
        <v>0.95424250943932487</v>
      </c>
      <c r="AF73" s="209">
        <v>1</v>
      </c>
      <c r="AG73" s="209">
        <v>1</v>
      </c>
      <c r="AH73" s="211">
        <v>0</v>
      </c>
      <c r="AI73" s="146">
        <v>2</v>
      </c>
      <c r="AJ73" s="146">
        <v>3</v>
      </c>
      <c r="AK73" s="146">
        <v>1</v>
      </c>
      <c r="AL73" s="146">
        <v>0.47712125471966244</v>
      </c>
      <c r="AM73" s="92">
        <v>1</v>
      </c>
      <c r="AN73" s="226">
        <v>1</v>
      </c>
      <c r="AO73" s="226">
        <f t="shared" si="11"/>
        <v>0</v>
      </c>
      <c r="AP73" s="229">
        <v>2</v>
      </c>
      <c r="AQ73" s="187">
        <v>1</v>
      </c>
      <c r="AR73" s="187">
        <f t="shared" si="12"/>
        <v>0.3010299956639812</v>
      </c>
      <c r="AS73" s="205">
        <v>2</v>
      </c>
      <c r="AT73" s="54">
        <f>IF(AS73&lt;2.5,1,IF(AS73&gt;3.5,3,2))</f>
        <v>1</v>
      </c>
      <c r="AU73" s="187">
        <v>1</v>
      </c>
      <c r="AV73" s="187">
        <f t="shared" si="14"/>
        <v>0</v>
      </c>
      <c r="AW73" s="92" t="s">
        <v>91</v>
      </c>
      <c r="AX73" s="66" t="s">
        <v>92</v>
      </c>
      <c r="AY73" s="85">
        <v>3</v>
      </c>
      <c r="AZ73" s="246">
        <v>2</v>
      </c>
      <c r="BA73" s="206">
        <f t="shared" si="13"/>
        <v>0.95424250943932487</v>
      </c>
      <c r="BB73" s="206">
        <v>2</v>
      </c>
      <c r="BC73" s="206">
        <v>1</v>
      </c>
      <c r="BD73" s="206">
        <v>0.3010299956639812</v>
      </c>
      <c r="BE73" s="224">
        <v>2.4285714285714284</v>
      </c>
      <c r="BF73" s="187">
        <v>0.27160602408420681</v>
      </c>
      <c r="BG73" s="187">
        <v>1.8689858961124342</v>
      </c>
      <c r="BH73" s="187">
        <v>1.0400322590608564</v>
      </c>
    </row>
    <row r="74" spans="1:60" ht="16">
      <c r="A74" s="146">
        <v>72</v>
      </c>
      <c r="B74" s="99" t="s">
        <v>459</v>
      </c>
      <c r="C74" s="99" t="s">
        <v>110</v>
      </c>
      <c r="D74" t="s">
        <v>84</v>
      </c>
      <c r="E74" s="239">
        <v>3</v>
      </c>
      <c r="F74" s="187">
        <v>2</v>
      </c>
      <c r="G74" s="187">
        <v>6</v>
      </c>
      <c r="H74" s="139" t="s">
        <v>111</v>
      </c>
      <c r="I74" s="239">
        <v>2</v>
      </c>
      <c r="J74" s="187">
        <v>1</v>
      </c>
      <c r="K74" s="187">
        <v>2</v>
      </c>
      <c r="L74" s="139" t="s">
        <v>88</v>
      </c>
      <c r="M74" s="139">
        <v>3</v>
      </c>
      <c r="N74" s="139">
        <v>1</v>
      </c>
      <c r="O74" s="139">
        <v>3</v>
      </c>
      <c r="P74" s="139">
        <v>1</v>
      </c>
      <c r="Q74" s="187" t="s">
        <v>146</v>
      </c>
      <c r="R74" s="240">
        <v>2</v>
      </c>
      <c r="S74" s="187">
        <v>2</v>
      </c>
      <c r="T74" s="187">
        <v>4</v>
      </c>
      <c r="U74" s="204" t="s">
        <v>461</v>
      </c>
      <c r="V74" s="204" t="s">
        <v>115</v>
      </c>
      <c r="W74" s="239">
        <v>2</v>
      </c>
      <c r="X74" s="204">
        <v>1</v>
      </c>
      <c r="Y74" s="204">
        <v>2</v>
      </c>
      <c r="Z74" s="204">
        <v>48</v>
      </c>
      <c r="AA74" s="241">
        <v>6230</v>
      </c>
      <c r="AB74" s="187">
        <v>2</v>
      </c>
      <c r="AC74" s="187">
        <v>2</v>
      </c>
      <c r="AD74" s="240">
        <f>IF(AND(BE74&gt;=2.71, BE74&lt;=2.86, AA74&gt;23700), 1, IF(AND(BE74&gt;=2.71, BE74&lt;=2.86, AA74&gt;=6000, AA74&lt;=23700), 1, IF(AND(BE74&gt;=2.71, BE74&lt;=2.86, AA74&lt;6000), 1, IF(AND(BE74&gt;=2.57, BE74&lt;=2.71, AA74&gt;23700), 2, IF(AND(BE74&gt;=2.57, BE74&lt;=2.71, AA74&gt;=6000, AA74&lt;=23700), 2, IF(AND(BE74&gt;=2.57, BE74&lt;=2.71, AA74&lt;6000), 1, IF(AND(BE74&gt;=1, BE74&lt;=2.57, AA74&gt;23700), 3, IF(AND(BE74&gt;=1, BE74&lt;=2.71, AA74&gt;=6000, AA74&lt;=23700), 3, IF(AND(BE74&gt;=1, BE74&lt;=2.71, AA74&lt;6000), 2, 0 ) ) ) ) ) ) ) ) )</f>
        <v>3</v>
      </c>
      <c r="AE74" s="187">
        <f t="shared" si="10"/>
        <v>0.95424250943932487</v>
      </c>
      <c r="AF74" s="209">
        <v>1</v>
      </c>
      <c r="AG74" s="209">
        <v>1</v>
      </c>
      <c r="AH74" s="211">
        <v>0</v>
      </c>
      <c r="AI74" s="146">
        <v>6</v>
      </c>
      <c r="AJ74" s="146">
        <v>1</v>
      </c>
      <c r="AK74" s="146">
        <v>1</v>
      </c>
      <c r="AL74" s="146">
        <v>0</v>
      </c>
      <c r="AM74" s="92">
        <v>1</v>
      </c>
      <c r="AN74" s="226">
        <v>1</v>
      </c>
      <c r="AO74" s="226">
        <f t="shared" si="11"/>
        <v>0</v>
      </c>
      <c r="AP74" s="229">
        <v>2</v>
      </c>
      <c r="AQ74" s="187">
        <v>1</v>
      </c>
      <c r="AR74" s="187">
        <f t="shared" si="12"/>
        <v>0.3010299956639812</v>
      </c>
      <c r="AS74" s="205">
        <v>1.375</v>
      </c>
      <c r="AT74" s="54">
        <f>IF(AS74&lt;2.5,1,IF(AS74&gt;3.5,3,2))</f>
        <v>1</v>
      </c>
      <c r="AU74" s="187">
        <v>1</v>
      </c>
      <c r="AV74" s="187">
        <f t="shared" si="14"/>
        <v>0</v>
      </c>
      <c r="AW74" s="92" t="s">
        <v>99</v>
      </c>
      <c r="AX74" s="66" t="s">
        <v>92</v>
      </c>
      <c r="AY74" s="85">
        <v>3</v>
      </c>
      <c r="AZ74" s="246">
        <v>2</v>
      </c>
      <c r="BA74" s="206">
        <f t="shared" si="13"/>
        <v>0.95424250943932487</v>
      </c>
      <c r="BB74" s="206">
        <v>2</v>
      </c>
      <c r="BC74" s="206">
        <v>1</v>
      </c>
      <c r="BD74" s="206">
        <v>0.3010299956639812</v>
      </c>
      <c r="BE74" s="224">
        <v>2.4285714285714284</v>
      </c>
      <c r="BF74" s="187">
        <v>0.22823136456423745</v>
      </c>
      <c r="BG74" s="187">
        <v>1.6913417313152141</v>
      </c>
      <c r="BH74" s="187">
        <v>0.89693032154276953</v>
      </c>
    </row>
    <row r="75" spans="1:60" ht="16">
      <c r="A75" s="146">
        <v>73</v>
      </c>
      <c r="B75" s="99" t="s">
        <v>462</v>
      </c>
      <c r="C75" s="99" t="s">
        <v>184</v>
      </c>
      <c r="D75" t="s">
        <v>84</v>
      </c>
      <c r="E75" s="239">
        <v>3</v>
      </c>
      <c r="F75" s="187">
        <v>2</v>
      </c>
      <c r="G75" s="187">
        <v>6</v>
      </c>
      <c r="H75" s="139">
        <v>1</v>
      </c>
      <c r="I75" s="239">
        <v>2</v>
      </c>
      <c r="J75" s="187">
        <v>1</v>
      </c>
      <c r="K75" s="187">
        <v>2</v>
      </c>
      <c r="L75" s="139" t="s">
        <v>146</v>
      </c>
      <c r="M75" s="139">
        <v>3</v>
      </c>
      <c r="N75" s="139">
        <v>1</v>
      </c>
      <c r="O75" s="139">
        <v>3</v>
      </c>
      <c r="P75" s="139">
        <v>86</v>
      </c>
      <c r="Q75" s="187" t="s">
        <v>146</v>
      </c>
      <c r="R75" s="240">
        <v>3</v>
      </c>
      <c r="S75" s="187">
        <v>2</v>
      </c>
      <c r="T75" s="187">
        <v>6</v>
      </c>
      <c r="U75" s="252" t="s">
        <v>419</v>
      </c>
      <c r="V75" s="204" t="s">
        <v>146</v>
      </c>
      <c r="W75" s="239">
        <v>1</v>
      </c>
      <c r="X75" s="204">
        <v>1</v>
      </c>
      <c r="Y75" s="204">
        <v>1</v>
      </c>
      <c r="Z75" s="204">
        <v>48</v>
      </c>
      <c r="AA75" s="241">
        <v>6221</v>
      </c>
      <c r="AB75" s="187">
        <v>2</v>
      </c>
      <c r="AC75" s="187">
        <v>2</v>
      </c>
      <c r="AD75" s="240">
        <f>IF(AND(BE75&gt;=2.71, BE75&lt;=2.86, AA75&gt;23700), 1, IF(AND(BE75&gt;=2.71, BE75&lt;=2.86, AA75&gt;=6000, AA75&lt;=23700), 1, IF(AND(BE75&gt;=2.71, BE75&lt;=2.86, AA75&lt;6000), 1, IF(AND(BE75&gt;=2.57, BE75&lt;=2.71, AA75&gt;23700), 2, IF(AND(BE75&gt;=2.57, BE75&lt;=2.71, AA75&gt;=6000, AA75&lt;=23700), 2, IF(AND(BE75&gt;=2.57, BE75&lt;=2.71, AA75&lt;6000), 1, IF(AND(BE75&gt;=1, BE75&lt;=2.57, AA75&gt;23700), 3, IF(AND(BE75&gt;=1, BE75&lt;=2.71, AA75&gt;=6000, AA75&lt;=23700), 3, IF(AND(BE75&gt;=1, BE75&lt;=2.71, AA75&lt;6000), 2, 0 ) ) ) ) ) ) ) ) )</f>
        <v>2</v>
      </c>
      <c r="AE75" s="187">
        <f t="shared" si="10"/>
        <v>0.6020599913279624</v>
      </c>
      <c r="AF75" s="209">
        <v>1</v>
      </c>
      <c r="AG75" s="209">
        <v>1</v>
      </c>
      <c r="AH75" s="211">
        <v>0</v>
      </c>
      <c r="AI75" s="146">
        <v>1</v>
      </c>
      <c r="AJ75" s="146">
        <v>3</v>
      </c>
      <c r="AK75" s="146">
        <v>1</v>
      </c>
      <c r="AL75" s="146">
        <v>0.47712125471966244</v>
      </c>
      <c r="AM75" s="92">
        <v>1</v>
      </c>
      <c r="AN75" s="226">
        <v>1</v>
      </c>
      <c r="AO75" s="226">
        <f t="shared" si="11"/>
        <v>0</v>
      </c>
      <c r="AP75" s="229">
        <v>1</v>
      </c>
      <c r="AQ75" s="187">
        <v>1</v>
      </c>
      <c r="AR75" s="187">
        <f t="shared" si="12"/>
        <v>0</v>
      </c>
      <c r="AS75" s="205">
        <v>2</v>
      </c>
      <c r="AT75" s="54">
        <f>IF(AS75&lt;2.5,1,IF(AS75&gt;3.5,3,2))</f>
        <v>1</v>
      </c>
      <c r="AU75" s="187">
        <v>1</v>
      </c>
      <c r="AV75" s="187">
        <f t="shared" si="14"/>
        <v>0</v>
      </c>
      <c r="AW75" s="92" t="s">
        <v>273</v>
      </c>
      <c r="AX75" s="66" t="s">
        <v>92</v>
      </c>
      <c r="AY75" s="85">
        <v>3</v>
      </c>
      <c r="AZ75" s="246">
        <v>2</v>
      </c>
      <c r="BA75" s="206">
        <f t="shared" si="13"/>
        <v>0.95424250943932487</v>
      </c>
      <c r="BB75" s="206">
        <v>3</v>
      </c>
      <c r="BC75" s="206">
        <v>1</v>
      </c>
      <c r="BD75" s="206">
        <v>0.47712125471966244</v>
      </c>
      <c r="BE75" s="224">
        <v>2.5714285714285716</v>
      </c>
      <c r="BF75" s="187">
        <v>0.25105450102066124</v>
      </c>
      <c r="BG75" s="187">
        <v>1.7826024579660036</v>
      </c>
      <c r="BH75" s="187">
        <v>0.89226681917584794</v>
      </c>
    </row>
    <row r="76" spans="1:60" ht="16">
      <c r="A76" s="146">
        <v>74</v>
      </c>
      <c r="B76" s="99" t="s">
        <v>467</v>
      </c>
      <c r="C76" s="99" t="s">
        <v>184</v>
      </c>
      <c r="D76" t="s">
        <v>84</v>
      </c>
      <c r="E76" s="239">
        <v>3</v>
      </c>
      <c r="F76" s="187">
        <v>2</v>
      </c>
      <c r="G76" s="187">
        <v>6</v>
      </c>
      <c r="H76" s="139">
        <v>1</v>
      </c>
      <c r="I76" s="239">
        <v>2</v>
      </c>
      <c r="J76" s="187">
        <v>1</v>
      </c>
      <c r="K76" s="187">
        <v>2</v>
      </c>
      <c r="L76" s="139" t="s">
        <v>146</v>
      </c>
      <c r="M76" s="139">
        <v>3</v>
      </c>
      <c r="N76" s="139">
        <v>1</v>
      </c>
      <c r="O76" s="139">
        <v>3</v>
      </c>
      <c r="P76" s="139">
        <v>86</v>
      </c>
      <c r="Q76" s="187" t="s">
        <v>146</v>
      </c>
      <c r="R76" s="240">
        <v>3</v>
      </c>
      <c r="S76" s="187">
        <v>2</v>
      </c>
      <c r="T76" s="187">
        <v>6</v>
      </c>
      <c r="U76" s="252" t="s">
        <v>419</v>
      </c>
      <c r="V76" s="204" t="s">
        <v>146</v>
      </c>
      <c r="W76" s="239">
        <v>1</v>
      </c>
      <c r="X76" s="204">
        <v>1</v>
      </c>
      <c r="Y76" s="204">
        <v>1</v>
      </c>
      <c r="Z76" s="204">
        <v>48</v>
      </c>
      <c r="AA76" s="241">
        <v>6156</v>
      </c>
      <c r="AB76" s="187">
        <v>2</v>
      </c>
      <c r="AC76" s="187">
        <v>2</v>
      </c>
      <c r="AD76" s="240">
        <f>IF(AND(BE76&gt;=2.71, BE76&lt;=2.86, AA76&gt;23700), 1, IF(AND(BE76&gt;=2.71, BE76&lt;=2.86, AA76&gt;=6000, AA76&lt;=23700), 1, IF(AND(BE76&gt;=2.71, BE76&lt;=2.86, AA76&lt;6000), 1, IF(AND(BE76&gt;=2.57, BE76&lt;=2.71, AA76&gt;23700), 2, IF(AND(BE76&gt;=2.57, BE76&lt;=2.71, AA76&gt;=6000, AA76&lt;=23700), 2, IF(AND(BE76&gt;=2.57, BE76&lt;=2.71, AA76&lt;6000), 1, IF(AND(BE76&gt;=1, BE76&lt;=2.57, AA76&gt;23700), 3, IF(AND(BE76&gt;=1, BE76&lt;=2.71, AA76&gt;=6000, AA76&lt;=23700), 3, IF(AND(BE76&gt;=1, BE76&lt;=2.71, AA76&lt;6000), 2, 0 ) ) ) ) ) ) ) ) )</f>
        <v>2</v>
      </c>
      <c r="AE76" s="187">
        <f t="shared" si="10"/>
        <v>0.6020599913279624</v>
      </c>
      <c r="AF76" s="209">
        <v>1</v>
      </c>
      <c r="AG76" s="209">
        <v>1</v>
      </c>
      <c r="AH76" s="211">
        <v>0</v>
      </c>
      <c r="AI76" s="146">
        <v>3</v>
      </c>
      <c r="AJ76" s="146">
        <v>2</v>
      </c>
      <c r="AK76" s="146">
        <v>1</v>
      </c>
      <c r="AL76" s="146">
        <v>0.3010299956639812</v>
      </c>
      <c r="AM76" s="92">
        <v>1</v>
      </c>
      <c r="AN76" s="226">
        <v>1</v>
      </c>
      <c r="AO76" s="226">
        <f t="shared" si="11"/>
        <v>0</v>
      </c>
      <c r="AP76" s="229">
        <v>2</v>
      </c>
      <c r="AQ76" s="187">
        <v>1</v>
      </c>
      <c r="AR76" s="187">
        <f t="shared" si="12"/>
        <v>0.3010299956639812</v>
      </c>
      <c r="AS76" s="205">
        <v>1.333</v>
      </c>
      <c r="AT76" s="54">
        <f>IF(AS76&lt;2.5,1,IF(AS76&gt;3.5,3,2))</f>
        <v>1</v>
      </c>
      <c r="AU76" s="187">
        <v>1</v>
      </c>
      <c r="AV76" s="187">
        <f t="shared" si="14"/>
        <v>0</v>
      </c>
      <c r="AW76" s="92" t="s">
        <v>91</v>
      </c>
      <c r="AX76" s="66" t="s">
        <v>137</v>
      </c>
      <c r="AY76" s="85">
        <v>2</v>
      </c>
      <c r="AZ76" s="246">
        <v>2</v>
      </c>
      <c r="BA76" s="206">
        <f t="shared" si="13"/>
        <v>0.6020599913279624</v>
      </c>
      <c r="BB76" s="206">
        <v>3</v>
      </c>
      <c r="BC76" s="206">
        <v>1</v>
      </c>
      <c r="BD76" s="206">
        <v>0.47712125471966244</v>
      </c>
      <c r="BE76" s="224">
        <v>2.5714285714285716</v>
      </c>
      <c r="BF76" s="187">
        <v>0.22833012287035498</v>
      </c>
      <c r="BG76" s="187">
        <v>1.6917263851493574</v>
      </c>
      <c r="BH76" s="187">
        <v>0.8137314429832192</v>
      </c>
    </row>
    <row r="77" spans="1:60" ht="16">
      <c r="A77" s="146">
        <v>75</v>
      </c>
      <c r="B77" s="99" t="s">
        <v>469</v>
      </c>
      <c r="C77" s="99" t="s">
        <v>83</v>
      </c>
      <c r="D77" t="s">
        <v>84</v>
      </c>
      <c r="E77" s="239">
        <v>3</v>
      </c>
      <c r="F77" s="187">
        <v>2</v>
      </c>
      <c r="G77" s="187">
        <v>6</v>
      </c>
      <c r="H77" s="139" t="s">
        <v>96</v>
      </c>
      <c r="I77" s="261">
        <v>2</v>
      </c>
      <c r="J77" s="264">
        <v>1</v>
      </c>
      <c r="K77" s="264">
        <v>2</v>
      </c>
      <c r="L77" s="139" t="s">
        <v>88</v>
      </c>
      <c r="M77" s="139">
        <v>3</v>
      </c>
      <c r="N77" s="139">
        <v>1</v>
      </c>
      <c r="O77" s="139">
        <v>3</v>
      </c>
      <c r="P77" s="139">
        <v>1</v>
      </c>
      <c r="Q77" s="187" t="s">
        <v>88</v>
      </c>
      <c r="R77" s="271">
        <v>3</v>
      </c>
      <c r="S77" s="264">
        <v>2</v>
      </c>
      <c r="T77" s="264">
        <v>6</v>
      </c>
      <c r="U77" s="275">
        <v>106</v>
      </c>
      <c r="V77" s="275" t="s">
        <v>115</v>
      </c>
      <c r="W77" s="261">
        <v>2</v>
      </c>
      <c r="X77" s="275">
        <v>1</v>
      </c>
      <c r="Y77" s="275">
        <v>2</v>
      </c>
      <c r="Z77" s="284" t="s">
        <v>1632</v>
      </c>
      <c r="AA77" s="241">
        <v>6134</v>
      </c>
      <c r="AB77" s="187">
        <v>2</v>
      </c>
      <c r="AC77" s="187">
        <v>2</v>
      </c>
      <c r="AD77" s="240">
        <f>IF(AND(BE77&gt;=2.71, BE77&lt;=2.86, AA77&gt;23700), 1, IF(AND(BE77&gt;=2.71, BE77&lt;=2.86, AA77&gt;=6000, AA77&lt;=23700), 1, IF(AND(BE77&gt;=2.71, BE77&lt;=2.86, AA77&lt;6000), 1, IF(AND(BE77&gt;=2.57, BE77&lt;=2.71, AA77&gt;23700), 2, IF(AND(BE77&gt;=2.57, BE77&lt;=2.71, AA77&gt;=6000, AA77&lt;=23700), 2, IF(AND(BE77&gt;=2.57, BE77&lt;=2.71, AA77&lt;6000), 1, IF(AND(BE77&gt;=1, BE77&lt;=2.57, AA77&gt;23700), 3, IF(AND(BE77&gt;=1, BE77&lt;=2.71, AA77&gt;=6000, AA77&lt;=23700), 3, IF(AND(BE77&gt;=1, BE77&lt;=2.71, AA77&lt;6000), 2, 0 ) ) ) ) ) ) ) ) )</f>
        <v>1</v>
      </c>
      <c r="AE77" s="187">
        <f t="shared" si="10"/>
        <v>0</v>
      </c>
      <c r="AF77" s="209">
        <v>1</v>
      </c>
      <c r="AG77" s="209">
        <v>1</v>
      </c>
      <c r="AH77" s="211">
        <v>0</v>
      </c>
      <c r="AI77" s="146">
        <v>1</v>
      </c>
      <c r="AJ77" s="146">
        <v>3</v>
      </c>
      <c r="AK77" s="146">
        <v>1</v>
      </c>
      <c r="AL77" s="146">
        <v>0.47712125471966244</v>
      </c>
      <c r="AM77" s="92">
        <v>1</v>
      </c>
      <c r="AN77" s="226">
        <v>1</v>
      </c>
      <c r="AO77" s="226">
        <f t="shared" si="11"/>
        <v>0</v>
      </c>
      <c r="AP77" s="229">
        <v>3</v>
      </c>
      <c r="AQ77" s="187">
        <v>1</v>
      </c>
      <c r="AR77" s="187">
        <f t="shared" si="12"/>
        <v>0.47712125471966244</v>
      </c>
      <c r="AS77" s="205">
        <v>1.667</v>
      </c>
      <c r="AT77" s="54">
        <f>IF(AS77&lt;2.5,1,IF(AS77&gt;3.5,3,2))</f>
        <v>1</v>
      </c>
      <c r="AU77" s="187">
        <v>1</v>
      </c>
      <c r="AV77" s="187">
        <f t="shared" si="14"/>
        <v>0</v>
      </c>
      <c r="AW77" s="92" t="s">
        <v>273</v>
      </c>
      <c r="AX77" s="66">
        <v>2</v>
      </c>
      <c r="AY77" s="85">
        <v>3</v>
      </c>
      <c r="AZ77" s="246">
        <v>2</v>
      </c>
      <c r="BA77" s="206">
        <f t="shared" si="13"/>
        <v>0.95424250943932487</v>
      </c>
      <c r="BB77" s="206">
        <v>3</v>
      </c>
      <c r="BC77" s="206">
        <v>1</v>
      </c>
      <c r="BD77" s="206">
        <v>0.47712125471966244</v>
      </c>
      <c r="BE77" s="224">
        <v>2.7142857142857144</v>
      </c>
      <c r="BF77" s="187">
        <v>0.26506736373314577</v>
      </c>
      <c r="BG77" s="187">
        <v>1.841057547098748</v>
      </c>
      <c r="BH77" s="187">
        <v>0.88826260227085274</v>
      </c>
    </row>
    <row r="78" spans="1:60" ht="16">
      <c r="A78" s="146">
        <v>76</v>
      </c>
      <c r="B78" s="38" t="s">
        <v>472</v>
      </c>
      <c r="C78" s="38" t="s">
        <v>160</v>
      </c>
      <c r="D78" t="s">
        <v>84</v>
      </c>
      <c r="E78" s="261">
        <v>3</v>
      </c>
      <c r="F78" s="262">
        <v>2</v>
      </c>
      <c r="G78" s="262">
        <f>E78*F78</f>
        <v>6</v>
      </c>
      <c r="H78" s="263">
        <v>1</v>
      </c>
      <c r="I78" s="261">
        <v>2</v>
      </c>
      <c r="J78" s="262">
        <v>1</v>
      </c>
      <c r="K78" s="262">
        <f>I78*J78</f>
        <v>2</v>
      </c>
      <c r="L78" s="78" t="s">
        <v>146</v>
      </c>
      <c r="M78" s="78">
        <v>3</v>
      </c>
      <c r="N78" s="78">
        <v>1</v>
      </c>
      <c r="O78" s="78">
        <f>M78*N78</f>
        <v>3</v>
      </c>
      <c r="P78" s="78">
        <v>1</v>
      </c>
      <c r="Q78" s="53" t="s">
        <v>115</v>
      </c>
      <c r="R78" s="271">
        <v>3</v>
      </c>
      <c r="S78" s="272">
        <v>2</v>
      </c>
      <c r="T78" s="272">
        <f>R78*S78</f>
        <v>6</v>
      </c>
      <c r="U78" s="274">
        <v>99</v>
      </c>
      <c r="V78" s="273" t="s">
        <v>88</v>
      </c>
      <c r="W78" s="261">
        <v>3</v>
      </c>
      <c r="X78" s="273">
        <v>1</v>
      </c>
      <c r="Y78" s="273">
        <f>W78*X78</f>
        <v>3</v>
      </c>
      <c r="Z78" s="273">
        <v>89</v>
      </c>
      <c r="AA78" s="241">
        <v>6051</v>
      </c>
      <c r="AB78" s="187">
        <v>2</v>
      </c>
      <c r="AC78" s="187">
        <v>2</v>
      </c>
      <c r="AD78" s="240">
        <f>IF(AND(BE78&gt;=2.71, BE78&lt;=2.86, AA78&gt;23700), 1, IF(AND(BE78&gt;=2.71, BE78&lt;=2.86, AA78&gt;=6000, AA78&lt;=23700), 1, IF(AND(BE78&gt;=2.71, BE78&lt;=2.86, AA78&lt;6000), 1, IF(AND(BE78&gt;=2.57, BE78&lt;=2.71, AA78&gt;23700), 2, IF(AND(BE78&gt;=2.57, BE78&lt;=2.71, AA78&gt;=6000, AA78&lt;=23700), 2, IF(AND(BE78&gt;=2.57, BE78&lt;=2.71, AA78&lt;6000), 1, IF(AND(BE78&gt;=1, BE78&lt;=2.57, AA78&gt;23700), 3, IF(AND(BE78&gt;=1, BE78&lt;=2.71, AA78&gt;=6000, AA78&lt;=23700), 3, IF(AND(BE78&gt;=1, BE78&lt;=2.71, AA78&lt;6000), 2, 0 ) ) ) ) ) ) ) ) )</f>
        <v>2</v>
      </c>
      <c r="AE78" s="187">
        <f t="shared" si="10"/>
        <v>0.6020599913279624</v>
      </c>
      <c r="AF78" s="209">
        <v>1</v>
      </c>
      <c r="AG78" s="209">
        <v>1</v>
      </c>
      <c r="AH78" s="211">
        <v>0</v>
      </c>
      <c r="AI78" s="146">
        <v>2</v>
      </c>
      <c r="AJ78" s="146">
        <v>3</v>
      </c>
      <c r="AK78" s="146">
        <v>1</v>
      </c>
      <c r="AL78" s="146">
        <v>0.47712125471966244</v>
      </c>
      <c r="AM78" s="92">
        <v>3</v>
      </c>
      <c r="AN78" s="226">
        <v>1</v>
      </c>
      <c r="AO78" s="226">
        <f t="shared" si="11"/>
        <v>0.47712125471966244</v>
      </c>
      <c r="AP78" s="229">
        <v>2</v>
      </c>
      <c r="AQ78" s="187">
        <v>1</v>
      </c>
      <c r="AR78" s="187">
        <f t="shared" si="12"/>
        <v>0.3010299956639812</v>
      </c>
      <c r="AS78" s="205">
        <v>2</v>
      </c>
      <c r="AT78" s="54">
        <f>IF(AS78&lt;2.5,1,IF(AS78&gt;3.5,3,2))</f>
        <v>1</v>
      </c>
      <c r="AU78" s="187">
        <v>1</v>
      </c>
      <c r="AV78" s="187">
        <f t="shared" si="14"/>
        <v>0</v>
      </c>
      <c r="AW78" s="92" t="s">
        <v>91</v>
      </c>
      <c r="AX78" s="66" t="s">
        <v>92</v>
      </c>
      <c r="AY78" s="67">
        <v>3</v>
      </c>
      <c r="AZ78" s="247">
        <v>2</v>
      </c>
      <c r="BA78" s="68">
        <f t="shared" si="13"/>
        <v>0.95424250943932487</v>
      </c>
      <c r="BB78" s="206">
        <v>2</v>
      </c>
      <c r="BC78" s="206">
        <v>1</v>
      </c>
      <c r="BD78" s="206">
        <v>0.3010299956639812</v>
      </c>
      <c r="BE78" s="224">
        <v>2.5714285714285716</v>
      </c>
      <c r="BF78" s="187">
        <v>0.31126050015345746</v>
      </c>
      <c r="BG78" s="187">
        <v>2.0476725110792193</v>
      </c>
      <c r="BH78" s="187">
        <v>1.1319413235052389</v>
      </c>
    </row>
    <row r="79" spans="1:60" ht="16">
      <c r="A79" s="146">
        <v>77</v>
      </c>
      <c r="B79" s="99" t="s">
        <v>476</v>
      </c>
      <c r="C79" s="99" t="s">
        <v>152</v>
      </c>
      <c r="D79" t="s">
        <v>431</v>
      </c>
      <c r="E79" s="239">
        <v>3</v>
      </c>
      <c r="F79" s="187">
        <v>2</v>
      </c>
      <c r="G79" s="187">
        <v>6</v>
      </c>
      <c r="H79" s="139" t="s">
        <v>111</v>
      </c>
      <c r="I79" s="239">
        <v>2</v>
      </c>
      <c r="J79" s="187">
        <v>1</v>
      </c>
      <c r="K79" s="187">
        <v>2</v>
      </c>
      <c r="L79" s="139" t="s">
        <v>88</v>
      </c>
      <c r="M79" s="139">
        <v>2</v>
      </c>
      <c r="N79" s="139">
        <v>1</v>
      </c>
      <c r="O79" s="139">
        <v>2</v>
      </c>
      <c r="P79" s="139">
        <v>1</v>
      </c>
      <c r="Q79" s="187" t="s">
        <v>146</v>
      </c>
      <c r="R79" s="271">
        <v>3</v>
      </c>
      <c r="S79" s="264">
        <v>2</v>
      </c>
      <c r="T79" s="264">
        <v>6</v>
      </c>
      <c r="U79" s="276" t="s">
        <v>347</v>
      </c>
      <c r="V79" s="275" t="s">
        <v>146</v>
      </c>
      <c r="W79" s="261">
        <v>2</v>
      </c>
      <c r="X79" s="275">
        <v>1</v>
      </c>
      <c r="Y79" s="275">
        <v>2</v>
      </c>
      <c r="Z79" s="284" t="s">
        <v>1633</v>
      </c>
      <c r="AA79" s="241">
        <v>6039</v>
      </c>
      <c r="AB79" s="187">
        <v>2</v>
      </c>
      <c r="AC79" s="187">
        <v>2</v>
      </c>
      <c r="AD79" s="240">
        <f>IF(AND(BE79&gt;=2.71, BE79&lt;=2.86, AA79&gt;23700), 1, IF(AND(BE79&gt;=2.71, BE79&lt;=2.86, AA79&gt;=6000, AA79&lt;=23700), 1, IF(AND(BE79&gt;=2.71, BE79&lt;=2.86, AA79&lt;6000), 1, IF(AND(BE79&gt;=2.57, BE79&lt;=2.71, AA79&gt;23700), 2, IF(AND(BE79&gt;=2.57, BE79&lt;=2.71, AA79&gt;=6000, AA79&lt;=23700), 2, IF(AND(BE79&gt;=2.57, BE79&lt;=2.71, AA79&lt;6000), 1, IF(AND(BE79&gt;=1, BE79&lt;=2.57, AA79&gt;23700), 3, IF(AND(BE79&gt;=1, BE79&lt;=2.71, AA79&gt;=6000, AA79&lt;=23700), 3, IF(AND(BE79&gt;=1, BE79&lt;=2.71, AA79&lt;6000), 2, 0 ) ) ) ) ) ) ) ) )</f>
        <v>2</v>
      </c>
      <c r="AE79" s="187">
        <f t="shared" si="10"/>
        <v>0.6020599913279624</v>
      </c>
      <c r="AF79" s="209">
        <v>1</v>
      </c>
      <c r="AG79" s="209">
        <v>1</v>
      </c>
      <c r="AH79" s="211">
        <v>0</v>
      </c>
      <c r="AI79" s="146">
        <v>3</v>
      </c>
      <c r="AJ79" s="146">
        <v>2</v>
      </c>
      <c r="AK79" s="146">
        <v>1</v>
      </c>
      <c r="AL79" s="146">
        <v>0.3010299956639812</v>
      </c>
      <c r="AM79" s="92">
        <v>1</v>
      </c>
      <c r="AN79" s="226">
        <v>1</v>
      </c>
      <c r="AO79" s="226">
        <f t="shared" si="11"/>
        <v>0</v>
      </c>
      <c r="AP79" s="229">
        <v>1</v>
      </c>
      <c r="AQ79" s="187">
        <v>1</v>
      </c>
      <c r="AR79" s="187">
        <f t="shared" ref="AR79:AR91" si="15">AQ79*LOG(AP79)</f>
        <v>0</v>
      </c>
      <c r="AS79" s="205">
        <v>1.875</v>
      </c>
      <c r="AT79" s="54">
        <f>IF(AS79&lt;2.5,1,IF(AS79&gt;3.5,3,2))</f>
        <v>1</v>
      </c>
      <c r="AU79" s="187">
        <v>1</v>
      </c>
      <c r="AV79" s="187">
        <f t="shared" si="14"/>
        <v>0</v>
      </c>
      <c r="AW79" s="92" t="s">
        <v>99</v>
      </c>
      <c r="AX79" s="66" t="s">
        <v>92</v>
      </c>
      <c r="AY79" s="85">
        <v>3</v>
      </c>
      <c r="AZ79" s="246">
        <v>2</v>
      </c>
      <c r="BA79" s="206">
        <f t="shared" si="13"/>
        <v>0.95424250943932487</v>
      </c>
      <c r="BB79" s="206">
        <v>3</v>
      </c>
      <c r="BC79" s="206">
        <v>1</v>
      </c>
      <c r="BD79" s="206">
        <v>0.47712125471966244</v>
      </c>
      <c r="BE79" s="224">
        <v>2.5714285714285716</v>
      </c>
      <c r="BF79" s="187">
        <v>0.23344537511509311</v>
      </c>
      <c r="BG79" s="187">
        <v>1.7117698594097053</v>
      </c>
      <c r="BH79" s="187">
        <v>0.83083680837566809</v>
      </c>
    </row>
    <row r="80" spans="1:60" ht="16">
      <c r="A80" s="146">
        <v>78</v>
      </c>
      <c r="B80" s="99" t="s">
        <v>480</v>
      </c>
      <c r="C80" s="99" t="s">
        <v>83</v>
      </c>
      <c r="D80" t="s">
        <v>84</v>
      </c>
      <c r="E80" s="239">
        <v>3</v>
      </c>
      <c r="F80" s="187">
        <v>2</v>
      </c>
      <c r="G80" s="187">
        <v>6</v>
      </c>
      <c r="H80" s="139" t="s">
        <v>103</v>
      </c>
      <c r="I80" s="239">
        <v>2</v>
      </c>
      <c r="J80" s="187">
        <v>1</v>
      </c>
      <c r="K80" s="187">
        <v>2</v>
      </c>
      <c r="L80" s="139" t="s">
        <v>88</v>
      </c>
      <c r="M80" s="139">
        <v>3</v>
      </c>
      <c r="N80" s="139">
        <v>1</v>
      </c>
      <c r="O80" s="139">
        <v>3</v>
      </c>
      <c r="P80" s="139">
        <v>1</v>
      </c>
      <c r="Q80" s="187" t="s">
        <v>115</v>
      </c>
      <c r="R80" s="271">
        <v>3</v>
      </c>
      <c r="S80" s="264">
        <v>2</v>
      </c>
      <c r="T80" s="264">
        <v>6</v>
      </c>
      <c r="U80" s="275" t="s">
        <v>302</v>
      </c>
      <c r="V80" s="275" t="s">
        <v>88</v>
      </c>
      <c r="W80" s="261">
        <v>2</v>
      </c>
      <c r="X80" s="275">
        <v>1</v>
      </c>
      <c r="Y80" s="275">
        <v>2</v>
      </c>
      <c r="Z80" s="275"/>
      <c r="AA80" s="241">
        <v>5999</v>
      </c>
      <c r="AB80" s="187">
        <v>1</v>
      </c>
      <c r="AC80" s="187">
        <v>2</v>
      </c>
      <c r="AD80" s="240">
        <f>IF(AND(BE80&gt;=2.71, BE80&lt;=2.86, AA80&gt;23700), 1, IF(AND(BE80&gt;=2.71, BE80&lt;=2.86, AA80&gt;=6000, AA80&lt;=23700), 1, IF(AND(BE80&gt;=2.71, BE80&lt;=2.86, AA80&lt;6000), 1, IF(AND(BE80&gt;=2.57, BE80&lt;=2.71, AA80&gt;23700), 2, IF(AND(BE80&gt;=2.57, BE80&lt;=2.71, AA80&gt;=6000, AA80&lt;=23700), 2, IF(AND(BE80&gt;=2.57, BE80&lt;=2.71, AA80&lt;6000), 1, IF(AND(BE80&gt;=1, BE80&lt;=2.57, AA80&gt;23700), 3, IF(AND(BE80&gt;=1, BE80&lt;=2.71, AA80&gt;=6000, AA80&lt;=23700), 3, IF(AND(BE80&gt;=1, BE80&lt;=2.71, AA80&lt;6000), 2, 0 ) ) ) ) ) ) ) ) )</f>
        <v>1</v>
      </c>
      <c r="AE80" s="187">
        <f t="shared" si="10"/>
        <v>0</v>
      </c>
      <c r="AF80" s="209">
        <v>1</v>
      </c>
      <c r="AG80" s="209">
        <v>1</v>
      </c>
      <c r="AH80" s="211">
        <v>0</v>
      </c>
      <c r="AI80" s="146">
        <v>5</v>
      </c>
      <c r="AJ80" s="146">
        <v>1</v>
      </c>
      <c r="AK80" s="146">
        <v>1</v>
      </c>
      <c r="AL80" s="146">
        <v>0</v>
      </c>
      <c r="AM80" s="92">
        <v>1</v>
      </c>
      <c r="AN80" s="226">
        <v>1</v>
      </c>
      <c r="AO80" s="226">
        <f t="shared" si="11"/>
        <v>0</v>
      </c>
      <c r="AP80" s="229">
        <v>1</v>
      </c>
      <c r="AQ80" s="187">
        <v>1</v>
      </c>
      <c r="AR80" s="187">
        <f t="shared" si="15"/>
        <v>0</v>
      </c>
      <c r="AS80" s="205">
        <v>1.125</v>
      </c>
      <c r="AT80" s="54">
        <f>IF(AS80&lt;2.5,1,IF(AS80&gt;3.5,3,2))</f>
        <v>1</v>
      </c>
      <c r="AU80" s="187">
        <v>1</v>
      </c>
      <c r="AV80" s="187">
        <f t="shared" si="14"/>
        <v>0</v>
      </c>
      <c r="AW80" s="92" t="s">
        <v>99</v>
      </c>
      <c r="AX80" s="66" t="s">
        <v>92</v>
      </c>
      <c r="AY80" s="85">
        <v>3</v>
      </c>
      <c r="AZ80" s="246">
        <v>2</v>
      </c>
      <c r="BA80" s="206">
        <f t="shared" si="13"/>
        <v>0.95424250943932487</v>
      </c>
      <c r="BB80" s="206">
        <v>1</v>
      </c>
      <c r="BC80" s="206">
        <v>1</v>
      </c>
      <c r="BD80" s="206">
        <v>0</v>
      </c>
      <c r="BE80" s="224">
        <v>2.7142857142857144</v>
      </c>
      <c r="BF80" s="187">
        <v>0.10602694549325832</v>
      </c>
      <c r="BG80" s="187">
        <v>1.2765180070092417</v>
      </c>
      <c r="BH80" s="187">
        <v>0.3976114450837494</v>
      </c>
    </row>
    <row r="81" spans="1:60" ht="16">
      <c r="A81" s="146">
        <v>79</v>
      </c>
      <c r="B81" s="99" t="s">
        <v>482</v>
      </c>
      <c r="C81" s="99" t="s">
        <v>286</v>
      </c>
      <c r="D81" t="s">
        <v>84</v>
      </c>
      <c r="E81" s="239">
        <v>3</v>
      </c>
      <c r="F81" s="187">
        <v>2</v>
      </c>
      <c r="G81" s="187">
        <v>6</v>
      </c>
      <c r="H81" s="139">
        <v>1</v>
      </c>
      <c r="I81" s="239">
        <v>2</v>
      </c>
      <c r="J81" s="187">
        <v>1</v>
      </c>
      <c r="K81" s="187">
        <v>2</v>
      </c>
      <c r="L81" s="139" t="s">
        <v>88</v>
      </c>
      <c r="M81" s="139">
        <v>3</v>
      </c>
      <c r="N81" s="139">
        <v>1</v>
      </c>
      <c r="O81" s="139">
        <v>3</v>
      </c>
      <c r="P81" s="139">
        <v>1</v>
      </c>
      <c r="Q81" s="187" t="s">
        <v>115</v>
      </c>
      <c r="R81" s="240">
        <v>2</v>
      </c>
      <c r="S81" s="187">
        <v>2</v>
      </c>
      <c r="T81" s="187">
        <v>4</v>
      </c>
      <c r="U81" s="204">
        <v>101</v>
      </c>
      <c r="V81" s="204" t="s">
        <v>115</v>
      </c>
      <c r="W81" s="239">
        <v>1</v>
      </c>
      <c r="X81" s="204">
        <v>1</v>
      </c>
      <c r="Y81" s="204">
        <v>1</v>
      </c>
      <c r="Z81" s="204">
        <v>63</v>
      </c>
      <c r="AA81" s="241">
        <v>5998</v>
      </c>
      <c r="AB81" s="187">
        <v>1</v>
      </c>
      <c r="AC81" s="187">
        <v>2</v>
      </c>
      <c r="AD81" s="240">
        <f>IF(AND(BE81&gt;=2.71, BE81&lt;=2.86, AA81&gt;23700), 1, IF(AND(BE81&gt;=2.71, BE81&lt;=2.86, AA81&gt;=6000, AA81&lt;=23700), 1, IF(AND(BE81&gt;=2.71, BE81&lt;=2.86, AA81&lt;6000), 1, IF(AND(BE81&gt;=2.57, BE81&lt;=2.71, AA81&gt;23700), 2, IF(AND(BE81&gt;=2.57, BE81&lt;=2.71, AA81&gt;=6000, AA81&lt;=23700), 2, IF(AND(BE81&gt;=2.57, BE81&lt;=2.71, AA81&lt;6000), 1, IF(AND(BE81&gt;=1, BE81&lt;=2.57, AA81&gt;23700), 3, IF(AND(BE81&gt;=1, BE81&lt;=2.71, AA81&gt;=6000, AA81&lt;=23700), 3, IF(AND(BE81&gt;=1, BE81&lt;=2.71, AA81&lt;6000), 2, 0 ) ) ) ) ) ) ) ) )</f>
        <v>2</v>
      </c>
      <c r="AE81" s="187">
        <f t="shared" si="10"/>
        <v>0.6020599913279624</v>
      </c>
      <c r="AF81" s="209">
        <v>2</v>
      </c>
      <c r="AG81" s="209">
        <v>1</v>
      </c>
      <c r="AH81" s="211">
        <v>0.3010299956639812</v>
      </c>
      <c r="AI81" s="146">
        <v>6</v>
      </c>
      <c r="AJ81" s="146">
        <v>1</v>
      </c>
      <c r="AK81" s="146">
        <v>1</v>
      </c>
      <c r="AL81" s="146">
        <v>0</v>
      </c>
      <c r="AM81" s="92">
        <v>3</v>
      </c>
      <c r="AN81" s="226">
        <v>1</v>
      </c>
      <c r="AO81" s="226">
        <f t="shared" si="11"/>
        <v>0.47712125471966244</v>
      </c>
      <c r="AP81" s="229">
        <v>1</v>
      </c>
      <c r="AQ81" s="187">
        <v>1</v>
      </c>
      <c r="AR81" s="187">
        <f t="shared" si="15"/>
        <v>0</v>
      </c>
      <c r="AS81" s="205">
        <v>2.3330000000000002</v>
      </c>
      <c r="AT81" s="54">
        <f>IF(AS81&lt;2.5,1,IF(AS81&gt;3.5,3,2))</f>
        <v>1</v>
      </c>
      <c r="AU81" s="187">
        <v>1</v>
      </c>
      <c r="AV81" s="187">
        <f t="shared" si="14"/>
        <v>0</v>
      </c>
      <c r="AW81" s="92" t="s">
        <v>91</v>
      </c>
      <c r="AX81" s="66" t="s">
        <v>106</v>
      </c>
      <c r="AY81" s="85">
        <v>3</v>
      </c>
      <c r="AZ81" s="246">
        <v>2</v>
      </c>
      <c r="BA81" s="206">
        <f t="shared" si="13"/>
        <v>0.95424250943932487</v>
      </c>
      <c r="BB81" s="206">
        <v>2</v>
      </c>
      <c r="BC81" s="206">
        <v>1</v>
      </c>
      <c r="BD81" s="206">
        <v>0.3010299956639812</v>
      </c>
      <c r="BE81" s="224">
        <v>2.2857142857142856</v>
      </c>
      <c r="BF81" s="187">
        <v>0.26354837468149117</v>
      </c>
      <c r="BG81" s="187">
        <v>1.8346295092848033</v>
      </c>
      <c r="BH81" s="187">
        <v>1.0985492703568851</v>
      </c>
    </row>
    <row r="82" spans="1:60" ht="16">
      <c r="A82" s="146">
        <v>80</v>
      </c>
      <c r="B82" s="99" t="s">
        <v>486</v>
      </c>
      <c r="C82" s="99" t="s">
        <v>160</v>
      </c>
      <c r="D82" t="s">
        <v>84</v>
      </c>
      <c r="E82" s="239">
        <v>3</v>
      </c>
      <c r="F82" s="187">
        <v>2</v>
      </c>
      <c r="G82" s="187">
        <v>6</v>
      </c>
      <c r="H82" s="139">
        <v>1</v>
      </c>
      <c r="I82" s="239">
        <v>2</v>
      </c>
      <c r="J82" s="187">
        <v>1</v>
      </c>
      <c r="K82" s="187">
        <v>2</v>
      </c>
      <c r="L82" s="139" t="s">
        <v>88</v>
      </c>
      <c r="M82" s="139">
        <v>3</v>
      </c>
      <c r="N82" s="139">
        <v>1</v>
      </c>
      <c r="O82" s="139">
        <v>3</v>
      </c>
      <c r="P82" s="139">
        <v>1</v>
      </c>
      <c r="Q82" s="187" t="s">
        <v>115</v>
      </c>
      <c r="R82" s="240">
        <v>3</v>
      </c>
      <c r="S82" s="187">
        <v>2</v>
      </c>
      <c r="T82" s="187">
        <v>6</v>
      </c>
      <c r="U82" s="204">
        <v>99</v>
      </c>
      <c r="V82" s="204" t="s">
        <v>88</v>
      </c>
      <c r="W82" s="239">
        <v>2</v>
      </c>
      <c r="X82" s="204">
        <v>1</v>
      </c>
      <c r="Y82" s="204">
        <v>2</v>
      </c>
      <c r="Z82" s="204"/>
      <c r="AA82" s="241">
        <v>5924</v>
      </c>
      <c r="AB82" s="187">
        <v>1</v>
      </c>
      <c r="AC82" s="187">
        <v>2</v>
      </c>
      <c r="AD82" s="240">
        <f>IF(AND(BE82&gt;=2.71, BE82&lt;=2.86, AA82&gt;23700), 1, IF(AND(BE82&gt;=2.71, BE82&lt;=2.86, AA82&gt;=6000, AA82&lt;=23700), 1, IF(AND(BE82&gt;=2.71, BE82&lt;=2.86, AA82&lt;6000), 1, IF(AND(BE82&gt;=2.57, BE82&lt;=2.71, AA82&gt;23700), 2, IF(AND(BE82&gt;=2.57, BE82&lt;=2.71, AA82&gt;=6000, AA82&lt;=23700), 2, IF(AND(BE82&gt;=2.57, BE82&lt;=2.71, AA82&lt;6000), 1, IF(AND(BE82&gt;=1, BE82&lt;=2.57, AA82&gt;23700), 3, IF(AND(BE82&gt;=1, BE82&lt;=2.71, AA82&gt;=6000, AA82&lt;=23700), 3, IF(AND(BE82&gt;=1, BE82&lt;=2.71, AA82&lt;6000), 2, 0 ) ) ) ) ) ) ) ) )</f>
        <v>1</v>
      </c>
      <c r="AE82" s="187">
        <f t="shared" si="10"/>
        <v>0</v>
      </c>
      <c r="AF82" s="209">
        <v>2</v>
      </c>
      <c r="AG82" s="209">
        <v>1</v>
      </c>
      <c r="AH82" s="211">
        <v>0.3010299956639812</v>
      </c>
      <c r="AI82" s="146">
        <v>6</v>
      </c>
      <c r="AJ82" s="146">
        <v>1</v>
      </c>
      <c r="AK82" s="146">
        <v>1</v>
      </c>
      <c r="AL82" s="146">
        <v>0</v>
      </c>
      <c r="AM82" s="92">
        <v>3</v>
      </c>
      <c r="AN82" s="226">
        <v>1</v>
      </c>
      <c r="AO82" s="226">
        <f t="shared" si="11"/>
        <v>0.47712125471966244</v>
      </c>
      <c r="AP82" s="229">
        <v>2</v>
      </c>
      <c r="AQ82" s="187">
        <v>1</v>
      </c>
      <c r="AR82" s="187">
        <f t="shared" si="15"/>
        <v>0.3010299956639812</v>
      </c>
      <c r="AS82" s="205">
        <v>2</v>
      </c>
      <c r="AT82" s="54">
        <f>IF(AS82&lt;2.5,1,IF(AS82&gt;3.5,3,2))</f>
        <v>1</v>
      </c>
      <c r="AU82" s="187">
        <v>1</v>
      </c>
      <c r="AV82" s="187">
        <f t="shared" si="14"/>
        <v>0</v>
      </c>
      <c r="AW82" s="92" t="s">
        <v>91</v>
      </c>
      <c r="AX82" s="66" t="s">
        <v>92</v>
      </c>
      <c r="AY82" s="85">
        <v>3</v>
      </c>
      <c r="AZ82" s="246">
        <v>2</v>
      </c>
      <c r="BA82" s="206">
        <f t="shared" si="13"/>
        <v>0.95424250943932487</v>
      </c>
      <c r="BB82" s="206">
        <v>1</v>
      </c>
      <c r="BC82" s="206">
        <v>1</v>
      </c>
      <c r="BD82" s="206">
        <v>0</v>
      </c>
      <c r="BE82" s="224">
        <v>2.7142857142857144</v>
      </c>
      <c r="BF82" s="187">
        <v>0.22593597283188332</v>
      </c>
      <c r="BG82" s="187">
        <v>1.682426006079768</v>
      </c>
      <c r="BH82" s="187">
        <v>0.73982288882894665</v>
      </c>
    </row>
    <row r="83" spans="1:60" ht="16">
      <c r="A83" s="146">
        <v>81</v>
      </c>
      <c r="B83" s="99" t="s">
        <v>489</v>
      </c>
      <c r="C83" s="99" t="s">
        <v>152</v>
      </c>
      <c r="D83" t="s">
        <v>84</v>
      </c>
      <c r="E83" s="239">
        <v>3</v>
      </c>
      <c r="F83" s="187">
        <v>2</v>
      </c>
      <c r="G83" s="187">
        <v>6</v>
      </c>
      <c r="H83" s="139" t="s">
        <v>153</v>
      </c>
      <c r="I83" s="239">
        <v>2</v>
      </c>
      <c r="J83" s="187">
        <v>1</v>
      </c>
      <c r="K83" s="187">
        <v>2</v>
      </c>
      <c r="L83" s="139" t="s">
        <v>88</v>
      </c>
      <c r="M83" s="139">
        <v>2</v>
      </c>
      <c r="N83" s="139">
        <v>1</v>
      </c>
      <c r="O83" s="139">
        <v>2</v>
      </c>
      <c r="P83" s="139">
        <v>1</v>
      </c>
      <c r="Q83" s="187" t="s">
        <v>115</v>
      </c>
      <c r="R83" s="240">
        <v>3</v>
      </c>
      <c r="S83" s="187">
        <v>2</v>
      </c>
      <c r="T83" s="187">
        <v>6</v>
      </c>
      <c r="U83" s="204" t="s">
        <v>363</v>
      </c>
      <c r="V83" s="204" t="s">
        <v>88</v>
      </c>
      <c r="W83" s="239">
        <v>2</v>
      </c>
      <c r="X83" s="204">
        <v>1</v>
      </c>
      <c r="Y83" s="204">
        <v>2</v>
      </c>
      <c r="Z83" s="204"/>
      <c r="AA83" s="241">
        <v>5748</v>
      </c>
      <c r="AB83" s="187">
        <v>1</v>
      </c>
      <c r="AC83" s="187">
        <v>2</v>
      </c>
      <c r="AD83" s="240">
        <f>IF(AND(BE83&gt;=2.71, BE83&lt;=2.86, AA83&gt;23700), 1, IF(AND(BE83&gt;=2.71, BE83&lt;=2.86, AA83&gt;=6000, AA83&lt;=23700), 1, IF(AND(BE83&gt;=2.71, BE83&lt;=2.86, AA83&lt;6000), 1, IF(AND(BE83&gt;=2.57, BE83&lt;=2.71, AA83&gt;23700), 2, IF(AND(BE83&gt;=2.57, BE83&lt;=2.71, AA83&gt;=6000, AA83&lt;=23700), 2, IF(AND(BE83&gt;=2.57, BE83&lt;=2.71, AA83&lt;6000), 1, IF(AND(BE83&gt;=1, BE83&lt;=2.57, AA83&gt;23700), 3, IF(AND(BE83&gt;=1, BE83&lt;=2.71, AA83&gt;=6000, AA83&lt;=23700), 3, IF(AND(BE83&gt;=1, BE83&lt;=2.71, AA83&lt;6000), 2, 0 ) ) ) ) ) ) ) ) )</f>
        <v>1</v>
      </c>
      <c r="AE83" s="187">
        <f t="shared" si="10"/>
        <v>0</v>
      </c>
      <c r="AF83" s="209">
        <v>1</v>
      </c>
      <c r="AG83" s="209">
        <v>1</v>
      </c>
      <c r="AH83" s="211">
        <v>0</v>
      </c>
      <c r="AI83" s="146">
        <v>6</v>
      </c>
      <c r="AJ83" s="146">
        <v>1</v>
      </c>
      <c r="AK83" s="146">
        <v>1</v>
      </c>
      <c r="AL83" s="146">
        <v>0</v>
      </c>
      <c r="AM83" s="92">
        <v>1</v>
      </c>
      <c r="AN83" s="226">
        <v>1</v>
      </c>
      <c r="AO83" s="226">
        <f t="shared" si="11"/>
        <v>0</v>
      </c>
      <c r="AP83" s="229">
        <v>2</v>
      </c>
      <c r="AQ83" s="187">
        <v>1</v>
      </c>
      <c r="AR83" s="187">
        <f t="shared" si="15"/>
        <v>0.3010299956639812</v>
      </c>
      <c r="AS83" s="205">
        <v>2</v>
      </c>
      <c r="AT83" s="54">
        <f>IF(AS83&lt;2.5,1,IF(AS83&gt;3.5,3,2))</f>
        <v>1</v>
      </c>
      <c r="AU83" s="187">
        <v>1</v>
      </c>
      <c r="AV83" s="187">
        <f t="shared" si="14"/>
        <v>0</v>
      </c>
      <c r="AW83" s="92" t="s">
        <v>99</v>
      </c>
      <c r="AX83" s="66" t="s">
        <v>92</v>
      </c>
      <c r="AY83" s="85">
        <v>3</v>
      </c>
      <c r="AZ83" s="246">
        <v>2</v>
      </c>
      <c r="BA83" s="206">
        <f t="shared" si="13"/>
        <v>0.95424250943932487</v>
      </c>
      <c r="BB83" s="206">
        <v>2</v>
      </c>
      <c r="BC83" s="206">
        <v>1</v>
      </c>
      <c r="BD83" s="206">
        <v>0.3010299956639812</v>
      </c>
      <c r="BE83" s="224">
        <v>2.5714285714285716</v>
      </c>
      <c r="BF83" s="187">
        <v>0.17292250008525414</v>
      </c>
      <c r="BG83" s="187">
        <v>1.4890953247181091</v>
      </c>
      <c r="BH83" s="187">
        <v>0.65029816703483612</v>
      </c>
    </row>
    <row r="84" spans="1:60" ht="16">
      <c r="A84" s="146">
        <v>82</v>
      </c>
      <c r="B84" s="99" t="s">
        <v>492</v>
      </c>
      <c r="C84" s="99" t="s">
        <v>336</v>
      </c>
      <c r="D84" t="s">
        <v>84</v>
      </c>
      <c r="E84" s="239">
        <v>3</v>
      </c>
      <c r="F84" s="187">
        <v>2</v>
      </c>
      <c r="G84" s="187">
        <v>6</v>
      </c>
      <c r="H84" s="139" t="s">
        <v>153</v>
      </c>
      <c r="I84" s="239">
        <v>2</v>
      </c>
      <c r="J84" s="187">
        <v>1</v>
      </c>
      <c r="K84" s="187">
        <v>2</v>
      </c>
      <c r="L84" s="139" t="s">
        <v>88</v>
      </c>
      <c r="M84" s="139">
        <v>3</v>
      </c>
      <c r="N84" s="139">
        <v>1</v>
      </c>
      <c r="O84" s="139">
        <v>3</v>
      </c>
      <c r="P84" s="139">
        <v>1</v>
      </c>
      <c r="Q84" s="187" t="s">
        <v>88</v>
      </c>
      <c r="R84" s="240">
        <v>2</v>
      </c>
      <c r="S84" s="187">
        <v>2</v>
      </c>
      <c r="T84" s="187">
        <v>4</v>
      </c>
      <c r="U84" s="252">
        <v>1</v>
      </c>
      <c r="V84" s="204" t="s">
        <v>88</v>
      </c>
      <c r="W84" s="239">
        <v>2</v>
      </c>
      <c r="X84" s="204">
        <v>1</v>
      </c>
      <c r="Y84" s="204">
        <v>2</v>
      </c>
      <c r="Z84" s="204"/>
      <c r="AA84" s="241">
        <v>5682</v>
      </c>
      <c r="AB84" s="187">
        <v>1</v>
      </c>
      <c r="AC84" s="187">
        <v>2</v>
      </c>
      <c r="AD84" s="240">
        <f>IF(AND(BE84&gt;=2.71, BE84&lt;=2.86, AA84&gt;23700), 1, IF(AND(BE84&gt;=2.71, BE84&lt;=2.86, AA84&gt;=6000, AA84&lt;=23700), 1, IF(AND(BE84&gt;=2.71, BE84&lt;=2.86, AA84&lt;6000), 1, IF(AND(BE84&gt;=2.57, BE84&lt;=2.71, AA84&gt;23700), 2, IF(AND(BE84&gt;=2.57, BE84&lt;=2.71, AA84&gt;=6000, AA84&lt;=23700), 2, IF(AND(BE84&gt;=2.57, BE84&lt;=2.71, AA84&lt;6000), 1, IF(AND(BE84&gt;=1, BE84&lt;=2.57, AA84&gt;23700), 3, IF(AND(BE84&gt;=1, BE84&lt;=2.71, AA84&gt;=6000, AA84&lt;=23700), 3, IF(AND(BE84&gt;=1, BE84&lt;=2.71, AA84&lt;6000), 2, 0 ) ) ) ) ) ) ) ) )</f>
        <v>2</v>
      </c>
      <c r="AE84" s="187">
        <f t="shared" si="10"/>
        <v>0.6020599913279624</v>
      </c>
      <c r="AF84" s="209">
        <v>2</v>
      </c>
      <c r="AG84" s="209">
        <v>1</v>
      </c>
      <c r="AH84" s="211">
        <v>0.3010299956639812</v>
      </c>
      <c r="AI84" s="146">
        <v>6</v>
      </c>
      <c r="AJ84" s="146">
        <v>1</v>
      </c>
      <c r="AK84" s="146">
        <v>1</v>
      </c>
      <c r="AL84" s="146">
        <v>0</v>
      </c>
      <c r="AM84" s="92">
        <v>1</v>
      </c>
      <c r="AN84" s="226">
        <v>1</v>
      </c>
      <c r="AO84" s="226">
        <f t="shared" si="11"/>
        <v>0</v>
      </c>
      <c r="AP84" s="229">
        <v>1</v>
      </c>
      <c r="AQ84" s="187">
        <v>1</v>
      </c>
      <c r="AR84" s="187">
        <f t="shared" si="15"/>
        <v>0</v>
      </c>
      <c r="AS84" s="205">
        <v>2.125</v>
      </c>
      <c r="AT84" s="54">
        <f>IF(AS84&lt;2.5,1,IF(AS84&gt;3.5,3,2))</f>
        <v>1</v>
      </c>
      <c r="AU84" s="187">
        <v>1</v>
      </c>
      <c r="AV84" s="187">
        <f t="shared" si="14"/>
        <v>0</v>
      </c>
      <c r="AW84" s="92" t="s">
        <v>99</v>
      </c>
      <c r="AX84" s="66" t="s">
        <v>92</v>
      </c>
      <c r="AY84" s="85">
        <v>3</v>
      </c>
      <c r="AZ84" s="246">
        <v>2</v>
      </c>
      <c r="BA84" s="206">
        <f t="shared" si="13"/>
        <v>0.95424250943932487</v>
      </c>
      <c r="BB84" s="206">
        <v>2</v>
      </c>
      <c r="BC84" s="206">
        <v>1</v>
      </c>
      <c r="BD84" s="206">
        <v>0.3010299956639812</v>
      </c>
      <c r="BE84" s="224">
        <v>2.4285714285714284</v>
      </c>
      <c r="BF84" s="187">
        <v>0.21583624920952499</v>
      </c>
      <c r="BG84" s="187">
        <v>1.643751829517226</v>
      </c>
      <c r="BH84" s="187">
        <v>0.86078280085726255</v>
      </c>
    </row>
    <row r="85" spans="1:60" ht="16">
      <c r="A85" s="146">
        <v>83</v>
      </c>
      <c r="B85" s="99" t="s">
        <v>498</v>
      </c>
      <c r="C85" s="99" t="s">
        <v>277</v>
      </c>
      <c r="D85" t="s">
        <v>84</v>
      </c>
      <c r="E85" s="239">
        <v>2</v>
      </c>
      <c r="F85" s="187">
        <v>2</v>
      </c>
      <c r="G85" s="187">
        <v>4</v>
      </c>
      <c r="H85" s="139" t="s">
        <v>328</v>
      </c>
      <c r="I85" s="239">
        <v>2</v>
      </c>
      <c r="J85" s="187">
        <v>1</v>
      </c>
      <c r="K85" s="187">
        <v>2</v>
      </c>
      <c r="L85" s="139" t="s">
        <v>88</v>
      </c>
      <c r="M85" s="139">
        <v>3</v>
      </c>
      <c r="N85" s="139">
        <v>1</v>
      </c>
      <c r="O85" s="139">
        <v>3</v>
      </c>
      <c r="P85" s="139">
        <v>1</v>
      </c>
      <c r="Q85" s="187" t="s">
        <v>88</v>
      </c>
      <c r="R85" s="240">
        <v>3</v>
      </c>
      <c r="S85" s="187">
        <v>2</v>
      </c>
      <c r="T85" s="187">
        <v>6</v>
      </c>
      <c r="U85" s="252">
        <v>132</v>
      </c>
      <c r="V85" s="204" t="s">
        <v>88</v>
      </c>
      <c r="W85" s="239">
        <v>1</v>
      </c>
      <c r="X85" s="204">
        <v>1</v>
      </c>
      <c r="Y85" s="204">
        <v>1</v>
      </c>
      <c r="Z85" s="204">
        <v>48</v>
      </c>
      <c r="AA85" s="241">
        <v>5677</v>
      </c>
      <c r="AB85" s="187">
        <v>1</v>
      </c>
      <c r="AC85" s="187">
        <v>2</v>
      </c>
      <c r="AD85" s="240">
        <f>IF(AND(BE85&gt;=2.71, BE85&lt;=2.86, AA85&gt;23700), 1, IF(AND(BE85&gt;=2.71, BE85&lt;=2.86, AA85&gt;=6000, AA85&lt;=23700), 1, IF(AND(BE85&gt;=2.71, BE85&lt;=2.86, AA85&lt;6000), 1, IF(AND(BE85&gt;=2.57, BE85&lt;=2.71, AA85&gt;23700), 2, IF(AND(BE85&gt;=2.57, BE85&lt;=2.71, AA85&gt;=6000, AA85&lt;=23700), 2, IF(AND(BE85&gt;=2.57, BE85&lt;=2.71, AA85&lt;6000), 1, IF(AND(BE85&gt;=1, BE85&lt;=2.57, AA85&gt;23700), 3, IF(AND(BE85&gt;=1, BE85&lt;=2.71, AA85&gt;=6000, AA85&lt;=23700), 3, IF(AND(BE85&gt;=1, BE85&lt;=2.71, AA85&lt;6000), 2, 0 ) ) ) ) ) ) ) ) )</f>
        <v>2</v>
      </c>
      <c r="AE85" s="187">
        <f t="shared" si="10"/>
        <v>0.6020599913279624</v>
      </c>
      <c r="AF85" s="209">
        <v>1</v>
      </c>
      <c r="AG85" s="209">
        <v>1</v>
      </c>
      <c r="AH85" s="211">
        <v>0</v>
      </c>
      <c r="AI85" s="146">
        <v>1</v>
      </c>
      <c r="AJ85" s="146">
        <v>3</v>
      </c>
      <c r="AK85" s="146">
        <v>1</v>
      </c>
      <c r="AL85" s="146">
        <v>0.47712125471966244</v>
      </c>
      <c r="AM85" s="92">
        <v>1</v>
      </c>
      <c r="AN85" s="226">
        <v>1</v>
      </c>
      <c r="AO85" s="226">
        <f t="shared" si="11"/>
        <v>0</v>
      </c>
      <c r="AP85" s="229">
        <v>1</v>
      </c>
      <c r="AQ85" s="187">
        <v>1</v>
      </c>
      <c r="AR85" s="187">
        <f t="shared" si="15"/>
        <v>0</v>
      </c>
      <c r="AS85" s="205">
        <v>1.75</v>
      </c>
      <c r="AT85" s="54">
        <f>IF(AS85&lt;2.5,1,IF(AS85&gt;3.5,3,2))</f>
        <v>1</v>
      </c>
      <c r="AU85" s="187">
        <v>1</v>
      </c>
      <c r="AV85" s="187">
        <f t="shared" si="14"/>
        <v>0</v>
      </c>
      <c r="AW85" s="92" t="s">
        <v>504</v>
      </c>
      <c r="AX85" s="66" t="s">
        <v>216</v>
      </c>
      <c r="AY85" s="85">
        <v>3</v>
      </c>
      <c r="AZ85" s="246">
        <v>2</v>
      </c>
      <c r="BA85" s="206">
        <f t="shared" si="13"/>
        <v>0.95424250943932487</v>
      </c>
      <c r="BB85" s="206">
        <v>2</v>
      </c>
      <c r="BC85" s="206">
        <v>1</v>
      </c>
      <c r="BD85" s="206">
        <v>0.3010299956639812</v>
      </c>
      <c r="BE85" s="224">
        <v>2.2857142857142856</v>
      </c>
      <c r="BF85" s="187">
        <v>0.23344537511509311</v>
      </c>
      <c r="BG85" s="187">
        <v>1.7117698594097053</v>
      </c>
      <c r="BH85" s="187">
        <v>1.0083751357489756</v>
      </c>
    </row>
    <row r="86" spans="1:60" ht="16">
      <c r="A86" s="146">
        <v>84</v>
      </c>
      <c r="B86" s="99" t="s">
        <v>505</v>
      </c>
      <c r="C86" s="99" t="s">
        <v>83</v>
      </c>
      <c r="D86" t="s">
        <v>84</v>
      </c>
      <c r="E86" s="239">
        <v>3</v>
      </c>
      <c r="F86" s="187">
        <v>2</v>
      </c>
      <c r="G86" s="187">
        <v>6</v>
      </c>
      <c r="H86" s="139" t="s">
        <v>103</v>
      </c>
      <c r="I86" s="239">
        <v>2</v>
      </c>
      <c r="J86" s="187">
        <v>1</v>
      </c>
      <c r="K86" s="187">
        <v>2</v>
      </c>
      <c r="L86" s="139" t="s">
        <v>88</v>
      </c>
      <c r="M86" s="139">
        <v>3</v>
      </c>
      <c r="N86" s="139">
        <v>1</v>
      </c>
      <c r="O86" s="139">
        <v>3</v>
      </c>
      <c r="P86" s="139">
        <v>1</v>
      </c>
      <c r="Q86" s="187" t="s">
        <v>115</v>
      </c>
      <c r="R86" s="240">
        <v>2</v>
      </c>
      <c r="S86" s="187">
        <v>2</v>
      </c>
      <c r="T86" s="187">
        <v>4</v>
      </c>
      <c r="U86" s="252" t="s">
        <v>398</v>
      </c>
      <c r="V86" s="204" t="s">
        <v>88</v>
      </c>
      <c r="W86" s="239">
        <v>2</v>
      </c>
      <c r="X86" s="204">
        <v>1</v>
      </c>
      <c r="Y86" s="204">
        <v>2</v>
      </c>
      <c r="Z86" s="204"/>
      <c r="AA86" s="241">
        <v>5658</v>
      </c>
      <c r="AB86" s="187">
        <v>1</v>
      </c>
      <c r="AC86" s="187">
        <v>2</v>
      </c>
      <c r="AD86" s="240">
        <f>IF(AND(BE86&gt;=2.71, BE86&lt;=2.86, AA86&gt;23700), 1, IF(AND(BE86&gt;=2.71, BE86&lt;=2.86, AA86&gt;=6000, AA86&lt;=23700), 1, IF(AND(BE86&gt;=2.71, BE86&lt;=2.86, AA86&lt;6000), 1, IF(AND(BE86&gt;=2.57, BE86&lt;=2.71, AA86&gt;23700), 2, IF(AND(BE86&gt;=2.57, BE86&lt;=2.71, AA86&gt;=6000, AA86&lt;=23700), 2, IF(AND(BE86&gt;=2.57, BE86&lt;=2.71, AA86&lt;6000), 1, IF(AND(BE86&gt;=1, BE86&lt;=2.57, AA86&gt;23700), 3, IF(AND(BE86&gt;=1, BE86&lt;=2.71, AA86&gt;=6000, AA86&lt;=23700), 3, IF(AND(BE86&gt;=1, BE86&lt;=2.71, AA86&lt;6000), 2, 0 ) ) ) ) ) ) ) ) )</f>
        <v>2</v>
      </c>
      <c r="AE86" s="187">
        <f t="shared" si="10"/>
        <v>0.6020599913279624</v>
      </c>
      <c r="AF86" s="209">
        <v>1</v>
      </c>
      <c r="AG86" s="209">
        <v>1</v>
      </c>
      <c r="AH86" s="211">
        <v>0</v>
      </c>
      <c r="AI86" s="146">
        <v>4</v>
      </c>
      <c r="AJ86" s="146">
        <v>2</v>
      </c>
      <c r="AK86" s="146">
        <v>1</v>
      </c>
      <c r="AL86" s="146">
        <v>0.3010299956639812</v>
      </c>
      <c r="AM86" s="92">
        <v>1</v>
      </c>
      <c r="AN86" s="226">
        <v>1</v>
      </c>
      <c r="AO86" s="226">
        <f t="shared" si="11"/>
        <v>0</v>
      </c>
      <c r="AP86" s="229">
        <v>2</v>
      </c>
      <c r="AQ86" s="187">
        <v>1</v>
      </c>
      <c r="AR86" s="187">
        <f t="shared" si="15"/>
        <v>0.3010299956639812</v>
      </c>
      <c r="AS86" s="205">
        <v>1</v>
      </c>
      <c r="AT86" s="54">
        <f>IF(AS86&lt;2.5,1,IF(AS86&gt;3.5,3,2))</f>
        <v>1</v>
      </c>
      <c r="AU86" s="187">
        <v>1</v>
      </c>
      <c r="AV86" s="187">
        <f t="shared" si="14"/>
        <v>0</v>
      </c>
      <c r="AW86" s="92" t="s">
        <v>507</v>
      </c>
      <c r="AX86" s="66" t="s">
        <v>92</v>
      </c>
      <c r="AY86" s="85">
        <v>3</v>
      </c>
      <c r="AZ86" s="246">
        <v>2</v>
      </c>
      <c r="BA86" s="206">
        <f t="shared" si="13"/>
        <v>0.95424250943932487</v>
      </c>
      <c r="BB86" s="206">
        <v>2</v>
      </c>
      <c r="BC86" s="206">
        <v>1</v>
      </c>
      <c r="BD86" s="206">
        <v>0.3010299956639812</v>
      </c>
      <c r="BE86" s="224">
        <v>2.4285714285714284</v>
      </c>
      <c r="BF86" s="187">
        <v>0.2459392487759231</v>
      </c>
      <c r="BG86" s="187">
        <v>1.7617295898720438</v>
      </c>
      <c r="BH86" s="187">
        <v>0.95224082055514203</v>
      </c>
    </row>
    <row r="87" spans="1:60" ht="16">
      <c r="A87" s="146">
        <v>85</v>
      </c>
      <c r="B87" s="99" t="s">
        <v>508</v>
      </c>
      <c r="C87" s="99" t="s">
        <v>83</v>
      </c>
      <c r="D87" t="s">
        <v>84</v>
      </c>
      <c r="E87" s="239">
        <v>3</v>
      </c>
      <c r="F87" s="187">
        <v>2</v>
      </c>
      <c r="G87" s="187">
        <v>6</v>
      </c>
      <c r="H87" s="139" t="s">
        <v>103</v>
      </c>
      <c r="I87" s="239">
        <v>3</v>
      </c>
      <c r="J87" s="187">
        <v>1</v>
      </c>
      <c r="K87" s="187">
        <v>3</v>
      </c>
      <c r="L87" s="139" t="s">
        <v>88</v>
      </c>
      <c r="M87" s="139">
        <v>3</v>
      </c>
      <c r="N87" s="139">
        <v>1</v>
      </c>
      <c r="O87" s="139">
        <v>3</v>
      </c>
      <c r="P87" s="139">
        <v>1</v>
      </c>
      <c r="Q87" s="187" t="s">
        <v>115</v>
      </c>
      <c r="R87" s="240">
        <v>2</v>
      </c>
      <c r="S87" s="187">
        <v>2</v>
      </c>
      <c r="T87" s="187">
        <v>4</v>
      </c>
      <c r="U87" s="204" t="s">
        <v>398</v>
      </c>
      <c r="V87" s="204" t="s">
        <v>88</v>
      </c>
      <c r="W87" s="239">
        <v>2</v>
      </c>
      <c r="X87" s="204">
        <v>1</v>
      </c>
      <c r="Y87" s="204">
        <v>2</v>
      </c>
      <c r="Z87" s="204"/>
      <c r="AA87" s="241">
        <v>5530</v>
      </c>
      <c r="AB87" s="187">
        <v>1</v>
      </c>
      <c r="AC87" s="187">
        <v>2</v>
      </c>
      <c r="AD87" s="240">
        <f>IF(AND(BE87&gt;=2.71, BE87&lt;=2.86, AA87&gt;23700), 1, IF(AND(BE87&gt;=2.71, BE87&lt;=2.86, AA87&gt;=6000, AA87&lt;=23700), 1, IF(AND(BE87&gt;=2.71, BE87&lt;=2.86, AA87&lt;6000), 1, IF(AND(BE87&gt;=2.57, BE87&lt;=2.71, AA87&gt;23700), 2, IF(AND(BE87&gt;=2.57, BE87&lt;=2.71, AA87&gt;=6000, AA87&lt;=23700), 2, IF(AND(BE87&gt;=2.57, BE87&lt;=2.71, AA87&lt;6000), 1, IF(AND(BE87&gt;=1, BE87&lt;=2.57, AA87&gt;23700), 3, IF(AND(BE87&gt;=1, BE87&lt;=2.71, AA87&gt;=6000, AA87&lt;=23700), 3, IF(AND(BE87&gt;=1, BE87&lt;=2.71, AA87&lt;6000), 2, 0 ) ) ) ) ) ) ) ) )</f>
        <v>1</v>
      </c>
      <c r="AE87" s="187">
        <f t="shared" si="10"/>
        <v>0</v>
      </c>
      <c r="AF87" s="209">
        <v>2</v>
      </c>
      <c r="AG87" s="209">
        <v>1</v>
      </c>
      <c r="AH87" s="211">
        <v>0.3010299956639812</v>
      </c>
      <c r="AI87" s="146">
        <v>6</v>
      </c>
      <c r="AJ87" s="146">
        <v>1</v>
      </c>
      <c r="AK87" s="146">
        <v>1</v>
      </c>
      <c r="AL87" s="146">
        <v>0</v>
      </c>
      <c r="AM87" s="92">
        <v>1</v>
      </c>
      <c r="AN87" s="226">
        <v>1</v>
      </c>
      <c r="AO87" s="226">
        <f t="shared" si="11"/>
        <v>0</v>
      </c>
      <c r="AP87" s="229">
        <v>2</v>
      </c>
      <c r="AQ87" s="187">
        <v>1</v>
      </c>
      <c r="AR87" s="187">
        <f t="shared" si="15"/>
        <v>0.3010299956639812</v>
      </c>
      <c r="AS87" s="205">
        <v>1.25</v>
      </c>
      <c r="AT87" s="54">
        <f>IF(AS87&lt;2.5,1,IF(AS87&gt;3.5,3,2))</f>
        <v>1</v>
      </c>
      <c r="AU87" s="187">
        <v>1</v>
      </c>
      <c r="AV87" s="187">
        <f t="shared" si="14"/>
        <v>0</v>
      </c>
      <c r="AW87" s="92" t="s">
        <v>99</v>
      </c>
      <c r="AX87" s="66" t="s">
        <v>92</v>
      </c>
      <c r="AY87" s="85">
        <v>3</v>
      </c>
      <c r="AZ87" s="246">
        <v>2</v>
      </c>
      <c r="BA87" s="206">
        <f t="shared" si="13"/>
        <v>0.95424250943932487</v>
      </c>
      <c r="BB87" s="206">
        <v>1</v>
      </c>
      <c r="BC87" s="206">
        <v>1</v>
      </c>
      <c r="BD87" s="206">
        <v>0</v>
      </c>
      <c r="BE87" s="224">
        <v>2.5714285714285716</v>
      </c>
      <c r="BF87" s="187">
        <v>0.17292250008525414</v>
      </c>
      <c r="BG87" s="187">
        <v>1.4890953247181091</v>
      </c>
      <c r="BH87" s="187">
        <v>0.65029816703483612</v>
      </c>
    </row>
    <row r="88" spans="1:60" ht="16">
      <c r="A88" s="146">
        <v>86</v>
      </c>
      <c r="B88" s="99" t="s">
        <v>511</v>
      </c>
      <c r="C88" s="99" t="s">
        <v>286</v>
      </c>
      <c r="D88" t="s">
        <v>84</v>
      </c>
      <c r="E88" s="239">
        <v>3</v>
      </c>
      <c r="F88" s="187">
        <v>2</v>
      </c>
      <c r="G88" s="187">
        <v>6</v>
      </c>
      <c r="H88" s="139" t="s">
        <v>153</v>
      </c>
      <c r="I88" s="239">
        <v>2</v>
      </c>
      <c r="J88" s="187">
        <v>1</v>
      </c>
      <c r="K88" s="187">
        <v>2</v>
      </c>
      <c r="L88" s="139" t="s">
        <v>88</v>
      </c>
      <c r="M88" s="139">
        <v>3</v>
      </c>
      <c r="N88" s="139">
        <v>1</v>
      </c>
      <c r="O88" s="139">
        <v>3</v>
      </c>
      <c r="P88" s="139">
        <v>1</v>
      </c>
      <c r="Q88" s="187" t="s">
        <v>115</v>
      </c>
      <c r="R88" s="240">
        <v>2</v>
      </c>
      <c r="S88" s="187">
        <v>2</v>
      </c>
      <c r="T88" s="187">
        <v>4</v>
      </c>
      <c r="U88" s="204">
        <v>101</v>
      </c>
      <c r="V88" s="204" t="s">
        <v>88</v>
      </c>
      <c r="W88" s="239">
        <v>1</v>
      </c>
      <c r="X88" s="204">
        <v>1</v>
      </c>
      <c r="Y88" s="204">
        <v>1</v>
      </c>
      <c r="Z88" s="204"/>
      <c r="AA88" s="241">
        <v>5395</v>
      </c>
      <c r="AB88" s="187">
        <v>1</v>
      </c>
      <c r="AC88" s="187">
        <v>2</v>
      </c>
      <c r="AD88" s="240">
        <f>IF(AND(BE88&gt;=2.71, BE88&lt;=2.86, AA88&gt;23700), 1, IF(AND(BE88&gt;=2.71, BE88&lt;=2.86, AA88&gt;=6000, AA88&lt;=23700), 1, IF(AND(BE88&gt;=2.71, BE88&lt;=2.86, AA88&lt;6000), 1, IF(AND(BE88&gt;=2.57, BE88&lt;=2.71, AA88&gt;23700), 2, IF(AND(BE88&gt;=2.57, BE88&lt;=2.71, AA88&gt;=6000, AA88&lt;=23700), 2, IF(AND(BE88&gt;=2.57, BE88&lt;=2.71, AA88&lt;6000), 1, IF(AND(BE88&gt;=1, BE88&lt;=2.57, AA88&gt;23700), 3, IF(AND(BE88&gt;=1, BE88&lt;=2.71, AA88&gt;=6000, AA88&lt;=23700), 3, IF(AND(BE88&gt;=1, BE88&lt;=2.71, AA88&lt;6000), 2, 0 ) ) ) ) ) ) ) ) )</f>
        <v>2</v>
      </c>
      <c r="AE88" s="187">
        <f t="shared" si="10"/>
        <v>0.6020599913279624</v>
      </c>
      <c r="AF88" s="209">
        <v>2</v>
      </c>
      <c r="AG88" s="209">
        <v>1</v>
      </c>
      <c r="AH88" s="211">
        <v>0.3010299956639812</v>
      </c>
      <c r="AI88" s="146">
        <v>6</v>
      </c>
      <c r="AJ88" s="146">
        <v>1</v>
      </c>
      <c r="AK88" s="146">
        <v>1</v>
      </c>
      <c r="AL88" s="146">
        <v>0</v>
      </c>
      <c r="AM88" s="92">
        <v>3</v>
      </c>
      <c r="AN88" s="226">
        <v>1</v>
      </c>
      <c r="AO88" s="226">
        <f t="shared" si="11"/>
        <v>0.47712125471966244</v>
      </c>
      <c r="AP88" s="229">
        <v>1</v>
      </c>
      <c r="AQ88" s="187">
        <v>1</v>
      </c>
      <c r="AR88" s="187">
        <f t="shared" si="15"/>
        <v>0</v>
      </c>
      <c r="AS88" s="205">
        <v>1.25</v>
      </c>
      <c r="AT88" s="54">
        <f>IF(AS88&lt;2.5,1,IF(AS88&gt;3.5,3,2))</f>
        <v>1</v>
      </c>
      <c r="AU88" s="187">
        <v>1</v>
      </c>
      <c r="AV88" s="187">
        <f t="shared" si="14"/>
        <v>0</v>
      </c>
      <c r="AW88" s="92" t="s">
        <v>99</v>
      </c>
      <c r="AX88" s="66" t="s">
        <v>92</v>
      </c>
      <c r="AY88" s="85">
        <v>3</v>
      </c>
      <c r="AZ88" s="246">
        <v>2</v>
      </c>
      <c r="BA88" s="206">
        <f t="shared" si="13"/>
        <v>0.95424250943932487</v>
      </c>
      <c r="BB88" s="206">
        <v>2</v>
      </c>
      <c r="BC88" s="206">
        <v>1</v>
      </c>
      <c r="BD88" s="206">
        <v>0.3010299956639812</v>
      </c>
      <c r="BE88" s="224">
        <v>2.2857142857142856</v>
      </c>
      <c r="BF88" s="187">
        <v>0.26354837468149117</v>
      </c>
      <c r="BG88" s="187">
        <v>1.8346295092848033</v>
      </c>
      <c r="BH88" s="187">
        <v>1.0985492703568851</v>
      </c>
    </row>
    <row r="89" spans="1:60" ht="16">
      <c r="A89" s="146">
        <v>87</v>
      </c>
      <c r="B89" s="99" t="s">
        <v>513</v>
      </c>
      <c r="C89" s="99" t="s">
        <v>83</v>
      </c>
      <c r="D89" t="s">
        <v>84</v>
      </c>
      <c r="E89" s="239">
        <v>3</v>
      </c>
      <c r="F89" s="187">
        <v>2</v>
      </c>
      <c r="G89" s="187">
        <v>6</v>
      </c>
      <c r="H89" s="139" t="s">
        <v>153</v>
      </c>
      <c r="I89" s="239">
        <v>3</v>
      </c>
      <c r="J89" s="187">
        <v>1</v>
      </c>
      <c r="K89" s="187">
        <v>3</v>
      </c>
      <c r="L89" s="139" t="s">
        <v>88</v>
      </c>
      <c r="M89" s="139">
        <v>3</v>
      </c>
      <c r="N89" s="139">
        <v>1</v>
      </c>
      <c r="O89" s="139">
        <v>3</v>
      </c>
      <c r="P89" s="139">
        <v>1</v>
      </c>
      <c r="Q89" s="187" t="s">
        <v>115</v>
      </c>
      <c r="R89" s="240">
        <v>2</v>
      </c>
      <c r="S89" s="187">
        <v>2</v>
      </c>
      <c r="T89" s="187">
        <v>4</v>
      </c>
      <c r="U89" s="252" t="s">
        <v>398</v>
      </c>
      <c r="V89" s="204" t="s">
        <v>88</v>
      </c>
      <c r="W89" s="239">
        <v>2</v>
      </c>
      <c r="X89" s="204">
        <v>1</v>
      </c>
      <c r="Y89" s="204">
        <v>2</v>
      </c>
      <c r="Z89" s="204"/>
      <c r="AA89" s="241">
        <v>5388</v>
      </c>
      <c r="AB89" s="187">
        <v>1</v>
      </c>
      <c r="AC89" s="187">
        <v>2</v>
      </c>
      <c r="AD89" s="240">
        <f>IF(AND(BE89&gt;=2.71, BE89&lt;=2.86, AA89&gt;23700), 1, IF(AND(BE89&gt;=2.71, BE89&lt;=2.86, AA89&gt;=6000, AA89&lt;=23700), 1, IF(AND(BE89&gt;=2.71, BE89&lt;=2.86, AA89&lt;6000), 1, IF(AND(BE89&gt;=2.57, BE89&lt;=2.71, AA89&gt;23700), 2, IF(AND(BE89&gt;=2.57, BE89&lt;=2.71, AA89&gt;=6000, AA89&lt;=23700), 2, IF(AND(BE89&gt;=2.57, BE89&lt;=2.71, AA89&lt;6000), 1, IF(AND(BE89&gt;=1, BE89&lt;=2.57, AA89&gt;23700), 3, IF(AND(BE89&gt;=1, BE89&lt;=2.71, AA89&gt;=6000, AA89&lt;=23700), 3, IF(AND(BE89&gt;=1, BE89&lt;=2.71, AA89&lt;6000), 2, 0 ) ) ) ) ) ) ) ) )</f>
        <v>1</v>
      </c>
      <c r="AE89" s="187">
        <f t="shared" si="10"/>
        <v>0</v>
      </c>
      <c r="AF89" s="209">
        <v>1</v>
      </c>
      <c r="AG89" s="209">
        <v>1</v>
      </c>
      <c r="AH89" s="211">
        <v>0</v>
      </c>
      <c r="AI89" s="146">
        <v>6</v>
      </c>
      <c r="AJ89" s="146">
        <v>1</v>
      </c>
      <c r="AK89" s="146">
        <v>1</v>
      </c>
      <c r="AL89" s="146">
        <v>0</v>
      </c>
      <c r="AM89" s="92">
        <v>1</v>
      </c>
      <c r="AN89" s="226">
        <v>1</v>
      </c>
      <c r="AO89" s="226">
        <f t="shared" si="11"/>
        <v>0</v>
      </c>
      <c r="AP89" s="229">
        <v>1</v>
      </c>
      <c r="AQ89" s="187">
        <v>1</v>
      </c>
      <c r="AR89" s="187">
        <f t="shared" si="15"/>
        <v>0</v>
      </c>
      <c r="AS89" s="205">
        <v>1.333</v>
      </c>
      <c r="AT89" s="54">
        <f>IF(AS89&lt;2.5,1,IF(AS89&gt;3.5,3,2))</f>
        <v>1</v>
      </c>
      <c r="AU89" s="187">
        <v>1</v>
      </c>
      <c r="AV89" s="187">
        <f t="shared" si="14"/>
        <v>0</v>
      </c>
      <c r="AW89" s="92" t="s">
        <v>381</v>
      </c>
      <c r="AX89" s="66" t="s">
        <v>92</v>
      </c>
      <c r="AY89" s="85">
        <v>3</v>
      </c>
      <c r="AZ89" s="246">
        <v>2</v>
      </c>
      <c r="BA89" s="206">
        <f t="shared" si="13"/>
        <v>0.95424250943932487</v>
      </c>
      <c r="BB89" s="206">
        <v>1</v>
      </c>
      <c r="BC89" s="206">
        <v>1</v>
      </c>
      <c r="BD89" s="206">
        <v>0</v>
      </c>
      <c r="BE89" s="224">
        <v>2.5714285714285716</v>
      </c>
      <c r="BF89" s="187">
        <v>0.10602694549325832</v>
      </c>
      <c r="BG89" s="187">
        <v>1.2765180070092417</v>
      </c>
      <c r="BH89" s="187">
        <v>0.51003497682817589</v>
      </c>
    </row>
    <row r="90" spans="1:60" ht="16">
      <c r="A90" s="146">
        <v>88</v>
      </c>
      <c r="B90" s="99" t="s">
        <v>515</v>
      </c>
      <c r="C90" s="99" t="s">
        <v>184</v>
      </c>
      <c r="D90" t="s">
        <v>84</v>
      </c>
      <c r="E90" s="239">
        <v>3</v>
      </c>
      <c r="F90" s="187">
        <v>2</v>
      </c>
      <c r="G90" s="187">
        <v>6</v>
      </c>
      <c r="H90" s="139">
        <v>1</v>
      </c>
      <c r="I90" s="239">
        <v>2</v>
      </c>
      <c r="J90" s="187">
        <v>1</v>
      </c>
      <c r="K90" s="187">
        <v>2</v>
      </c>
      <c r="L90" s="139" t="s">
        <v>146</v>
      </c>
      <c r="M90" s="139">
        <v>3</v>
      </c>
      <c r="N90" s="139">
        <v>1</v>
      </c>
      <c r="O90" s="139">
        <v>3</v>
      </c>
      <c r="P90" s="139">
        <v>1</v>
      </c>
      <c r="Q90" s="187" t="s">
        <v>88</v>
      </c>
      <c r="R90" s="240">
        <v>3</v>
      </c>
      <c r="S90" s="187">
        <v>2</v>
      </c>
      <c r="T90" s="187">
        <v>6</v>
      </c>
      <c r="U90" s="204">
        <v>99</v>
      </c>
      <c r="V90" s="204" t="s">
        <v>146</v>
      </c>
      <c r="W90" s="239">
        <v>1</v>
      </c>
      <c r="X90" s="204">
        <v>1</v>
      </c>
      <c r="Y90" s="204">
        <v>1</v>
      </c>
      <c r="Z90" s="204">
        <v>177</v>
      </c>
      <c r="AA90" s="241">
        <v>5308</v>
      </c>
      <c r="AB90" s="187">
        <v>1</v>
      </c>
      <c r="AC90" s="187">
        <v>2</v>
      </c>
      <c r="AD90" s="240">
        <f>IF(AND(BE90&gt;=2.71, BE90&lt;=2.86, AA90&gt;23700), 1, IF(AND(BE90&gt;=2.71, BE90&lt;=2.86, AA90&gt;=6000, AA90&lt;=23700), 1, IF(AND(BE90&gt;=2.71, BE90&lt;=2.86, AA90&lt;6000), 1, IF(AND(BE90&gt;=2.57, BE90&lt;=2.71, AA90&gt;23700), 2, IF(AND(BE90&gt;=2.57, BE90&lt;=2.71, AA90&gt;=6000, AA90&lt;=23700), 2, IF(AND(BE90&gt;=2.57, BE90&lt;=2.71, AA90&lt;6000), 1, IF(AND(BE90&gt;=1, BE90&lt;=2.57, AA90&gt;23700), 3, IF(AND(BE90&gt;=1, BE90&lt;=2.71, AA90&gt;=6000, AA90&lt;=23700), 3, IF(AND(BE90&gt;=1, BE90&lt;=2.71, AA90&lt;6000), 2, 0 ) ) ) ) ) ) ) ) )</f>
        <v>1</v>
      </c>
      <c r="AE90" s="187">
        <f t="shared" si="10"/>
        <v>0</v>
      </c>
      <c r="AF90" s="209">
        <v>2</v>
      </c>
      <c r="AG90" s="209">
        <v>1</v>
      </c>
      <c r="AH90" s="211">
        <v>0.3010299956639812</v>
      </c>
      <c r="AI90" s="146">
        <v>1</v>
      </c>
      <c r="AJ90" s="146">
        <v>3</v>
      </c>
      <c r="AK90" s="146">
        <v>1</v>
      </c>
      <c r="AL90" s="146">
        <v>0.47712125471966244</v>
      </c>
      <c r="AM90" s="92">
        <v>1</v>
      </c>
      <c r="AN90" s="226">
        <v>1</v>
      </c>
      <c r="AO90" s="226">
        <f t="shared" si="11"/>
        <v>0</v>
      </c>
      <c r="AP90" s="229">
        <v>2</v>
      </c>
      <c r="AQ90" s="187">
        <v>1</v>
      </c>
      <c r="AR90" s="187">
        <f t="shared" si="15"/>
        <v>0.3010299956639812</v>
      </c>
      <c r="AS90" s="205">
        <v>1.333</v>
      </c>
      <c r="AT90" s="54">
        <f>IF(AS90&lt;2.5,1,IF(AS90&gt;3.5,3,2))</f>
        <v>1</v>
      </c>
      <c r="AU90" s="187">
        <v>1</v>
      </c>
      <c r="AV90" s="187">
        <f t="shared" si="14"/>
        <v>0</v>
      </c>
      <c r="AW90" s="92" t="s">
        <v>91</v>
      </c>
      <c r="AX90" s="66" t="s">
        <v>92</v>
      </c>
      <c r="AY90" s="85">
        <v>3</v>
      </c>
      <c r="AZ90" s="246">
        <v>2</v>
      </c>
      <c r="BA90" s="206">
        <f t="shared" si="13"/>
        <v>0.95424250943932487</v>
      </c>
      <c r="BB90" s="206">
        <v>3</v>
      </c>
      <c r="BC90" s="206">
        <v>1</v>
      </c>
      <c r="BD90" s="206">
        <v>0.47712125471966244</v>
      </c>
      <c r="BE90" s="224">
        <v>2.5714285714285716</v>
      </c>
      <c r="BF90" s="187">
        <v>0.27894944557851248</v>
      </c>
      <c r="BG90" s="187">
        <v>1.9008569961559405</v>
      </c>
      <c r="BH90" s="187">
        <v>0.99760553171624866</v>
      </c>
    </row>
    <row r="91" spans="1:60" ht="16">
      <c r="A91" s="146">
        <v>89</v>
      </c>
      <c r="B91" s="99" t="s">
        <v>517</v>
      </c>
      <c r="C91" s="99" t="s">
        <v>318</v>
      </c>
      <c r="D91" t="s">
        <v>84</v>
      </c>
      <c r="E91" s="239">
        <v>3</v>
      </c>
      <c r="F91" s="187">
        <v>2</v>
      </c>
      <c r="G91" s="187">
        <v>6</v>
      </c>
      <c r="H91" s="139" t="s">
        <v>111</v>
      </c>
      <c r="I91" s="239">
        <v>1</v>
      </c>
      <c r="J91" s="187">
        <v>1</v>
      </c>
      <c r="K91" s="187">
        <v>1</v>
      </c>
      <c r="L91" s="139" t="s">
        <v>88</v>
      </c>
      <c r="M91" s="139">
        <v>3</v>
      </c>
      <c r="N91" s="139">
        <v>1</v>
      </c>
      <c r="O91" s="139">
        <v>3</v>
      </c>
      <c r="P91" s="139">
        <v>1</v>
      </c>
      <c r="Q91" s="187" t="s">
        <v>88</v>
      </c>
      <c r="R91" s="240">
        <v>2</v>
      </c>
      <c r="S91" s="187">
        <v>2</v>
      </c>
      <c r="T91" s="187">
        <v>4</v>
      </c>
      <c r="U91" s="252">
        <v>98</v>
      </c>
      <c r="V91" s="204" t="s">
        <v>146</v>
      </c>
      <c r="W91" s="239">
        <v>1</v>
      </c>
      <c r="X91" s="204">
        <v>1</v>
      </c>
      <c r="Y91" s="204">
        <v>1</v>
      </c>
      <c r="Z91" s="204">
        <v>94</v>
      </c>
      <c r="AA91" s="241">
        <v>5253</v>
      </c>
      <c r="AB91" s="187">
        <v>1</v>
      </c>
      <c r="AC91" s="187">
        <v>2</v>
      </c>
      <c r="AD91" s="240">
        <f>IF(AND(BE91&gt;=2.71, BE91&lt;=2.86, AA91&gt;23700), 1, IF(AND(BE91&gt;=2.71, BE91&lt;=2.86, AA91&gt;=6000, AA91&lt;=23700), 1, IF(AND(BE91&gt;=2.71, BE91&lt;=2.86, AA91&lt;6000), 1, IF(AND(BE91&gt;=2.57, BE91&lt;=2.71, AA91&gt;23700), 2, IF(AND(BE91&gt;=2.57, BE91&lt;=2.71, AA91&gt;=6000, AA91&lt;=23700), 2, IF(AND(BE91&gt;=2.57, BE91&lt;=2.71, AA91&lt;6000), 1, IF(AND(BE91&gt;=1, BE91&lt;=2.57, AA91&gt;23700), 3, IF(AND(BE91&gt;=1, BE91&lt;=2.71, AA91&gt;=6000, AA91&lt;=23700), 3, IF(AND(BE91&gt;=1, BE91&lt;=2.71, AA91&lt;6000), 2, 0 ) ) ) ) ) ) ) ) )</f>
        <v>2</v>
      </c>
      <c r="AE91" s="187">
        <f t="shared" si="10"/>
        <v>0.6020599913279624</v>
      </c>
      <c r="AF91" s="209">
        <v>2</v>
      </c>
      <c r="AG91" s="209">
        <v>1</v>
      </c>
      <c r="AH91" s="211">
        <v>0.3010299956639812</v>
      </c>
      <c r="AI91" s="146">
        <v>5</v>
      </c>
      <c r="AJ91" s="146">
        <v>1</v>
      </c>
      <c r="AK91" s="146">
        <v>1</v>
      </c>
      <c r="AL91" s="146">
        <v>0</v>
      </c>
      <c r="AM91" s="92">
        <v>1</v>
      </c>
      <c r="AN91" s="226">
        <v>1</v>
      </c>
      <c r="AO91" s="226">
        <f t="shared" si="11"/>
        <v>0</v>
      </c>
      <c r="AP91" s="229">
        <v>1</v>
      </c>
      <c r="AQ91" s="187">
        <v>1</v>
      </c>
      <c r="AR91" s="187">
        <f t="shared" si="15"/>
        <v>0</v>
      </c>
      <c r="AS91" s="205">
        <v>2.125</v>
      </c>
      <c r="AT91" s="54">
        <f>IF(AS91&lt;2.5,1,IF(AS91&gt;3.5,3,2))</f>
        <v>1</v>
      </c>
      <c r="AU91" s="187">
        <v>1</v>
      </c>
      <c r="AV91" s="187">
        <f t="shared" si="14"/>
        <v>0</v>
      </c>
      <c r="AW91" s="92" t="s">
        <v>99</v>
      </c>
      <c r="AX91" s="66" t="s">
        <v>92</v>
      </c>
      <c r="AY91" s="85">
        <v>3</v>
      </c>
      <c r="AZ91" s="246">
        <v>2</v>
      </c>
      <c r="BA91" s="206">
        <f t="shared" si="13"/>
        <v>0.95424250943932487</v>
      </c>
      <c r="BB91" s="206">
        <v>3</v>
      </c>
      <c r="BC91" s="206">
        <v>1</v>
      </c>
      <c r="BD91" s="206">
        <v>0.47712125471966244</v>
      </c>
      <c r="BE91" s="224">
        <v>2.1428571428571428</v>
      </c>
      <c r="BF91" s="187">
        <v>0.23344537511509311</v>
      </c>
      <c r="BG91" s="187">
        <v>1.7117698594097053</v>
      </c>
      <c r="BH91" s="187">
        <v>1.1141410190434298</v>
      </c>
    </row>
    <row r="92" spans="1:60" ht="16">
      <c r="A92" s="146">
        <v>90</v>
      </c>
      <c r="B92" s="99" t="s">
        <v>522</v>
      </c>
      <c r="C92" s="99" t="s">
        <v>277</v>
      </c>
      <c r="D92" t="s">
        <v>84</v>
      </c>
      <c r="E92" s="239">
        <v>3</v>
      </c>
      <c r="F92" s="187">
        <v>2</v>
      </c>
      <c r="G92" s="187">
        <v>6</v>
      </c>
      <c r="H92" s="139" t="s">
        <v>328</v>
      </c>
      <c r="I92" s="239">
        <v>2</v>
      </c>
      <c r="J92" s="187">
        <v>1</v>
      </c>
      <c r="K92" s="187">
        <v>2</v>
      </c>
      <c r="L92" s="139" t="s">
        <v>88</v>
      </c>
      <c r="M92" s="139">
        <v>3</v>
      </c>
      <c r="N92" s="139">
        <v>1</v>
      </c>
      <c r="O92" s="139">
        <v>3</v>
      </c>
      <c r="P92" s="139">
        <v>1</v>
      </c>
      <c r="Q92" s="187" t="s">
        <v>88</v>
      </c>
      <c r="R92" s="240">
        <v>3</v>
      </c>
      <c r="S92" s="187">
        <v>2</v>
      </c>
      <c r="T92" s="187">
        <v>6</v>
      </c>
      <c r="U92" s="204">
        <v>166</v>
      </c>
      <c r="V92" s="204" t="s">
        <v>115</v>
      </c>
      <c r="W92" s="239">
        <v>1</v>
      </c>
      <c r="X92" s="204">
        <v>1</v>
      </c>
      <c r="Y92" s="204">
        <v>1</v>
      </c>
      <c r="Z92" s="204">
        <v>71</v>
      </c>
      <c r="AA92" s="241">
        <v>4697</v>
      </c>
      <c r="AB92" s="187">
        <v>1</v>
      </c>
      <c r="AC92" s="187">
        <v>2</v>
      </c>
      <c r="AD92" s="240">
        <f>IF(AND(BE92&gt;=2.71, BE92&lt;=2.86, AA92&gt;23700), 1, IF(AND(BE92&gt;=2.71, BE92&lt;=2.86, AA92&gt;=6000, AA92&lt;=23700), 1, IF(AND(BE92&gt;=2.71, BE92&lt;=2.86, AA92&lt;6000), 1, IF(AND(BE92&gt;=2.57, BE92&lt;=2.71, AA92&gt;23700), 2, IF(AND(BE92&gt;=2.57, BE92&lt;=2.71, AA92&gt;=6000, AA92&lt;=23700), 2, IF(AND(BE92&gt;=2.57, BE92&lt;=2.71, AA92&lt;6000), 1, IF(AND(BE92&gt;=1, BE92&lt;=2.57, AA92&gt;23700), 3, IF(AND(BE92&gt;=1, BE92&lt;=2.71, AA92&gt;=6000, AA92&lt;=23700), 3, IF(AND(BE92&gt;=1, BE92&lt;=2.71, AA92&lt;6000), 2, 0 ) ) ) ) ) ) ) ) )</f>
        <v>1</v>
      </c>
      <c r="AE92" s="187">
        <f t="shared" si="10"/>
        <v>0</v>
      </c>
      <c r="AF92" s="209">
        <v>1</v>
      </c>
      <c r="AG92" s="209">
        <v>1</v>
      </c>
      <c r="AH92" s="211">
        <v>0</v>
      </c>
      <c r="AI92" s="146">
        <v>3</v>
      </c>
      <c r="AJ92" s="146">
        <v>2</v>
      </c>
      <c r="AK92" s="146">
        <v>1</v>
      </c>
      <c r="AL92" s="146">
        <v>0.3010299956639812</v>
      </c>
      <c r="AM92" s="92">
        <v>1</v>
      </c>
      <c r="AN92" s="226">
        <v>1</v>
      </c>
      <c r="AO92" s="226">
        <f t="shared" si="11"/>
        <v>0</v>
      </c>
      <c r="AP92" s="229">
        <v>2</v>
      </c>
      <c r="AQ92" s="187">
        <v>1</v>
      </c>
      <c r="AR92" s="187">
        <f>AQ92*LOG(AP92)</f>
        <v>0.3010299956639812</v>
      </c>
      <c r="AS92" s="205">
        <v>1.75</v>
      </c>
      <c r="AT92" s="54">
        <f>IF(AS92&lt;2.5,1,IF(AS92&gt;3.5,3,2))</f>
        <v>1</v>
      </c>
      <c r="AU92" s="187">
        <v>1</v>
      </c>
      <c r="AV92" s="187">
        <f t="shared" si="14"/>
        <v>0</v>
      </c>
      <c r="AW92" s="92" t="s">
        <v>504</v>
      </c>
      <c r="AX92" s="66" t="s">
        <v>216</v>
      </c>
      <c r="AY92" s="85">
        <v>3</v>
      </c>
      <c r="AZ92" s="246">
        <v>2</v>
      </c>
      <c r="BA92" s="206">
        <f t="shared" si="13"/>
        <v>0.95424250943932487</v>
      </c>
      <c r="BB92" s="206">
        <v>2</v>
      </c>
      <c r="BC92" s="206">
        <v>1</v>
      </c>
      <c r="BD92" s="206">
        <v>0.3010299956639812</v>
      </c>
      <c r="BE92" s="224">
        <v>2.5714285714285716</v>
      </c>
      <c r="BF92" s="187">
        <v>0.20637027738125205</v>
      </c>
      <c r="BG92" s="187">
        <v>1.6083119076007948</v>
      </c>
      <c r="BH92" s="187">
        <v>0.74412152657793262</v>
      </c>
    </row>
    <row r="93" spans="1:60" ht="16">
      <c r="A93" s="146">
        <v>91</v>
      </c>
      <c r="B93" s="99" t="s">
        <v>525</v>
      </c>
      <c r="C93" s="99" t="s">
        <v>184</v>
      </c>
      <c r="D93" t="s">
        <v>84</v>
      </c>
      <c r="E93" s="239">
        <v>3</v>
      </c>
      <c r="F93" s="187">
        <v>2</v>
      </c>
      <c r="G93" s="187">
        <v>6</v>
      </c>
      <c r="H93" s="139">
        <v>1</v>
      </c>
      <c r="I93" s="239">
        <v>2</v>
      </c>
      <c r="J93" s="187">
        <v>1</v>
      </c>
      <c r="K93" s="187">
        <v>2</v>
      </c>
      <c r="L93" s="139" t="s">
        <v>146</v>
      </c>
      <c r="M93" s="139">
        <v>3</v>
      </c>
      <c r="N93" s="139">
        <v>1</v>
      </c>
      <c r="O93" s="139">
        <v>3</v>
      </c>
      <c r="P93" s="139">
        <v>86</v>
      </c>
      <c r="Q93" s="187" t="s">
        <v>115</v>
      </c>
      <c r="R93" s="240">
        <v>3</v>
      </c>
      <c r="S93" s="187">
        <v>2</v>
      </c>
      <c r="T93" s="187">
        <v>6</v>
      </c>
      <c r="U93" s="204" t="s">
        <v>527</v>
      </c>
      <c r="V93" s="204" t="s">
        <v>146</v>
      </c>
      <c r="W93" s="239">
        <v>2</v>
      </c>
      <c r="X93" s="204">
        <v>1</v>
      </c>
      <c r="Y93" s="204">
        <v>2</v>
      </c>
      <c r="Z93" s="204">
        <v>176</v>
      </c>
      <c r="AA93" s="241">
        <v>4694</v>
      </c>
      <c r="AB93" s="187">
        <v>1</v>
      </c>
      <c r="AC93" s="187">
        <v>2</v>
      </c>
      <c r="AD93" s="240">
        <f>IF(AND(BE93&gt;=2.71, BE93&lt;=2.86, AA93&gt;23700), 1, IF(AND(BE93&gt;=2.71, BE93&lt;=2.86, AA93&gt;=6000, AA93&lt;=23700), 1, IF(AND(BE93&gt;=2.71, BE93&lt;=2.86, AA93&lt;6000), 1, IF(AND(BE93&gt;=2.57, BE93&lt;=2.71, AA93&gt;23700), 2, IF(AND(BE93&gt;=2.57, BE93&lt;=2.71, AA93&gt;=6000, AA93&lt;=23700), 2, IF(AND(BE93&gt;=2.57, BE93&lt;=2.71, AA93&lt;6000), 1, IF(AND(BE93&gt;=1, BE93&lt;=2.57, AA93&gt;23700), 3, IF(AND(BE93&gt;=1, BE93&lt;=2.71, AA93&gt;=6000, AA93&lt;=23700), 3, IF(AND(BE93&gt;=1, BE93&lt;=2.71, AA93&lt;6000), 2, 0 ) ) ) ) ) ) ) ) )</f>
        <v>1</v>
      </c>
      <c r="AE93" s="187">
        <f t="shared" si="10"/>
        <v>0</v>
      </c>
      <c r="AF93" s="209">
        <v>1</v>
      </c>
      <c r="AG93" s="209">
        <v>1</v>
      </c>
      <c r="AH93" s="211">
        <v>0</v>
      </c>
      <c r="AI93" s="146">
        <v>2</v>
      </c>
      <c r="AJ93" s="146">
        <v>3</v>
      </c>
      <c r="AK93" s="146">
        <v>1</v>
      </c>
      <c r="AL93" s="146">
        <v>0.47712125471966244</v>
      </c>
      <c r="AM93" s="92">
        <v>1</v>
      </c>
      <c r="AN93" s="226">
        <v>1</v>
      </c>
      <c r="AO93" s="226">
        <f t="shared" si="11"/>
        <v>0</v>
      </c>
      <c r="AP93" s="229">
        <v>1</v>
      </c>
      <c r="AQ93" s="187">
        <v>1</v>
      </c>
      <c r="AR93" s="187">
        <f t="shared" ref="AR93:AR105" si="16">AQ93*LOG(AP93)</f>
        <v>0</v>
      </c>
      <c r="AS93" s="205">
        <v>1.667</v>
      </c>
      <c r="AT93" s="54">
        <f>IF(AS93&lt;2.5,1,IF(AS93&gt;3.5,3,2))</f>
        <v>1</v>
      </c>
      <c r="AU93" s="187">
        <v>1</v>
      </c>
      <c r="AV93" s="187">
        <f t="shared" si="14"/>
        <v>0</v>
      </c>
      <c r="AW93" s="92" t="s">
        <v>91</v>
      </c>
      <c r="AX93" s="66" t="s">
        <v>106</v>
      </c>
      <c r="AY93" s="85">
        <v>3</v>
      </c>
      <c r="AZ93" s="246">
        <v>2</v>
      </c>
      <c r="BA93" s="206">
        <f t="shared" si="13"/>
        <v>0.95424250943932487</v>
      </c>
      <c r="BB93" s="206">
        <v>3</v>
      </c>
      <c r="BC93" s="206">
        <v>1</v>
      </c>
      <c r="BD93" s="206">
        <v>0.47712125471966244</v>
      </c>
      <c r="BE93" s="224">
        <v>2.7142857142857144</v>
      </c>
      <c r="BF93" s="187">
        <v>0.21205389098651664</v>
      </c>
      <c r="BG93" s="187">
        <v>1.6294982222188463</v>
      </c>
      <c r="BH93" s="187">
        <v>0.69130359816647302</v>
      </c>
    </row>
    <row r="94" spans="1:60" ht="16">
      <c r="A94" s="146">
        <v>92</v>
      </c>
      <c r="B94" s="99" t="s">
        <v>528</v>
      </c>
      <c r="C94" s="99" t="s">
        <v>83</v>
      </c>
      <c r="D94" t="s">
        <v>84</v>
      </c>
      <c r="E94" s="261">
        <v>3</v>
      </c>
      <c r="F94" s="262">
        <v>2</v>
      </c>
      <c r="G94" s="262">
        <f>E94*F94</f>
        <v>6</v>
      </c>
      <c r="H94" s="263">
        <v>1</v>
      </c>
      <c r="I94" s="261">
        <v>3</v>
      </c>
      <c r="J94" s="262">
        <v>1</v>
      </c>
      <c r="K94" s="262">
        <f>I94*J94</f>
        <v>3</v>
      </c>
      <c r="L94" s="78" t="s">
        <v>88</v>
      </c>
      <c r="M94" s="78">
        <v>3</v>
      </c>
      <c r="N94" s="78">
        <v>1</v>
      </c>
      <c r="O94" s="78">
        <f>M94*N94</f>
        <v>3</v>
      </c>
      <c r="P94" s="78">
        <v>1</v>
      </c>
      <c r="Q94" s="53" t="s">
        <v>146</v>
      </c>
      <c r="R94" s="54">
        <v>1</v>
      </c>
      <c r="S94" s="272">
        <v>2</v>
      </c>
      <c r="T94" s="272">
        <f>R94*S94</f>
        <v>2</v>
      </c>
      <c r="U94" s="277" t="s">
        <v>220</v>
      </c>
      <c r="V94" s="273" t="s">
        <v>88</v>
      </c>
      <c r="W94" s="261">
        <v>1</v>
      </c>
      <c r="X94" s="273">
        <v>1</v>
      </c>
      <c r="Y94" s="273">
        <f>W94*X94</f>
        <v>1</v>
      </c>
      <c r="Z94" s="42"/>
      <c r="AA94" s="241">
        <v>4581</v>
      </c>
      <c r="AB94" s="187">
        <v>1</v>
      </c>
      <c r="AC94" s="187">
        <v>2</v>
      </c>
      <c r="AD94" s="240">
        <f>IF(AND(BE94&gt;=2.71, BE94&lt;=2.86, AA94&gt;23700), 1, IF(AND(BE94&gt;=2.71, BE94&lt;=2.86, AA94&gt;=6000, AA94&lt;=23700), 1, IF(AND(BE94&gt;=2.71, BE94&lt;=2.86, AA94&lt;6000), 1, IF(AND(BE94&gt;=2.57, BE94&lt;=2.71, AA94&gt;23700), 2, IF(AND(BE94&gt;=2.57, BE94&lt;=2.71, AA94&gt;=6000, AA94&lt;=23700), 2, IF(AND(BE94&gt;=2.57, BE94&lt;=2.71, AA94&lt;6000), 1, IF(AND(BE94&gt;=1, BE94&lt;=2.57, AA94&gt;23700), 3, IF(AND(BE94&gt;=1, BE94&lt;=2.71, AA94&gt;=6000, AA94&lt;=23700), 3, IF(AND(BE94&gt;=1, BE94&lt;=2.71, AA94&lt;6000), 2, 0 ) ) ) ) ) ) ) ) )</f>
        <v>1</v>
      </c>
      <c r="AE94" s="187">
        <f t="shared" si="10"/>
        <v>0</v>
      </c>
      <c r="AF94" s="209">
        <v>1</v>
      </c>
      <c r="AG94" s="209">
        <v>1</v>
      </c>
      <c r="AH94" s="211">
        <v>0</v>
      </c>
      <c r="AI94" s="146">
        <v>3</v>
      </c>
      <c r="AJ94" s="146">
        <v>2</v>
      </c>
      <c r="AK94" s="146">
        <v>1</v>
      </c>
      <c r="AL94" s="146">
        <v>0.3010299956639812</v>
      </c>
      <c r="AM94" s="92">
        <v>1</v>
      </c>
      <c r="AN94" s="226">
        <v>1</v>
      </c>
      <c r="AO94" s="226">
        <f t="shared" si="11"/>
        <v>0</v>
      </c>
      <c r="AP94" s="229">
        <v>1</v>
      </c>
      <c r="AQ94" s="187">
        <v>1</v>
      </c>
      <c r="AR94" s="187">
        <f t="shared" si="16"/>
        <v>0</v>
      </c>
      <c r="AS94" s="205">
        <v>2</v>
      </c>
      <c r="AT94" s="54">
        <f>IF(AS94&lt;2.5,1,IF(AS94&gt;3.5,3,2))</f>
        <v>1</v>
      </c>
      <c r="AU94" s="187">
        <v>1</v>
      </c>
      <c r="AV94" s="187">
        <f>AU94*LOG(AT94)</f>
        <v>0</v>
      </c>
      <c r="AW94" s="92" t="s">
        <v>273</v>
      </c>
      <c r="AX94" s="66" t="s">
        <v>106</v>
      </c>
      <c r="AY94" s="67">
        <v>3</v>
      </c>
      <c r="AZ94" s="247">
        <v>2</v>
      </c>
      <c r="BA94" s="68">
        <f t="shared" si="13"/>
        <v>0.95424250943932487</v>
      </c>
      <c r="BB94" s="206">
        <v>2</v>
      </c>
      <c r="BC94" s="206">
        <v>1</v>
      </c>
      <c r="BD94" s="206">
        <v>0.3010299956639812</v>
      </c>
      <c r="BE94" s="224">
        <v>2.7142857142857144</v>
      </c>
      <c r="BF94" s="187">
        <v>0.17292250008525414</v>
      </c>
      <c r="BG94" s="187">
        <v>1.4890953247181091</v>
      </c>
      <c r="BH94" s="187">
        <v>0.56643348216921019</v>
      </c>
    </row>
    <row r="95" spans="1:60" ht="16">
      <c r="A95" s="146">
        <v>93</v>
      </c>
      <c r="B95" s="99" t="s">
        <v>533</v>
      </c>
      <c r="C95" s="99" t="s">
        <v>152</v>
      </c>
      <c r="D95" t="s">
        <v>84</v>
      </c>
      <c r="E95" s="261">
        <v>3</v>
      </c>
      <c r="F95" s="264">
        <v>2</v>
      </c>
      <c r="G95" s="264">
        <v>6</v>
      </c>
      <c r="H95" s="263" t="s">
        <v>111</v>
      </c>
      <c r="I95" s="261">
        <v>2</v>
      </c>
      <c r="J95" s="264">
        <v>1</v>
      </c>
      <c r="K95" s="264">
        <v>2</v>
      </c>
      <c r="L95" s="139" t="s">
        <v>88</v>
      </c>
      <c r="M95" s="139">
        <v>2</v>
      </c>
      <c r="N95" s="139">
        <v>1</v>
      </c>
      <c r="O95" s="139">
        <v>2</v>
      </c>
      <c r="P95" s="139">
        <v>1</v>
      </c>
      <c r="Q95" s="187" t="s">
        <v>146</v>
      </c>
      <c r="R95" s="54">
        <v>3</v>
      </c>
      <c r="S95" s="264">
        <v>2</v>
      </c>
      <c r="T95" s="264">
        <v>6</v>
      </c>
      <c r="U95" s="275" t="s">
        <v>347</v>
      </c>
      <c r="V95" s="275" t="s">
        <v>146</v>
      </c>
      <c r="W95" s="261">
        <v>2</v>
      </c>
      <c r="X95" s="275">
        <v>1</v>
      </c>
      <c r="Y95" s="275">
        <v>2</v>
      </c>
      <c r="Z95" s="244" t="s">
        <v>1633</v>
      </c>
      <c r="AA95" s="241">
        <v>4433</v>
      </c>
      <c r="AB95" s="187">
        <v>1</v>
      </c>
      <c r="AC95" s="187">
        <v>2</v>
      </c>
      <c r="AD95" s="240">
        <f>IF(AND(BE95&gt;=2.71, BE95&lt;=2.86, AA95&gt;23700), 1, IF(AND(BE95&gt;=2.71, BE95&lt;=2.86, AA95&gt;=6000, AA95&lt;=23700), 1, IF(AND(BE95&gt;=2.71, BE95&lt;=2.86, AA95&lt;6000), 1, IF(AND(BE95&gt;=2.57, BE95&lt;=2.71, AA95&gt;23700), 2, IF(AND(BE95&gt;=2.57, BE95&lt;=2.71, AA95&gt;=6000, AA95&lt;=23700), 2, IF(AND(BE95&gt;=2.57, BE95&lt;=2.71, AA95&lt;6000), 1, IF(AND(BE95&gt;=1, BE95&lt;=2.57, AA95&gt;23700), 3, IF(AND(BE95&gt;=1, BE95&lt;=2.71, AA95&gt;=6000, AA95&lt;=23700), 3, IF(AND(BE95&gt;=1, BE95&lt;=2.71, AA95&lt;6000), 2, 0 ) ) ) ) ) ) ) ) )</f>
        <v>1</v>
      </c>
      <c r="AE95" s="187">
        <f t="shared" si="10"/>
        <v>0</v>
      </c>
      <c r="AF95" s="209">
        <v>1</v>
      </c>
      <c r="AG95" s="209">
        <v>1</v>
      </c>
      <c r="AH95" s="211">
        <v>0</v>
      </c>
      <c r="AI95" s="146">
        <v>2</v>
      </c>
      <c r="AJ95" s="146">
        <v>3</v>
      </c>
      <c r="AK95" s="146">
        <v>1</v>
      </c>
      <c r="AL95" s="146">
        <v>0.47712125471966244</v>
      </c>
      <c r="AM95" s="92">
        <v>1</v>
      </c>
      <c r="AN95" s="226">
        <v>1</v>
      </c>
      <c r="AO95" s="226">
        <f t="shared" si="11"/>
        <v>0</v>
      </c>
      <c r="AP95" s="229">
        <v>1</v>
      </c>
      <c r="AQ95" s="187">
        <v>1</v>
      </c>
      <c r="AR95" s="187">
        <f t="shared" si="16"/>
        <v>0</v>
      </c>
      <c r="AS95" s="205">
        <v>1.875</v>
      </c>
      <c r="AT95" s="54">
        <f>IF(AS95&lt;2.5,1,IF(AS95&gt;3.5,3,2))</f>
        <v>1</v>
      </c>
      <c r="AU95" s="187">
        <v>1</v>
      </c>
      <c r="AV95" s="187">
        <f t="shared" ref="AV95:AV105" si="17">AU95*LOG(AT95)</f>
        <v>0</v>
      </c>
      <c r="AW95" s="92" t="s">
        <v>99</v>
      </c>
      <c r="AX95" s="66" t="s">
        <v>92</v>
      </c>
      <c r="AY95" s="85">
        <v>3</v>
      </c>
      <c r="AZ95" s="246">
        <v>2</v>
      </c>
      <c r="BA95" s="206">
        <f t="shared" si="13"/>
        <v>0.95424250943932487</v>
      </c>
      <c r="BB95" s="206">
        <v>3</v>
      </c>
      <c r="BC95" s="206">
        <v>1</v>
      </c>
      <c r="BD95" s="206">
        <v>0.47712125471966244</v>
      </c>
      <c r="BE95" s="224">
        <v>2.5714285714285716</v>
      </c>
      <c r="BF95" s="187">
        <v>0.21205389098651664</v>
      </c>
      <c r="BG95" s="187">
        <v>1.6294982222188463</v>
      </c>
      <c r="BH95" s="187">
        <v>0.76153889011950204</v>
      </c>
    </row>
    <row r="96" spans="1:60" ht="16">
      <c r="A96" s="146">
        <v>94</v>
      </c>
      <c r="B96" s="99" t="s">
        <v>535</v>
      </c>
      <c r="C96" s="38" t="s">
        <v>286</v>
      </c>
      <c r="D96" s="187" t="s">
        <v>84</v>
      </c>
      <c r="E96" s="261">
        <v>3</v>
      </c>
      <c r="F96" s="262">
        <v>2</v>
      </c>
      <c r="G96" s="262">
        <f>E96*F96</f>
        <v>6</v>
      </c>
      <c r="H96" s="263" t="s">
        <v>85</v>
      </c>
      <c r="I96" s="261">
        <v>1</v>
      </c>
      <c r="J96" s="262">
        <v>1</v>
      </c>
      <c r="K96" s="262">
        <f>I96*J96</f>
        <v>1</v>
      </c>
      <c r="L96" s="78" t="s">
        <v>88</v>
      </c>
      <c r="M96" s="78">
        <v>3</v>
      </c>
      <c r="N96" s="78">
        <v>1</v>
      </c>
      <c r="O96" s="78">
        <f>M96*N96</f>
        <v>3</v>
      </c>
      <c r="P96" s="78">
        <v>1</v>
      </c>
      <c r="Q96" s="53" t="s">
        <v>115</v>
      </c>
      <c r="R96" s="54">
        <v>1</v>
      </c>
      <c r="S96" s="272">
        <v>2</v>
      </c>
      <c r="T96" s="272">
        <f>R96*S96</f>
        <v>2</v>
      </c>
      <c r="U96" s="274">
        <v>101</v>
      </c>
      <c r="V96" s="273" t="s">
        <v>88</v>
      </c>
      <c r="W96" s="261">
        <v>1</v>
      </c>
      <c r="X96" s="273">
        <v>1</v>
      </c>
      <c r="Y96" s="273">
        <f>W96*X96</f>
        <v>1</v>
      </c>
      <c r="Z96" s="42"/>
      <c r="AA96" s="236">
        <v>4431</v>
      </c>
      <c r="AB96" s="187">
        <v>1</v>
      </c>
      <c r="AC96" s="187">
        <v>2</v>
      </c>
      <c r="AD96" s="240">
        <f>IF(AND(BE96&gt;=2.71, BE96&lt;=2.86, AA96&gt;23700), 1, IF(AND(BE96&gt;=2.71, BE96&lt;=2.86, AA96&gt;=6000, AA96&lt;=23700), 1, IF(AND(BE96&gt;=2.71, BE96&lt;=2.86, AA96&lt;6000), 1, IF(AND(BE96&gt;=2.57, BE96&lt;=2.71, AA96&gt;23700), 2, IF(AND(BE96&gt;=2.57, BE96&lt;=2.71, AA96&gt;=6000, AA96&lt;=23700), 2, IF(AND(BE96&gt;=2.57, BE96&lt;=2.71, AA96&lt;6000), 1, IF(AND(BE96&gt;=1, BE96&lt;=2.57, AA96&gt;23700), 3, IF(AND(BE96&gt;=1, BE96&lt;=2.71, AA96&gt;=6000, AA96&lt;=23700), 3, IF(AND(BE96&gt;=1, BE96&lt;=2.71, AA96&lt;6000), 2, 0 ) ) ) ) ) ) ) ) )</f>
        <v>2</v>
      </c>
      <c r="AE96" s="187">
        <f t="shared" si="10"/>
        <v>0.6020599913279624</v>
      </c>
      <c r="AF96" s="209">
        <v>1</v>
      </c>
      <c r="AG96" s="209">
        <v>1</v>
      </c>
      <c r="AH96" s="211">
        <v>0</v>
      </c>
      <c r="AI96" s="146">
        <v>6</v>
      </c>
      <c r="AJ96" s="146">
        <v>1</v>
      </c>
      <c r="AK96" s="146">
        <v>1</v>
      </c>
      <c r="AL96" s="146">
        <v>0</v>
      </c>
      <c r="AM96" s="92">
        <v>3</v>
      </c>
      <c r="AN96" s="226">
        <v>1</v>
      </c>
      <c r="AO96" s="226">
        <f t="shared" si="11"/>
        <v>0.47712125471966244</v>
      </c>
      <c r="AP96" s="229">
        <v>1</v>
      </c>
      <c r="AQ96" s="187">
        <v>1</v>
      </c>
      <c r="AR96" s="187">
        <f t="shared" si="16"/>
        <v>0</v>
      </c>
      <c r="AS96" s="64">
        <v>1.6666666670000001</v>
      </c>
      <c r="AT96" s="54">
        <f>IF(AS96&lt;2.5,1,IF(AS96&gt;3.5,3,2))</f>
        <v>1</v>
      </c>
      <c r="AU96" s="45">
        <v>1</v>
      </c>
      <c r="AV96" s="187">
        <f t="shared" si="17"/>
        <v>0</v>
      </c>
      <c r="AW96" s="61" t="s">
        <v>91</v>
      </c>
      <c r="AX96" s="66" t="s">
        <v>92</v>
      </c>
      <c r="AY96" s="67">
        <v>3</v>
      </c>
      <c r="AZ96" s="247">
        <v>2</v>
      </c>
      <c r="BA96" s="206">
        <f t="shared" si="13"/>
        <v>0.95424250943932487</v>
      </c>
      <c r="BB96" s="206">
        <v>2</v>
      </c>
      <c r="BC96" s="206">
        <v>1</v>
      </c>
      <c r="BD96" s="206">
        <v>0.3010299956639812</v>
      </c>
      <c r="BE96" s="224">
        <v>2.1428571428571428</v>
      </c>
      <c r="BF96" s="187">
        <v>0.23344537511509311</v>
      </c>
      <c r="BG96" s="187">
        <v>1.7117698594097053</v>
      </c>
      <c r="BH96" s="187">
        <v>1.1141410190434298</v>
      </c>
    </row>
    <row r="97" spans="1:63" ht="16">
      <c r="A97" s="146">
        <v>95</v>
      </c>
      <c r="B97" s="99" t="s">
        <v>538</v>
      </c>
      <c r="C97" s="38" t="s">
        <v>152</v>
      </c>
      <c r="D97" s="187" t="s">
        <v>84</v>
      </c>
      <c r="E97" s="261">
        <v>3</v>
      </c>
      <c r="F97" s="262">
        <v>2</v>
      </c>
      <c r="G97" s="262">
        <f>E97*F97</f>
        <v>6</v>
      </c>
      <c r="H97" s="263">
        <v>1</v>
      </c>
      <c r="I97" s="261">
        <v>2</v>
      </c>
      <c r="J97" s="262">
        <v>1</v>
      </c>
      <c r="K97" s="262">
        <f>I97*J97</f>
        <v>2</v>
      </c>
      <c r="L97" s="78" t="s">
        <v>88</v>
      </c>
      <c r="M97" s="78">
        <v>2</v>
      </c>
      <c r="N97" s="78">
        <v>1</v>
      </c>
      <c r="O97" s="78">
        <f>M97*N97</f>
        <v>2</v>
      </c>
      <c r="P97" s="78">
        <v>1</v>
      </c>
      <c r="Q97" s="53" t="s">
        <v>146</v>
      </c>
      <c r="R97" s="54">
        <v>1</v>
      </c>
      <c r="S97" s="272">
        <v>2</v>
      </c>
      <c r="T97" s="272">
        <f>R97*S97</f>
        <v>2</v>
      </c>
      <c r="U97" s="277" t="s">
        <v>347</v>
      </c>
      <c r="V97" s="273" t="s">
        <v>115</v>
      </c>
      <c r="W97" s="261">
        <v>2</v>
      </c>
      <c r="X97" s="273">
        <v>1</v>
      </c>
      <c r="Y97" s="273">
        <f>W97*X97</f>
        <v>2</v>
      </c>
      <c r="Z97" s="204">
        <v>48</v>
      </c>
      <c r="AA97" s="236">
        <v>4405</v>
      </c>
      <c r="AB97" s="187">
        <v>1</v>
      </c>
      <c r="AC97" s="187">
        <v>2</v>
      </c>
      <c r="AD97" s="240">
        <f>IF(AND(BE97&gt;=2.71, BE97&lt;=2.86, AA97&gt;23700), 1, IF(AND(BE97&gt;=2.71, BE97&lt;=2.86, AA97&gt;=6000, AA97&lt;=23700), 1, IF(AND(BE97&gt;=2.71, BE97&lt;=2.86, AA97&lt;6000), 1, IF(AND(BE97&gt;=2.57, BE97&lt;=2.71, AA97&gt;23700), 2, IF(AND(BE97&gt;=2.57, BE97&lt;=2.71, AA97&gt;=6000, AA97&lt;=23700), 2, IF(AND(BE97&gt;=2.57, BE97&lt;=2.71, AA97&lt;6000), 1, IF(AND(BE97&gt;=1, BE97&lt;=2.57, AA97&gt;23700), 3, IF(AND(BE97&gt;=1, BE97&lt;=2.71, AA97&gt;=6000, AA97&lt;=23700), 3, IF(AND(BE97&gt;=1, BE97&lt;=2.71, AA97&lt;6000), 2, 0 ) ) ) ) ) ) ) ) )</f>
        <v>1</v>
      </c>
      <c r="AE97" s="187">
        <f t="shared" si="10"/>
        <v>0</v>
      </c>
      <c r="AF97" s="209">
        <v>2</v>
      </c>
      <c r="AG97" s="209">
        <v>1</v>
      </c>
      <c r="AH97" s="211">
        <v>0.3010299956639812</v>
      </c>
      <c r="AI97" s="146">
        <v>3</v>
      </c>
      <c r="AJ97" s="146">
        <v>2</v>
      </c>
      <c r="AK97" s="146">
        <v>1</v>
      </c>
      <c r="AL97" s="146">
        <v>0.3010299956639812</v>
      </c>
      <c r="AM97" s="61">
        <v>1</v>
      </c>
      <c r="AN97" s="227">
        <v>1</v>
      </c>
      <c r="AO97" s="226">
        <f t="shared" si="11"/>
        <v>0</v>
      </c>
      <c r="AP97" s="282">
        <v>1</v>
      </c>
      <c r="AQ97" s="262">
        <v>1</v>
      </c>
      <c r="AR97" s="264">
        <f t="shared" si="16"/>
        <v>0</v>
      </c>
      <c r="AS97" s="64">
        <v>1.3333333329999999</v>
      </c>
      <c r="AT97" s="54">
        <f>IF(AS97&lt;2.5,1,IF(AS97&gt;3.5,3,2))</f>
        <v>1</v>
      </c>
      <c r="AU97" s="45">
        <v>1</v>
      </c>
      <c r="AV97" s="187">
        <f t="shared" si="17"/>
        <v>0</v>
      </c>
      <c r="AW97" s="61" t="s">
        <v>91</v>
      </c>
      <c r="AX97" s="66" t="s">
        <v>137</v>
      </c>
      <c r="AY97" s="67">
        <v>2</v>
      </c>
      <c r="AZ97" s="247">
        <v>2</v>
      </c>
      <c r="BA97" s="206">
        <f t="shared" si="13"/>
        <v>0.6020599913279624</v>
      </c>
      <c r="BB97" s="206">
        <v>2</v>
      </c>
      <c r="BC97" s="206">
        <v>1</v>
      </c>
      <c r="BD97" s="206">
        <v>0.3010299956639812</v>
      </c>
      <c r="BE97" s="224">
        <v>2.5714285714285716</v>
      </c>
      <c r="BF97" s="187">
        <v>0.16723888647998955</v>
      </c>
      <c r="BG97" s="187">
        <v>1.4697344922755988</v>
      </c>
      <c r="BH97" s="187">
        <v>0.63586473610444028</v>
      </c>
    </row>
    <row r="98" spans="1:63" ht="16">
      <c r="A98" s="146">
        <v>96</v>
      </c>
      <c r="B98" s="38" t="s">
        <v>541</v>
      </c>
      <c r="C98" s="38" t="s">
        <v>83</v>
      </c>
      <c r="D98" s="187" t="s">
        <v>84</v>
      </c>
      <c r="E98" s="261">
        <v>3</v>
      </c>
      <c r="F98" s="262">
        <v>2</v>
      </c>
      <c r="G98" s="262">
        <f>E98*F98</f>
        <v>6</v>
      </c>
      <c r="H98" s="263" t="s">
        <v>153</v>
      </c>
      <c r="I98" s="261">
        <v>3</v>
      </c>
      <c r="J98" s="262">
        <v>1</v>
      </c>
      <c r="K98" s="262">
        <f>I98*J98</f>
        <v>3</v>
      </c>
      <c r="L98" s="78" t="s">
        <v>88</v>
      </c>
      <c r="M98" s="78">
        <v>3</v>
      </c>
      <c r="N98" s="78">
        <v>1</v>
      </c>
      <c r="O98" s="78">
        <f>M98*N98</f>
        <v>3</v>
      </c>
      <c r="P98" s="78">
        <v>1</v>
      </c>
      <c r="Q98" s="53" t="s">
        <v>115</v>
      </c>
      <c r="R98" s="54">
        <v>1</v>
      </c>
      <c r="S98" s="272">
        <v>2</v>
      </c>
      <c r="T98" s="272">
        <f>R98*S98</f>
        <v>2</v>
      </c>
      <c r="U98" s="277" t="s">
        <v>442</v>
      </c>
      <c r="V98" s="273" t="s">
        <v>88</v>
      </c>
      <c r="W98" s="261">
        <v>2</v>
      </c>
      <c r="X98" s="273">
        <v>1</v>
      </c>
      <c r="Y98" s="273">
        <f>W98*X98</f>
        <v>2</v>
      </c>
      <c r="Z98" s="42"/>
      <c r="AA98" s="236">
        <v>4399</v>
      </c>
      <c r="AB98" s="187">
        <v>1</v>
      </c>
      <c r="AC98" s="45">
        <v>2</v>
      </c>
      <c r="AD98" s="240">
        <f>IF(AND(BE98&gt;=2.71, BE98&lt;=2.86, AA98&gt;23700), 1, IF(AND(BE98&gt;=2.71, BE98&lt;=2.86, AA98&gt;=6000, AA98&lt;=23700), 1, IF(AND(BE98&gt;=2.71, BE98&lt;=2.86, AA98&lt;6000), 1, IF(AND(BE98&gt;=2.57, BE98&lt;=2.71, AA98&gt;23700), 2, IF(AND(BE98&gt;=2.57, BE98&lt;=2.71, AA98&gt;=6000, AA98&lt;=23700), 2, IF(AND(BE98&gt;=2.57, BE98&lt;=2.71, AA98&lt;6000), 1, IF(AND(BE98&gt;=1, BE98&lt;=2.57, AA98&gt;23700), 3, IF(AND(BE98&gt;=1, BE98&lt;=2.71, AA98&gt;=6000, AA98&lt;=23700), 3, IF(AND(BE98&gt;=1, BE98&lt;=2.71, AA98&lt;6000), 2, 0 ) ) ) ) ) ) ) ) )</f>
        <v>1</v>
      </c>
      <c r="AE98" s="187">
        <f t="shared" ref="AE98:AE105" si="18">AC98*LOG(AD98)</f>
        <v>0</v>
      </c>
      <c r="AF98" s="209">
        <v>3</v>
      </c>
      <c r="AG98" s="209">
        <v>1</v>
      </c>
      <c r="AH98" s="211">
        <v>0.47712125471966244</v>
      </c>
      <c r="AI98" s="146">
        <v>4</v>
      </c>
      <c r="AJ98" s="146">
        <v>2</v>
      </c>
      <c r="AK98" s="146">
        <v>1</v>
      </c>
      <c r="AL98" s="146">
        <v>0.3010299956639812</v>
      </c>
      <c r="AM98" s="61">
        <v>1</v>
      </c>
      <c r="AN98" s="227">
        <v>1</v>
      </c>
      <c r="AO98" s="226">
        <f t="shared" ref="AO98:AO102" si="19">AN98*LOG(AM98)</f>
        <v>0</v>
      </c>
      <c r="AP98" s="282">
        <v>1</v>
      </c>
      <c r="AQ98" s="262">
        <v>1</v>
      </c>
      <c r="AR98" s="264">
        <f t="shared" si="16"/>
        <v>0</v>
      </c>
      <c r="AS98" s="64">
        <v>2.3333333330000001</v>
      </c>
      <c r="AT98" s="54">
        <f>IF(AS98&lt;2.5,1,IF(AS98&gt;3.5,3,2))</f>
        <v>1</v>
      </c>
      <c r="AU98" s="45">
        <v>1</v>
      </c>
      <c r="AV98" s="187">
        <f t="shared" si="17"/>
        <v>0</v>
      </c>
      <c r="AW98" s="61" t="s">
        <v>381</v>
      </c>
      <c r="AX98" s="66" t="s">
        <v>106</v>
      </c>
      <c r="AY98" s="67">
        <v>3</v>
      </c>
      <c r="AZ98" s="247">
        <v>2</v>
      </c>
      <c r="BA98" s="206">
        <f t="shared" ref="BA98:BA104" si="20">AZ98*LOG(AY98)</f>
        <v>0.95424250943932487</v>
      </c>
      <c r="BB98" s="206">
        <v>2</v>
      </c>
      <c r="BC98" s="206">
        <v>1</v>
      </c>
      <c r="BD98" s="206">
        <v>0.3010299956639812</v>
      </c>
      <c r="BE98" s="224">
        <v>2.8571428571428572</v>
      </c>
      <c r="BF98" s="187">
        <v>0.22593597283188332</v>
      </c>
      <c r="BG98" s="187">
        <v>1.682426006079768</v>
      </c>
      <c r="BH98" s="187">
        <v>0.69721834244323322</v>
      </c>
    </row>
    <row r="99" spans="1:63" ht="16">
      <c r="A99" s="146">
        <v>97</v>
      </c>
      <c r="B99" s="38" t="s">
        <v>545</v>
      </c>
      <c r="C99" s="99" t="s">
        <v>141</v>
      </c>
      <c r="D99" s="187" t="s">
        <v>84</v>
      </c>
      <c r="E99" s="261">
        <v>3</v>
      </c>
      <c r="F99" s="264">
        <v>2</v>
      </c>
      <c r="G99" s="264">
        <v>6</v>
      </c>
      <c r="H99" s="263">
        <v>1</v>
      </c>
      <c r="I99" s="261">
        <v>1</v>
      </c>
      <c r="J99" s="264">
        <v>1</v>
      </c>
      <c r="K99" s="264">
        <v>1</v>
      </c>
      <c r="L99" s="139" t="s">
        <v>88</v>
      </c>
      <c r="M99" s="139">
        <v>3</v>
      </c>
      <c r="N99" s="139">
        <v>1</v>
      </c>
      <c r="O99" s="139">
        <v>3</v>
      </c>
      <c r="P99" s="139">
        <v>1</v>
      </c>
      <c r="Q99" s="187" t="s">
        <v>146</v>
      </c>
      <c r="R99" s="54">
        <v>2</v>
      </c>
      <c r="S99" s="264">
        <v>2</v>
      </c>
      <c r="T99" s="264">
        <v>4</v>
      </c>
      <c r="U99" s="278" t="s">
        <v>147</v>
      </c>
      <c r="V99" s="275" t="s">
        <v>88</v>
      </c>
      <c r="W99" s="261">
        <v>2</v>
      </c>
      <c r="X99" s="275">
        <v>1</v>
      </c>
      <c r="Y99" s="275">
        <v>2</v>
      </c>
      <c r="Z99" s="204"/>
      <c r="AA99" s="236">
        <v>4399</v>
      </c>
      <c r="AB99" s="187">
        <v>1</v>
      </c>
      <c r="AC99" s="187">
        <v>2</v>
      </c>
      <c r="AD99" s="240">
        <f>IF(AND(BE99&gt;=2.71, BE99&lt;=2.86, AA99&gt;23700), 1, IF(AND(BE99&gt;=2.71, BE99&lt;=2.86, AA99&gt;=6000, AA99&lt;=23700), 1, IF(AND(BE99&gt;=2.71, BE99&lt;=2.86, AA99&lt;6000), 1, IF(AND(BE99&gt;=2.57, BE99&lt;=2.71, AA99&gt;23700), 2, IF(AND(BE99&gt;=2.57, BE99&lt;=2.71, AA99&gt;=6000, AA99&lt;=23700), 2, IF(AND(BE99&gt;=2.57, BE99&lt;=2.71, AA99&lt;6000), 1, IF(AND(BE99&gt;=1, BE99&lt;=2.57, AA99&gt;23700), 3, IF(AND(BE99&gt;=1, BE99&lt;=2.71, AA99&gt;=6000, AA99&lt;=23700), 3, IF(AND(BE99&gt;=1, BE99&lt;=2.71, AA99&lt;6000), 2, 0 ) ) ) ) ) ) ) ) )</f>
        <v>2</v>
      </c>
      <c r="AE99" s="187">
        <f t="shared" si="18"/>
        <v>0.6020599913279624</v>
      </c>
      <c r="AF99" s="209">
        <v>1</v>
      </c>
      <c r="AG99" s="209">
        <v>1</v>
      </c>
      <c r="AH99" s="211">
        <v>0</v>
      </c>
      <c r="AI99" s="146">
        <v>4</v>
      </c>
      <c r="AJ99" s="146">
        <v>1</v>
      </c>
      <c r="AK99" s="146">
        <v>1</v>
      </c>
      <c r="AL99" s="146">
        <v>0</v>
      </c>
      <c r="AM99" s="92">
        <v>1</v>
      </c>
      <c r="AN99" s="226">
        <v>1</v>
      </c>
      <c r="AO99" s="226">
        <f t="shared" si="19"/>
        <v>0</v>
      </c>
      <c r="AP99" s="283">
        <v>1</v>
      </c>
      <c r="AQ99" s="264">
        <v>1</v>
      </c>
      <c r="AR99" s="264">
        <f t="shared" si="16"/>
        <v>0</v>
      </c>
      <c r="AS99" s="205">
        <v>1.333</v>
      </c>
      <c r="AT99" s="54">
        <f>IF(AS99&lt;2.5,1,IF(AS99&gt;3.5,3,2))</f>
        <v>1</v>
      </c>
      <c r="AU99" s="187">
        <v>1</v>
      </c>
      <c r="AV99" s="187">
        <f t="shared" si="17"/>
        <v>0</v>
      </c>
      <c r="AW99" s="92" t="s">
        <v>91</v>
      </c>
      <c r="AX99" s="66" t="s">
        <v>92</v>
      </c>
      <c r="AY99" s="85">
        <v>3</v>
      </c>
      <c r="AZ99" s="246">
        <v>2</v>
      </c>
      <c r="BA99" s="206">
        <f t="shared" si="20"/>
        <v>0.95424250943932487</v>
      </c>
      <c r="BB99" s="206">
        <v>3</v>
      </c>
      <c r="BC99" s="206">
        <v>1</v>
      </c>
      <c r="BD99" s="206">
        <v>0.47712125471966244</v>
      </c>
      <c r="BE99" s="224">
        <v>2.2857142857142856</v>
      </c>
      <c r="BF99" s="187">
        <v>0.203342375548695</v>
      </c>
      <c r="BG99" s="187">
        <v>1.5971377527475776</v>
      </c>
      <c r="BH99" s="187">
        <v>0.93100890295908578</v>
      </c>
      <c r="BJ99" s="187"/>
      <c r="BK99" s="187"/>
    </row>
    <row r="100" spans="1:63" ht="16">
      <c r="A100" s="146">
        <v>98</v>
      </c>
      <c r="B100" s="99" t="s">
        <v>550</v>
      </c>
      <c r="C100" s="38" t="s">
        <v>110</v>
      </c>
      <c r="D100" s="187" t="s">
        <v>84</v>
      </c>
      <c r="E100" s="261">
        <v>3</v>
      </c>
      <c r="F100" s="262">
        <v>2</v>
      </c>
      <c r="G100" s="262">
        <f>E100*F100</f>
        <v>6</v>
      </c>
      <c r="H100" s="263" t="s">
        <v>111</v>
      </c>
      <c r="I100" s="261">
        <v>2</v>
      </c>
      <c r="J100" s="262">
        <v>1</v>
      </c>
      <c r="K100" s="262">
        <f>I100*J100</f>
        <v>2</v>
      </c>
      <c r="L100" s="78" t="s">
        <v>146</v>
      </c>
      <c r="M100" s="78">
        <v>1</v>
      </c>
      <c r="N100" s="78">
        <v>1</v>
      </c>
      <c r="O100" s="78">
        <f>M100*N100</f>
        <v>1</v>
      </c>
      <c r="P100" s="78">
        <v>1</v>
      </c>
      <c r="Q100" s="53" t="s">
        <v>88</v>
      </c>
      <c r="R100" s="54">
        <v>1</v>
      </c>
      <c r="S100" s="272">
        <v>2</v>
      </c>
      <c r="T100" s="272">
        <f>R100*S100</f>
        <v>2</v>
      </c>
      <c r="U100" s="277">
        <v>164</v>
      </c>
      <c r="V100" s="273" t="s">
        <v>115</v>
      </c>
      <c r="W100" s="261">
        <v>2</v>
      </c>
      <c r="X100" s="273">
        <v>1</v>
      </c>
      <c r="Y100" s="273">
        <f>W100*X100</f>
        <v>2</v>
      </c>
      <c r="Z100" s="204">
        <v>48</v>
      </c>
      <c r="AA100" s="236">
        <v>4372</v>
      </c>
      <c r="AB100" s="187">
        <v>1</v>
      </c>
      <c r="AC100" s="187">
        <v>2</v>
      </c>
      <c r="AD100" s="240">
        <f>IF(AND(BE100&gt;=2.71, BE100&lt;=2.86, AA100&gt;23700), 1, IF(AND(BE100&gt;=2.71, BE100&lt;=2.86, AA100&gt;=6000, AA100&lt;=23700), 1, IF(AND(BE100&gt;=2.71, BE100&lt;=2.86, AA100&lt;6000), 1, IF(AND(BE100&gt;=2.57, BE100&lt;=2.71, AA100&gt;23700), 2, IF(AND(BE100&gt;=2.57, BE100&lt;=2.71, AA100&gt;=6000, AA100&lt;=23700), 2, IF(AND(BE100&gt;=2.57, BE100&lt;=2.71, AA100&lt;6000), 1, IF(AND(BE100&gt;=1, BE100&lt;=2.57, AA100&gt;23700), 3, IF(AND(BE100&gt;=1, BE100&lt;=2.71, AA100&gt;=6000, AA100&lt;=23700), 3, IF(AND(BE100&gt;=1, BE100&lt;=2.71, AA100&lt;6000), 2, 0 ) ) ) ) ) ) ) ) )</f>
        <v>2</v>
      </c>
      <c r="AE100" s="187">
        <f t="shared" si="18"/>
        <v>0.6020599913279624</v>
      </c>
      <c r="AF100" s="209">
        <v>1</v>
      </c>
      <c r="AG100" s="209">
        <v>1</v>
      </c>
      <c r="AH100" s="211">
        <v>0</v>
      </c>
      <c r="AI100" s="146">
        <v>1</v>
      </c>
      <c r="AJ100" s="146">
        <v>3</v>
      </c>
      <c r="AK100" s="146">
        <v>1</v>
      </c>
      <c r="AL100" s="146">
        <v>0.47712125471966244</v>
      </c>
      <c r="AM100" s="92">
        <v>1</v>
      </c>
      <c r="AN100" s="226">
        <v>1</v>
      </c>
      <c r="AO100" s="226">
        <f t="shared" si="19"/>
        <v>0</v>
      </c>
      <c r="AP100" s="282">
        <v>1</v>
      </c>
      <c r="AQ100" s="262">
        <v>1</v>
      </c>
      <c r="AR100" s="264">
        <f t="shared" si="16"/>
        <v>0</v>
      </c>
      <c r="AS100" s="64">
        <v>1.1666666670000001</v>
      </c>
      <c r="AT100" s="54">
        <f>IF(AS100&lt;2.5,1,IF(AS100&gt;3.5,3,2))</f>
        <v>1</v>
      </c>
      <c r="AU100" s="45">
        <v>1</v>
      </c>
      <c r="AV100" s="187">
        <f t="shared" si="17"/>
        <v>0</v>
      </c>
      <c r="AW100" s="61" t="s">
        <v>552</v>
      </c>
      <c r="AX100" s="66" t="s">
        <v>92</v>
      </c>
      <c r="AY100" s="67">
        <v>3</v>
      </c>
      <c r="AZ100" s="247">
        <v>2</v>
      </c>
      <c r="BA100" s="68">
        <f t="shared" si="20"/>
        <v>0.95424250943932487</v>
      </c>
      <c r="BB100" s="206">
        <v>3</v>
      </c>
      <c r="BC100" s="206">
        <v>1</v>
      </c>
      <c r="BD100" s="206">
        <v>0.47712125471966244</v>
      </c>
      <c r="BE100" s="224">
        <v>1.8571428571428572</v>
      </c>
      <c r="BF100" s="187">
        <v>0.25105450102066124</v>
      </c>
      <c r="BG100" s="187">
        <v>1.7826024579660036</v>
      </c>
      <c r="BH100" s="187">
        <v>1.3851314219936035</v>
      </c>
    </row>
    <row r="101" spans="1:63" ht="16">
      <c r="A101" s="146">
        <v>99</v>
      </c>
      <c r="B101" s="99" t="s">
        <v>553</v>
      </c>
      <c r="C101" s="38" t="s">
        <v>286</v>
      </c>
      <c r="D101" t="s">
        <v>84</v>
      </c>
      <c r="E101" s="261">
        <v>3</v>
      </c>
      <c r="F101" s="262">
        <v>2</v>
      </c>
      <c r="G101" s="262">
        <f>E101*F101</f>
        <v>6</v>
      </c>
      <c r="H101" s="263">
        <v>1</v>
      </c>
      <c r="I101" s="261">
        <v>2</v>
      </c>
      <c r="J101" s="262">
        <v>1</v>
      </c>
      <c r="K101" s="262">
        <f>I101*J101</f>
        <v>2</v>
      </c>
      <c r="L101" s="78" t="s">
        <v>88</v>
      </c>
      <c r="M101" s="78">
        <v>3</v>
      </c>
      <c r="N101" s="78">
        <v>1</v>
      </c>
      <c r="O101" s="78">
        <f>M101*N101</f>
        <v>3</v>
      </c>
      <c r="P101" s="78">
        <v>1</v>
      </c>
      <c r="Q101" s="53" t="s">
        <v>115</v>
      </c>
      <c r="R101" s="54">
        <v>1</v>
      </c>
      <c r="S101" s="272">
        <v>2</v>
      </c>
      <c r="T101" s="272">
        <f>R101*S101</f>
        <v>2</v>
      </c>
      <c r="U101" s="277">
        <v>101</v>
      </c>
      <c r="V101" s="273" t="s">
        <v>115</v>
      </c>
      <c r="W101" s="261">
        <v>1</v>
      </c>
      <c r="X101" s="273">
        <v>1</v>
      </c>
      <c r="Y101" s="273">
        <f>W101*X101</f>
        <v>1</v>
      </c>
      <c r="Z101" s="42">
        <v>63</v>
      </c>
      <c r="AA101" s="236">
        <v>4365</v>
      </c>
      <c r="AB101" s="187">
        <v>1</v>
      </c>
      <c r="AC101" s="187">
        <v>2</v>
      </c>
      <c r="AD101" s="240">
        <f>IF(AND(BE101&gt;=2.71, BE101&lt;=2.86, AA101&gt;23700), 1, IF(AND(BE101&gt;=2.71, BE101&lt;=2.86, AA101&gt;=6000, AA101&lt;=23700), 1, IF(AND(BE101&gt;=2.71, BE101&lt;=2.86, AA101&lt;6000), 1, IF(AND(BE101&gt;=2.57, BE101&lt;=2.71, AA101&gt;23700), 2, IF(AND(BE101&gt;=2.57, BE101&lt;=2.71, AA101&gt;=6000, AA101&lt;=23700), 2, IF(AND(BE101&gt;=2.57, BE101&lt;=2.71, AA101&lt;6000), 1, IF(AND(BE101&gt;=1, BE101&lt;=2.57, AA101&gt;23700), 3, IF(AND(BE101&gt;=1, BE101&lt;=2.71, AA101&gt;=6000, AA101&lt;=23700), 3, IF(AND(BE101&gt;=1, BE101&lt;=2.71, AA101&lt;6000), 2, 0 ) ) ) ) ) ) ) ) )</f>
        <v>2</v>
      </c>
      <c r="AE101" s="187">
        <f>AC101*LOG(AD101)</f>
        <v>0.6020599913279624</v>
      </c>
      <c r="AF101" s="209">
        <v>2</v>
      </c>
      <c r="AG101" s="209">
        <v>1</v>
      </c>
      <c r="AH101" s="211">
        <v>0.3010299956639812</v>
      </c>
      <c r="AI101" s="146">
        <v>6</v>
      </c>
      <c r="AJ101" s="146">
        <v>1</v>
      </c>
      <c r="AK101" s="146">
        <v>1</v>
      </c>
      <c r="AL101" s="146">
        <v>0</v>
      </c>
      <c r="AM101" s="92">
        <v>3</v>
      </c>
      <c r="AN101" s="226">
        <v>1</v>
      </c>
      <c r="AO101" s="226">
        <f t="shared" si="19"/>
        <v>0.47712125471966244</v>
      </c>
      <c r="AP101" s="282">
        <v>1</v>
      </c>
      <c r="AQ101" s="262">
        <v>1</v>
      </c>
      <c r="AR101" s="264">
        <f t="shared" si="16"/>
        <v>0</v>
      </c>
      <c r="AS101" s="230">
        <v>1.5</v>
      </c>
      <c r="AT101" s="54">
        <f>IF(AS101&lt;2.5,1,IF(AS101&gt;3.5,3,2))</f>
        <v>1</v>
      </c>
      <c r="AU101" s="45">
        <v>1</v>
      </c>
      <c r="AV101" s="187">
        <f t="shared" si="17"/>
        <v>0</v>
      </c>
      <c r="AW101" s="61" t="s">
        <v>91</v>
      </c>
      <c r="AX101" s="66" t="s">
        <v>92</v>
      </c>
      <c r="AY101" s="67">
        <v>3</v>
      </c>
      <c r="AZ101" s="247">
        <v>2</v>
      </c>
      <c r="BA101" s="68">
        <f t="shared" si="20"/>
        <v>0.95424250943932487</v>
      </c>
      <c r="BB101" s="206">
        <v>2</v>
      </c>
      <c r="BC101" s="206">
        <v>1</v>
      </c>
      <c r="BD101" s="206">
        <v>0.3010299956639812</v>
      </c>
      <c r="BE101" s="224">
        <v>2.2857142857142856</v>
      </c>
      <c r="BF101" s="187">
        <v>0.26354837468149117</v>
      </c>
      <c r="BG101" s="187">
        <v>1.8346295092848033</v>
      </c>
      <c r="BH101" s="187">
        <v>1.0985492703568851</v>
      </c>
    </row>
    <row r="102" spans="1:63" ht="16">
      <c r="A102" s="146">
        <v>100</v>
      </c>
      <c r="B102" s="99" t="s">
        <v>557</v>
      </c>
      <c r="C102" s="38" t="s">
        <v>160</v>
      </c>
      <c r="D102" t="s">
        <v>84</v>
      </c>
      <c r="E102" s="261">
        <v>2</v>
      </c>
      <c r="F102" s="265">
        <v>2</v>
      </c>
      <c r="G102" s="265">
        <v>4</v>
      </c>
      <c r="H102" s="266" t="s">
        <v>153</v>
      </c>
      <c r="I102" s="261">
        <v>2</v>
      </c>
      <c r="J102" s="265">
        <v>1</v>
      </c>
      <c r="K102" s="265">
        <v>2</v>
      </c>
      <c r="L102" s="146" t="s">
        <v>146</v>
      </c>
      <c r="M102" s="139">
        <v>3</v>
      </c>
      <c r="N102" s="139">
        <v>1</v>
      </c>
      <c r="O102" s="139">
        <v>3</v>
      </c>
      <c r="P102" s="139">
        <v>1</v>
      </c>
      <c r="Q102" s="238" t="s">
        <v>88</v>
      </c>
      <c r="R102" s="240">
        <v>3</v>
      </c>
      <c r="S102" s="265">
        <v>2</v>
      </c>
      <c r="T102" s="265">
        <v>6</v>
      </c>
      <c r="U102" s="253">
        <v>112</v>
      </c>
      <c r="V102" s="253" t="s">
        <v>88</v>
      </c>
      <c r="W102" s="239">
        <v>2</v>
      </c>
      <c r="X102" s="238">
        <v>1</v>
      </c>
      <c r="Y102" s="238">
        <v>2</v>
      </c>
      <c r="Z102" s="238" t="s">
        <v>559</v>
      </c>
      <c r="AA102" s="236">
        <v>4330</v>
      </c>
      <c r="AB102" s="187">
        <v>1</v>
      </c>
      <c r="AC102" s="187">
        <v>2</v>
      </c>
      <c r="AD102" s="240">
        <f>IF(AND(BE102&gt;=2.71, BE102&lt;=2.86, AA102&gt;23700), 1, IF(AND(BE102&gt;=2.71, BE102&lt;=2.86, AA102&gt;=6000, AA102&lt;=23700), 1, IF(AND(BE102&gt;=2.71, BE102&lt;=2.86, AA102&lt;6000), 1, IF(AND(BE102&gt;=2.57, BE102&lt;=2.71, AA102&gt;23700), 2, IF(AND(BE102&gt;=2.57, BE102&lt;=2.71, AA102&gt;=6000, AA102&lt;=23700), 2, IF(AND(BE102&gt;=2.57, BE102&lt;=2.71, AA102&lt;6000), 1, IF(AND(BE102&gt;=1, BE102&lt;=2.57, AA102&gt;23700), 3, IF(AND(BE102&gt;=1, BE102&lt;=2.71, AA102&gt;=6000, AA102&lt;=23700), 3, IF(AND(BE102&gt;=1, BE102&lt;=2.71, AA102&lt;6000), 2, 0 ) ) ) ) ) ) ) ) )</f>
        <v>2</v>
      </c>
      <c r="AE102" s="187">
        <f t="shared" si="18"/>
        <v>0.6020599913279624</v>
      </c>
      <c r="AF102" s="209">
        <v>2</v>
      </c>
      <c r="AG102" s="209">
        <v>1</v>
      </c>
      <c r="AH102" s="211">
        <v>0.3010299956639812</v>
      </c>
      <c r="AI102" s="146">
        <v>4</v>
      </c>
      <c r="AJ102" s="146">
        <v>2</v>
      </c>
      <c r="AK102" s="146">
        <v>1</v>
      </c>
      <c r="AL102" s="146">
        <v>0.3010299956639812</v>
      </c>
      <c r="AM102" s="92">
        <v>3</v>
      </c>
      <c r="AN102" s="226">
        <v>1</v>
      </c>
      <c r="AO102" s="226">
        <f t="shared" si="19"/>
        <v>0.47712125471966244</v>
      </c>
      <c r="AP102" s="282">
        <v>2</v>
      </c>
      <c r="AQ102" s="262">
        <v>1</v>
      </c>
      <c r="AR102" s="264">
        <f t="shared" si="16"/>
        <v>0.3010299956639812</v>
      </c>
      <c r="AS102" s="36">
        <v>2.125</v>
      </c>
      <c r="AT102" s="54">
        <f>IF(AS102&lt;2.5,1,IF(AS102&gt;3.5,3,2))</f>
        <v>1</v>
      </c>
      <c r="AU102" s="45">
        <v>1</v>
      </c>
      <c r="AV102" s="187">
        <f t="shared" si="17"/>
        <v>0</v>
      </c>
      <c r="AW102" s="146" t="s">
        <v>99</v>
      </c>
      <c r="AX102" s="259" t="s">
        <v>180</v>
      </c>
      <c r="AY102" s="260">
        <v>3</v>
      </c>
      <c r="AZ102" s="247">
        <v>2</v>
      </c>
      <c r="BA102" s="68">
        <f t="shared" si="20"/>
        <v>0.95424250943932487</v>
      </c>
      <c r="BB102" s="206">
        <v>3</v>
      </c>
      <c r="BC102" s="206">
        <v>1</v>
      </c>
      <c r="BD102" s="206">
        <v>0.47712125471966244</v>
      </c>
      <c r="BE102" s="224">
        <v>2.4285714285714284</v>
      </c>
      <c r="BF102" s="187">
        <v>0.34136349971985558</v>
      </c>
      <c r="BG102" s="187">
        <v>2.1946410573397612</v>
      </c>
      <c r="BH102" s="187">
        <v>1.3242725807501872</v>
      </c>
    </row>
    <row r="103" spans="1:63" ht="17.25" customHeight="1">
      <c r="A103" s="203">
        <v>134</v>
      </c>
      <c r="B103" s="99" t="s">
        <v>560</v>
      </c>
      <c r="C103" s="38" t="s">
        <v>286</v>
      </c>
      <c r="D103" s="187" t="s">
        <v>84</v>
      </c>
      <c r="E103" s="261">
        <v>3</v>
      </c>
      <c r="F103" s="262">
        <v>2</v>
      </c>
      <c r="G103" s="262">
        <f>E103*F103</f>
        <v>6</v>
      </c>
      <c r="H103" s="267" t="s">
        <v>161</v>
      </c>
      <c r="I103" s="261">
        <v>1</v>
      </c>
      <c r="J103" s="262">
        <v>1</v>
      </c>
      <c r="K103" s="262">
        <f>I103*J103</f>
        <v>1</v>
      </c>
      <c r="L103" t="s">
        <v>88</v>
      </c>
      <c r="M103" s="139">
        <v>3</v>
      </c>
      <c r="N103" s="139">
        <v>1</v>
      </c>
      <c r="O103" s="139">
        <v>3</v>
      </c>
      <c r="P103" s="139">
        <v>1</v>
      </c>
      <c r="Q103" t="s">
        <v>115</v>
      </c>
      <c r="R103">
        <v>2</v>
      </c>
      <c r="S103">
        <v>2</v>
      </c>
      <c r="T103">
        <v>4</v>
      </c>
      <c r="U103" s="248">
        <v>101</v>
      </c>
      <c r="V103" s="248" t="s">
        <v>88</v>
      </c>
      <c r="W103">
        <v>1</v>
      </c>
      <c r="X103">
        <v>1</v>
      </c>
      <c r="Y103">
        <v>1</v>
      </c>
      <c r="Z103" t="s">
        <v>563</v>
      </c>
      <c r="AA103" s="242">
        <v>2830</v>
      </c>
      <c r="AB103">
        <v>1</v>
      </c>
      <c r="AC103">
        <v>2</v>
      </c>
      <c r="AD103" s="240">
        <f>IF(AND(BE103&gt;=2.71, BE103&lt;=2.86, AA103&gt;23700), 1, IF(AND(BE103&gt;=2.71, BE103&lt;=2.86, AA103&gt;=6000, AA103&lt;=23700), 1, IF(AND(BE103&gt;=2.71, BE103&lt;=2.86, AA103&lt;6000), 1, IF(AND(BE103&gt;=2.57, BE103&lt;=2.71, AA103&gt;23700), 2, IF(AND(BE103&gt;=2.57, BE103&lt;=2.71, AA103&gt;=6000, AA103&lt;=23700), 2, IF(AND(BE103&gt;=2.57, BE103&lt;=2.71, AA103&lt;6000), 1, IF(AND(BE103&gt;=1, BE103&lt;=2.57, AA103&gt;23700), 3, IF(AND(BE103&gt;=1, BE103&lt;=2.71, AA103&gt;=6000, AA103&lt;=23700), 3, IF(AND(BE103&gt;=1, BE103&lt;=2.71, AA103&lt;6000), 2, 0 ) ) ) ) ) ) ) ) )</f>
        <v>2</v>
      </c>
      <c r="AE103" s="187">
        <f t="shared" si="18"/>
        <v>0.6020599913279624</v>
      </c>
      <c r="AF103" s="209">
        <v>1</v>
      </c>
      <c r="AG103" s="209">
        <v>1</v>
      </c>
      <c r="AH103" s="211">
        <v>0</v>
      </c>
      <c r="AI103" s="146">
        <v>6</v>
      </c>
      <c r="AJ103" s="146">
        <v>1</v>
      </c>
      <c r="AK103" s="146">
        <v>1</v>
      </c>
      <c r="AL103" s="146">
        <v>0</v>
      </c>
      <c r="AM103" s="92">
        <v>3</v>
      </c>
      <c r="AN103" s="226">
        <v>1</v>
      </c>
      <c r="AO103" s="226">
        <f t="shared" ref="AO103:AO104" si="21">AN103*LOG(AM103)</f>
        <v>0.47712125471966244</v>
      </c>
      <c r="AP103" s="282">
        <v>1</v>
      </c>
      <c r="AQ103" s="262">
        <v>1</v>
      </c>
      <c r="AR103" s="264">
        <f t="shared" si="16"/>
        <v>0</v>
      </c>
      <c r="AS103" s="233">
        <v>1.667</v>
      </c>
      <c r="AT103" s="54">
        <f>IF(AS103&lt;2.5,1,IF(AS103&gt;3.5,3,2))</f>
        <v>1</v>
      </c>
      <c r="AU103" s="45">
        <v>1</v>
      </c>
      <c r="AV103" s="187">
        <f t="shared" si="17"/>
        <v>0</v>
      </c>
      <c r="AW103" s="233" t="s">
        <v>91</v>
      </c>
      <c r="AX103" s="243" t="s">
        <v>92</v>
      </c>
      <c r="AY103" s="243">
        <v>3</v>
      </c>
      <c r="AZ103" s="247">
        <v>2</v>
      </c>
      <c r="BA103" s="68">
        <f t="shared" si="20"/>
        <v>0.95424250943932487</v>
      </c>
      <c r="BB103" s="206">
        <v>2</v>
      </c>
      <c r="BC103" s="96">
        <v>1</v>
      </c>
      <c r="BD103" s="206">
        <v>0.3010299956639812</v>
      </c>
      <c r="BE103" s="224">
        <v>2.1428571428571428</v>
      </c>
      <c r="BF103" s="187">
        <v>0.23344537511509311</v>
      </c>
      <c r="BG103" s="187">
        <v>1.7117698594097053</v>
      </c>
      <c r="BH103" s="187">
        <v>1.1141410190434298</v>
      </c>
    </row>
    <row r="104" spans="1:63" ht="16">
      <c r="A104" s="203">
        <v>162</v>
      </c>
      <c r="B104" s="99" t="s">
        <v>564</v>
      </c>
      <c r="C104" s="38" t="s">
        <v>160</v>
      </c>
      <c r="D104" s="203" t="s">
        <v>84</v>
      </c>
      <c r="E104" s="264">
        <v>3</v>
      </c>
      <c r="F104" s="268">
        <v>2</v>
      </c>
      <c r="G104" s="268">
        <v>6</v>
      </c>
      <c r="H104" s="268" t="s">
        <v>161</v>
      </c>
      <c r="I104" s="267">
        <v>2</v>
      </c>
      <c r="J104" s="267">
        <v>1</v>
      </c>
      <c r="K104" s="267">
        <v>2</v>
      </c>
      <c r="L104" s="78" t="s">
        <v>146</v>
      </c>
      <c r="M104" s="139">
        <v>3</v>
      </c>
      <c r="N104" s="139">
        <v>1</v>
      </c>
      <c r="O104" s="139">
        <v>3</v>
      </c>
      <c r="P104" s="139">
        <v>1</v>
      </c>
      <c r="Q104" t="s">
        <v>146</v>
      </c>
      <c r="R104" s="270">
        <v>3</v>
      </c>
      <c r="S104">
        <v>2</v>
      </c>
      <c r="T104">
        <v>6</v>
      </c>
      <c r="U104" s="254" t="s">
        <v>567</v>
      </c>
      <c r="V104" s="248" t="s">
        <v>88</v>
      </c>
      <c r="W104" s="233">
        <v>2</v>
      </c>
      <c r="X104" s="233">
        <v>1</v>
      </c>
      <c r="Y104" s="233">
        <v>2</v>
      </c>
      <c r="Z104" s="233" t="s">
        <v>568</v>
      </c>
      <c r="AA104" s="242">
        <v>2083</v>
      </c>
      <c r="AB104">
        <v>1</v>
      </c>
      <c r="AC104">
        <v>2</v>
      </c>
      <c r="AD104" s="240">
        <f>IF(AND(BE104&gt;=2.71, BE104&lt;=2.86, AA104&gt;23700), 1, IF(AND(BE104&gt;=2.71, BE104&lt;=2.86, AA104&gt;=6000, AA104&lt;=23700), 1, IF(AND(BE104&gt;=2.71, BE104&lt;=2.86, AA104&lt;6000), 1, IF(AND(BE104&gt;=2.57, BE104&lt;=2.71, AA104&gt;23700), 2, IF(AND(BE104&gt;=2.57, BE104&lt;=2.71, AA104&gt;=6000, AA104&lt;=23700), 2, IF(AND(BE104&gt;=2.57, BE104&lt;=2.71, AA104&lt;6000), 1, IF(AND(BE104&gt;=1, BE104&lt;=2.57, AA104&gt;23700), 3, IF(AND(BE104&gt;=1, BE104&lt;=2.71, AA104&gt;=6000, AA104&lt;=23700), 3, IF(AND(BE104&gt;=1, BE104&lt;=2.71, AA104&lt;6000), 2, 0 ) ) ) ) ) ) ) ) )</f>
        <v>1</v>
      </c>
      <c r="AE104" s="187">
        <f t="shared" si="18"/>
        <v>0</v>
      </c>
      <c r="AF104" s="209">
        <v>1</v>
      </c>
      <c r="AG104" s="209">
        <v>1</v>
      </c>
      <c r="AH104" s="211">
        <v>0</v>
      </c>
      <c r="AI104" s="146">
        <v>4</v>
      </c>
      <c r="AJ104" s="146">
        <v>2</v>
      </c>
      <c r="AK104" s="146">
        <v>1</v>
      </c>
      <c r="AL104" s="146">
        <v>0.3010299956639812</v>
      </c>
      <c r="AM104" s="92">
        <v>3</v>
      </c>
      <c r="AN104" s="226">
        <v>1</v>
      </c>
      <c r="AO104" s="226">
        <f t="shared" si="21"/>
        <v>0.47712125471966244</v>
      </c>
      <c r="AP104" s="281">
        <v>1</v>
      </c>
      <c r="AQ104">
        <v>1</v>
      </c>
      <c r="AR104" s="187">
        <f t="shared" si="16"/>
        <v>0</v>
      </c>
      <c r="AS104" s="233">
        <v>2.75</v>
      </c>
      <c r="AT104" s="54">
        <f>IF(AS104&lt;2.5,1,IF(AS104&gt;3.5,3,2))</f>
        <v>2</v>
      </c>
      <c r="AU104" s="45">
        <v>1</v>
      </c>
      <c r="AV104" s="187">
        <f t="shared" si="17"/>
        <v>0.3010299956639812</v>
      </c>
      <c r="AW104" s="233" t="s">
        <v>99</v>
      </c>
      <c r="AX104" s="243" t="s">
        <v>180</v>
      </c>
      <c r="AY104" s="243">
        <v>3</v>
      </c>
      <c r="AZ104" s="247">
        <v>2</v>
      </c>
      <c r="BA104" s="68">
        <f t="shared" si="20"/>
        <v>0.95424250943932487</v>
      </c>
      <c r="BB104" s="206">
        <v>2</v>
      </c>
      <c r="BC104" s="206">
        <v>1</v>
      </c>
      <c r="BD104" s="206">
        <v>0.3010299956639812</v>
      </c>
      <c r="BE104" s="224">
        <v>2.7142857142857144</v>
      </c>
      <c r="BF104" s="187">
        <v>0.25938375012788123</v>
      </c>
      <c r="BG104" s="187">
        <v>1.8171205928321397</v>
      </c>
      <c r="BH104" s="187">
        <v>0.86563197508616319</v>
      </c>
    </row>
    <row r="105" spans="1:63" ht="16">
      <c r="A105" s="146">
        <v>429</v>
      </c>
      <c r="B105" s="99" t="s">
        <v>569</v>
      </c>
      <c r="C105" s="99" t="s">
        <v>160</v>
      </c>
      <c r="D105" s="187" t="s">
        <v>84</v>
      </c>
      <c r="E105" s="264">
        <v>3</v>
      </c>
      <c r="F105" s="267">
        <v>2</v>
      </c>
      <c r="G105" s="262">
        <f>E105*F105</f>
        <v>6</v>
      </c>
      <c r="H105" s="269">
        <v>51</v>
      </c>
      <c r="I105" s="267">
        <v>2</v>
      </c>
      <c r="J105" s="267">
        <v>1</v>
      </c>
      <c r="K105" s="267">
        <v>2</v>
      </c>
      <c r="L105" s="139" t="s">
        <v>146</v>
      </c>
      <c r="M105" s="139">
        <v>3</v>
      </c>
      <c r="N105" s="139">
        <v>1</v>
      </c>
      <c r="O105" s="139">
        <v>3</v>
      </c>
      <c r="P105" s="139">
        <v>1</v>
      </c>
      <c r="Q105" s="187" t="s">
        <v>146</v>
      </c>
      <c r="R105" s="270">
        <v>3</v>
      </c>
      <c r="S105">
        <v>2</v>
      </c>
      <c r="T105">
        <v>6</v>
      </c>
      <c r="U105" s="204">
        <v>173</v>
      </c>
      <c r="V105" s="204" t="s">
        <v>146</v>
      </c>
      <c r="W105">
        <v>1</v>
      </c>
      <c r="X105">
        <v>1</v>
      </c>
      <c r="Y105">
        <v>1</v>
      </c>
      <c r="Z105" s="187" t="s">
        <v>1628</v>
      </c>
      <c r="AA105" s="236">
        <v>198</v>
      </c>
      <c r="AB105" s="187">
        <v>1</v>
      </c>
      <c r="AC105" s="187">
        <v>2</v>
      </c>
      <c r="AD105" s="240">
        <f>IF(AND(BE105&gt;=2.71, BE105&lt;=2.86, AA105&gt;23700), 1, IF(AND(BE105&gt;=2.71, BE105&lt;=2.86, AA105&gt;=6000, AA105&lt;=23700), 1, IF(AND(BE105&gt;=2.71, BE105&lt;=2.86, AA105&lt;6000), 1, IF(AND(BE105&gt;=2.57, BE105&lt;=2.71, AA105&gt;23700), 2, IF(AND(BE105&gt;=2.57, BE105&lt;=2.71, AA105&gt;=6000, AA105&lt;=23700), 2, IF(AND(BE105&gt;=2.57, BE105&lt;=2.71, AA105&lt;6000), 1, IF(AND(BE105&gt;=1, BE105&lt;=2.57, AA105&gt;23700), 3, IF(AND(BE105&gt;=1, BE105&lt;=2.71, AA105&gt;=6000, AA105&lt;=23700), 3, IF(AND(BE105&gt;=1, BE105&lt;=2.71, AA105&lt;6000), 2, 0 ) ) ) ) ) ) ) ) )</f>
        <v>1</v>
      </c>
      <c r="AE105" s="187">
        <f t="shared" si="18"/>
        <v>0</v>
      </c>
      <c r="AF105" s="209">
        <v>1</v>
      </c>
      <c r="AG105" s="209">
        <v>1</v>
      </c>
      <c r="AH105" s="211">
        <v>0</v>
      </c>
      <c r="AI105" s="146">
        <v>4</v>
      </c>
      <c r="AJ105" s="146">
        <v>2</v>
      </c>
      <c r="AK105" s="146">
        <v>1</v>
      </c>
      <c r="AL105" s="146">
        <v>0.3010299956639812</v>
      </c>
      <c r="AM105" s="92">
        <v>3</v>
      </c>
      <c r="AN105" s="226">
        <v>1</v>
      </c>
      <c r="AO105" s="226">
        <f>AN105*LOG(AM105)</f>
        <v>0.47712125471966244</v>
      </c>
      <c r="AP105" s="281">
        <v>1</v>
      </c>
      <c r="AQ105">
        <v>1</v>
      </c>
      <c r="AR105" s="187">
        <f t="shared" si="16"/>
        <v>0</v>
      </c>
      <c r="AS105" s="187">
        <v>2</v>
      </c>
      <c r="AT105" s="54">
        <f>IF(AS105&lt;2.5,1,IF(AS105&gt;3.5,3,2))</f>
        <v>1</v>
      </c>
      <c r="AU105" s="187">
        <v>1</v>
      </c>
      <c r="AV105" s="187">
        <f t="shared" si="17"/>
        <v>0</v>
      </c>
      <c r="AW105" s="187" t="s">
        <v>552</v>
      </c>
      <c r="AX105" s="259" t="s">
        <v>92</v>
      </c>
      <c r="AY105" s="260">
        <v>3</v>
      </c>
      <c r="AZ105" s="247">
        <v>2</v>
      </c>
      <c r="BA105" s="206">
        <f>AZ105*LOG(AY105)</f>
        <v>0.95424250943932487</v>
      </c>
      <c r="BB105" s="206">
        <v>3</v>
      </c>
      <c r="BC105" s="206">
        <v>1</v>
      </c>
      <c r="BD105" s="206">
        <v>0.47712125471966244</v>
      </c>
      <c r="BE105" s="224">
        <v>2.5714285714285716</v>
      </c>
      <c r="BF105" s="187">
        <v>0.24550166828251457</v>
      </c>
      <c r="BG105" s="187">
        <v>1.7599554244151645</v>
      </c>
      <c r="BH105" s="187">
        <v>0.87247104048546376</v>
      </c>
    </row>
    <row r="106" spans="1:63" ht="16">
      <c r="B106" s="228"/>
      <c r="Q106" s="233"/>
      <c r="R106" s="233"/>
      <c r="S106" s="233"/>
      <c r="AA106" s="234"/>
      <c r="AF106" s="209"/>
      <c r="AG106" s="209"/>
      <c r="AH106" s="42"/>
    </row>
    <row r="107" spans="1:63" ht="16">
      <c r="D107" s="203"/>
      <c r="I107" s="233"/>
      <c r="J107" s="233"/>
      <c r="K107" s="233"/>
      <c r="M107" s="233"/>
      <c r="N107" s="233"/>
      <c r="AA107" s="234"/>
      <c r="AS107" s="233"/>
      <c r="AU107" s="233"/>
      <c r="AV107" s="233"/>
    </row>
    <row r="108" spans="1:63" ht="16">
      <c r="B108" s="228"/>
      <c r="C108" s="187"/>
      <c r="AA108" s="232"/>
      <c r="AP108" s="203"/>
      <c r="AQ108" s="146"/>
      <c r="AR108" s="203"/>
      <c r="AS108" s="146"/>
      <c r="AT108" s="146"/>
      <c r="AU108" s="146"/>
      <c r="AV108" s="146"/>
    </row>
    <row r="109" spans="1:63" ht="16">
      <c r="B109" s="228"/>
      <c r="D109" s="203"/>
      <c r="AA109" s="232"/>
    </row>
    <row r="110" spans="1:63" ht="16">
      <c r="B110" s="188"/>
      <c r="AA110" s="232"/>
    </row>
    <row r="111" spans="1:63" ht="16">
      <c r="B111" s="228"/>
      <c r="AA111" s="232"/>
    </row>
  </sheetData>
  <autoFilter ref="A2:BI125" xr:uid="{85920A44-D7F5-D242-92B2-E8C4DDA93BFC}">
    <sortState xmlns:xlrd2="http://schemas.microsoft.com/office/spreadsheetml/2017/richdata2" ref="A3:BI105">
      <sortCondition ref="A2:A10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0563C1"/>
    <outlinePr summaryBelow="0" summaryRight="0"/>
  </sheetPr>
  <dimension ref="A1:CU1001"/>
  <sheetViews>
    <sheetView workbookViewId="0"/>
  </sheetViews>
  <sheetFormatPr baseColWidth="10" defaultColWidth="12.6640625" defaultRowHeight="15.75" customHeight="1"/>
  <cols>
    <col min="5" max="5" width="22.33203125" customWidth="1"/>
    <col min="6" max="6" width="13.83203125" customWidth="1"/>
    <col min="7" max="7" width="11.6640625" customWidth="1"/>
    <col min="8" max="8" width="15.1640625" customWidth="1"/>
    <col min="13" max="13" width="9.83203125" customWidth="1"/>
    <col min="30" max="30" width="17.33203125" customWidth="1"/>
    <col min="32" max="33" width="21.6640625" customWidth="1"/>
    <col min="39" max="39" width="14.1640625" customWidth="1"/>
    <col min="71" max="71" width="15.33203125" customWidth="1"/>
  </cols>
  <sheetData>
    <row r="1" spans="1:99" ht="39.75" customHeight="1">
      <c r="A1" s="1"/>
      <c r="B1" s="2"/>
      <c r="C1" s="2"/>
      <c r="D1" s="2"/>
      <c r="E1" s="2"/>
      <c r="F1" s="2"/>
      <c r="G1" s="3"/>
      <c r="H1" s="4"/>
      <c r="I1" s="5"/>
      <c r="J1" s="6" t="s">
        <v>0</v>
      </c>
      <c r="K1" s="7" t="s">
        <v>576</v>
      </c>
      <c r="L1" s="3"/>
      <c r="M1" s="3"/>
      <c r="N1" s="3"/>
      <c r="O1" s="3"/>
      <c r="P1" s="7"/>
      <c r="Q1" s="5"/>
      <c r="R1" s="6"/>
      <c r="S1" s="6" t="s">
        <v>0</v>
      </c>
      <c r="T1" s="7" t="s">
        <v>1</v>
      </c>
      <c r="U1" s="7"/>
      <c r="V1" s="8"/>
      <c r="W1" s="5"/>
      <c r="X1" s="6"/>
      <c r="Y1" s="6" t="s">
        <v>2</v>
      </c>
      <c r="Z1" s="7" t="s">
        <v>3</v>
      </c>
      <c r="AA1" s="7"/>
      <c r="AB1" s="7"/>
      <c r="AC1" s="7"/>
      <c r="AD1" s="1"/>
      <c r="AE1" s="9"/>
      <c r="AF1" s="9" t="s">
        <v>4</v>
      </c>
      <c r="AG1" s="1" t="s">
        <v>5</v>
      </c>
      <c r="AH1" s="1"/>
      <c r="AI1" s="1"/>
      <c r="AJ1" s="1"/>
      <c r="AK1" s="1"/>
      <c r="AL1" s="7"/>
      <c r="AM1" s="7"/>
      <c r="AN1" s="7"/>
      <c r="AO1" s="7" t="s">
        <v>6</v>
      </c>
      <c r="AP1" s="7"/>
      <c r="AQ1" s="7"/>
      <c r="AR1" s="7"/>
      <c r="AS1" s="8"/>
      <c r="AT1" s="5"/>
      <c r="AU1" s="7"/>
      <c r="AV1" s="3"/>
      <c r="AW1" s="7" t="s">
        <v>7</v>
      </c>
      <c r="AX1" s="3" t="s">
        <v>8</v>
      </c>
      <c r="AY1" s="3"/>
      <c r="AZ1" s="3"/>
      <c r="BA1" s="8"/>
      <c r="BB1" s="10"/>
      <c r="BC1" s="10"/>
      <c r="BD1" s="3" t="s">
        <v>577</v>
      </c>
      <c r="BE1" s="3"/>
      <c r="BF1" s="3"/>
      <c r="BG1" s="3"/>
      <c r="BH1" s="3"/>
      <c r="BI1" s="3"/>
      <c r="BJ1" s="3"/>
      <c r="BK1" s="11"/>
      <c r="BL1" s="11" t="s">
        <v>10</v>
      </c>
      <c r="BM1" s="3" t="s">
        <v>11</v>
      </c>
      <c r="BN1" s="3"/>
      <c r="BO1" s="3"/>
      <c r="BP1" s="5"/>
      <c r="BQ1" s="7" t="s">
        <v>12</v>
      </c>
      <c r="BR1" s="7"/>
      <c r="BS1" s="7"/>
      <c r="BT1" s="7"/>
      <c r="BU1" s="8"/>
      <c r="BV1" s="5"/>
      <c r="BW1" s="12"/>
      <c r="BX1" s="13" t="s">
        <v>13</v>
      </c>
      <c r="BY1" s="13" t="s">
        <v>14</v>
      </c>
      <c r="BZ1" s="13"/>
      <c r="CA1" s="13"/>
      <c r="CB1" s="5"/>
      <c r="CC1" s="7"/>
      <c r="CD1" s="7"/>
      <c r="CE1" s="7" t="s">
        <v>9</v>
      </c>
      <c r="CF1" s="7"/>
      <c r="CG1" s="8"/>
      <c r="CH1" s="5"/>
      <c r="CI1" s="5" t="s">
        <v>15</v>
      </c>
      <c r="CJ1" s="7"/>
      <c r="CK1" s="7"/>
      <c r="CL1" s="7"/>
      <c r="CM1" s="8"/>
      <c r="CN1" s="3"/>
      <c r="CO1" s="14"/>
      <c r="CP1" s="3"/>
      <c r="CQ1" s="3"/>
      <c r="CR1" s="3"/>
      <c r="CS1" s="3"/>
      <c r="CT1" s="3"/>
      <c r="CU1" s="3"/>
    </row>
    <row r="2" spans="1:99" ht="80">
      <c r="A2" s="15" t="s">
        <v>578</v>
      </c>
      <c r="B2" s="15" t="s">
        <v>579</v>
      </c>
      <c r="C2" s="15" t="s">
        <v>580</v>
      </c>
      <c r="D2" s="15" t="s">
        <v>581</v>
      </c>
      <c r="E2" s="15" t="s">
        <v>16</v>
      </c>
      <c r="F2" s="15" t="s">
        <v>17</v>
      </c>
      <c r="G2" s="15" t="s">
        <v>16</v>
      </c>
      <c r="H2" s="15" t="s">
        <v>18</v>
      </c>
      <c r="I2" s="16" t="s">
        <v>582</v>
      </c>
      <c r="J2" s="17" t="s">
        <v>583</v>
      </c>
      <c r="K2" s="17" t="s">
        <v>31</v>
      </c>
      <c r="L2" s="17" t="s">
        <v>20</v>
      </c>
      <c r="M2" s="17" t="s">
        <v>584</v>
      </c>
      <c r="N2" s="17" t="s">
        <v>585</v>
      </c>
      <c r="O2" s="17" t="s">
        <v>22</v>
      </c>
      <c r="P2" s="17" t="s">
        <v>23</v>
      </c>
      <c r="Q2" s="18" t="s">
        <v>586</v>
      </c>
      <c r="R2" s="19" t="s">
        <v>20</v>
      </c>
      <c r="S2" s="19" t="s">
        <v>587</v>
      </c>
      <c r="T2" s="19" t="s">
        <v>21</v>
      </c>
      <c r="U2" s="19" t="s">
        <v>22</v>
      </c>
      <c r="V2" s="20" t="s">
        <v>23</v>
      </c>
      <c r="W2" s="17" t="s">
        <v>24</v>
      </c>
      <c r="X2" s="17" t="s">
        <v>25</v>
      </c>
      <c r="Y2" s="17" t="s">
        <v>26</v>
      </c>
      <c r="Z2" s="17" t="s">
        <v>27</v>
      </c>
      <c r="AA2" s="17" t="s">
        <v>28</v>
      </c>
      <c r="AB2" s="17" t="s">
        <v>35</v>
      </c>
      <c r="AC2" s="17" t="s">
        <v>23</v>
      </c>
      <c r="AD2" s="21" t="s">
        <v>29</v>
      </c>
      <c r="AE2" s="22" t="s">
        <v>30</v>
      </c>
      <c r="AF2" s="22" t="s">
        <v>31</v>
      </c>
      <c r="AG2" s="22" t="s">
        <v>32</v>
      </c>
      <c r="AH2" s="22" t="s">
        <v>588</v>
      </c>
      <c r="AI2" s="22" t="s">
        <v>34</v>
      </c>
      <c r="AJ2" s="22" t="s">
        <v>35</v>
      </c>
      <c r="AK2" s="23" t="s">
        <v>23</v>
      </c>
      <c r="AL2" s="17" t="s">
        <v>6</v>
      </c>
      <c r="AM2" s="17" t="s">
        <v>36</v>
      </c>
      <c r="AN2" s="17" t="s">
        <v>31</v>
      </c>
      <c r="AO2" s="17" t="s">
        <v>20</v>
      </c>
      <c r="AP2" s="17" t="s">
        <v>37</v>
      </c>
      <c r="AQ2" s="17" t="s">
        <v>38</v>
      </c>
      <c r="AR2" s="17" t="s">
        <v>22</v>
      </c>
      <c r="AS2" s="24" t="s">
        <v>23</v>
      </c>
      <c r="AT2" s="19" t="s">
        <v>39</v>
      </c>
      <c r="AU2" s="19" t="s">
        <v>40</v>
      </c>
      <c r="AV2" s="19" t="s">
        <v>31</v>
      </c>
      <c r="AW2" s="19" t="s">
        <v>20</v>
      </c>
      <c r="AX2" s="19" t="s">
        <v>41</v>
      </c>
      <c r="AY2" s="19" t="s">
        <v>42</v>
      </c>
      <c r="AZ2" s="19" t="s">
        <v>589</v>
      </c>
      <c r="BA2" s="19" t="s">
        <v>23</v>
      </c>
      <c r="BB2" s="25" t="s">
        <v>590</v>
      </c>
      <c r="BC2" s="26" t="s">
        <v>591</v>
      </c>
      <c r="BD2" s="26" t="s">
        <v>592</v>
      </c>
      <c r="BE2" s="27" t="s">
        <v>20</v>
      </c>
      <c r="BF2" s="27" t="s">
        <v>593</v>
      </c>
      <c r="BG2" s="27" t="s">
        <v>594</v>
      </c>
      <c r="BH2" s="27" t="s">
        <v>35</v>
      </c>
      <c r="BI2" s="27" t="s">
        <v>23</v>
      </c>
      <c r="BJ2" s="28" t="s">
        <v>57</v>
      </c>
      <c r="BK2" s="29" t="s">
        <v>58</v>
      </c>
      <c r="BL2" s="29" t="s">
        <v>59</v>
      </c>
      <c r="BM2" s="29" t="s">
        <v>60</v>
      </c>
      <c r="BN2" s="29" t="s">
        <v>35</v>
      </c>
      <c r="BO2" s="30" t="s">
        <v>23</v>
      </c>
      <c r="BP2" s="17" t="s">
        <v>595</v>
      </c>
      <c r="BQ2" s="17" t="s">
        <v>61</v>
      </c>
      <c r="BR2" s="17" t="s">
        <v>62</v>
      </c>
      <c r="BS2" s="17" t="s">
        <v>63</v>
      </c>
      <c r="BT2" s="17" t="s">
        <v>22</v>
      </c>
      <c r="BU2" s="24" t="s">
        <v>23</v>
      </c>
      <c r="BV2" s="18" t="s">
        <v>64</v>
      </c>
      <c r="BW2" s="18" t="s">
        <v>65</v>
      </c>
      <c r="BX2" s="19" t="s">
        <v>66</v>
      </c>
      <c r="BY2" s="19" t="s">
        <v>67</v>
      </c>
      <c r="BZ2" s="19" t="s">
        <v>35</v>
      </c>
      <c r="CA2" s="20" t="s">
        <v>23</v>
      </c>
      <c r="CB2" s="31" t="s">
        <v>575</v>
      </c>
      <c r="CC2" s="17" t="s">
        <v>596</v>
      </c>
      <c r="CD2" s="17" t="s">
        <v>46</v>
      </c>
      <c r="CE2" s="17" t="s">
        <v>48</v>
      </c>
      <c r="CF2" s="17" t="s">
        <v>53</v>
      </c>
      <c r="CG2" s="24" t="s">
        <v>23</v>
      </c>
      <c r="CH2" s="32" t="s">
        <v>68</v>
      </c>
      <c r="CI2" s="19" t="s">
        <v>69</v>
      </c>
      <c r="CJ2" s="33" t="s">
        <v>70</v>
      </c>
      <c r="CK2" s="33" t="s">
        <v>71</v>
      </c>
      <c r="CL2" s="33" t="s">
        <v>53</v>
      </c>
      <c r="CM2" s="34" t="s">
        <v>72</v>
      </c>
      <c r="CN2" s="15"/>
      <c r="CO2" s="35" t="s">
        <v>76</v>
      </c>
      <c r="CP2" s="15" t="s">
        <v>597</v>
      </c>
      <c r="CQ2" s="15" t="s">
        <v>78</v>
      </c>
      <c r="CR2" s="15" t="s">
        <v>598</v>
      </c>
      <c r="CS2" s="15" t="s">
        <v>599</v>
      </c>
      <c r="CT2" s="15" t="s">
        <v>79</v>
      </c>
      <c r="CU2" s="15" t="s">
        <v>600</v>
      </c>
    </row>
    <row r="3" spans="1:99" ht="16">
      <c r="A3" s="36">
        <v>1</v>
      </c>
      <c r="B3" s="37" t="s">
        <v>144</v>
      </c>
      <c r="C3" s="37"/>
      <c r="D3" s="37"/>
      <c r="E3" s="38" t="s">
        <v>80</v>
      </c>
      <c r="F3" s="38" t="s">
        <v>81</v>
      </c>
      <c r="G3" s="38" t="s">
        <v>82</v>
      </c>
      <c r="H3" s="38" t="s">
        <v>83</v>
      </c>
      <c r="I3" s="39">
        <v>5.95</v>
      </c>
      <c r="J3" s="40" t="s">
        <v>88</v>
      </c>
      <c r="K3" s="41">
        <v>0</v>
      </c>
      <c r="L3" s="41">
        <v>2</v>
      </c>
      <c r="M3" s="42">
        <v>1</v>
      </c>
      <c r="N3" s="42">
        <f t="shared" ref="N3:N257" si="0">L3*M3</f>
        <v>2</v>
      </c>
      <c r="O3" s="41" t="s">
        <v>601</v>
      </c>
      <c r="P3" s="40"/>
      <c r="Q3" s="43">
        <v>9.3333333330000006</v>
      </c>
      <c r="R3" s="44">
        <f t="shared" ref="R3:R54" si="1">IF(Q3="","***",IF(Q3&lt;30,3,IF(Q3&gt;60,1,2)))</f>
        <v>3</v>
      </c>
      <c r="S3" s="45">
        <v>1</v>
      </c>
      <c r="T3" s="45">
        <f t="shared" ref="T3:T257" si="2">R3*S3</f>
        <v>3</v>
      </c>
      <c r="V3" s="46"/>
      <c r="W3" s="47" t="s">
        <v>86</v>
      </c>
      <c r="X3" s="48">
        <v>2.9</v>
      </c>
      <c r="Y3" s="44">
        <f t="shared" ref="Y3:Y257" si="3">IF(X3="","***",IF(X3&gt;3.5,1,IF(X3&lt;2.5,3,2)))</f>
        <v>2</v>
      </c>
      <c r="Z3" s="45">
        <v>1</v>
      </c>
      <c r="AA3" s="45">
        <f t="shared" ref="AA3:AA257" si="4">Y3*Z3</f>
        <v>2</v>
      </c>
      <c r="AB3" s="45">
        <v>1</v>
      </c>
      <c r="AD3" s="49" t="s">
        <v>87</v>
      </c>
      <c r="AE3" s="50" t="s">
        <v>88</v>
      </c>
      <c r="AF3" s="50">
        <v>0</v>
      </c>
      <c r="AG3" s="50">
        <v>3</v>
      </c>
      <c r="AH3" s="50">
        <v>2</v>
      </c>
      <c r="AI3" s="50">
        <f t="shared" ref="AI3:AI257" si="5">AG3*AH3</f>
        <v>6</v>
      </c>
      <c r="AJ3" s="50">
        <v>1</v>
      </c>
      <c r="AK3" s="51" t="s">
        <v>89</v>
      </c>
      <c r="AL3" s="52">
        <v>84000</v>
      </c>
      <c r="AM3" s="53" t="s">
        <v>88</v>
      </c>
      <c r="AN3" s="42">
        <v>0</v>
      </c>
      <c r="AO3" s="54">
        <f t="shared" ref="AO3:AO54" si="6">IF(AL3="","***",IF(AL3&gt;15000,3,IF(AL3&lt;1000,1,2)))</f>
        <v>3</v>
      </c>
      <c r="AP3" s="53">
        <v>2</v>
      </c>
      <c r="AQ3" s="53">
        <f t="shared" ref="AQ3:AQ257" si="7">AO3*AP3</f>
        <v>6</v>
      </c>
      <c r="AR3" s="53"/>
      <c r="AS3" s="55"/>
      <c r="AT3" s="42">
        <v>24</v>
      </c>
      <c r="AU3" s="42" t="s">
        <v>88</v>
      </c>
      <c r="AV3" s="56">
        <v>0</v>
      </c>
      <c r="AW3" s="44">
        <f t="shared" ref="AW3:AW257" si="8">IF(AT3="","***",IF(AT3&lt;14,3,IF(AT3&lt;30,2,1)))</f>
        <v>2</v>
      </c>
      <c r="AX3" s="42">
        <v>1</v>
      </c>
      <c r="AY3" s="42">
        <f t="shared" ref="AY3:AY257" si="9">AW3*AX3</f>
        <v>2</v>
      </c>
      <c r="AZ3" s="42"/>
      <c r="BA3" s="42"/>
      <c r="BB3" s="57" t="s">
        <v>602</v>
      </c>
      <c r="BC3" s="58" t="s">
        <v>603</v>
      </c>
      <c r="BD3" s="58" t="s">
        <v>604</v>
      </c>
      <c r="BE3" s="59">
        <v>2</v>
      </c>
      <c r="BF3" s="58">
        <v>2</v>
      </c>
      <c r="BG3" s="58">
        <f t="shared" ref="BG3:BG257" si="10">BF3*LOG(BE3)</f>
        <v>0.6020599913279624</v>
      </c>
      <c r="BH3" s="58" t="s">
        <v>605</v>
      </c>
      <c r="BI3" s="58" t="s">
        <v>606</v>
      </c>
      <c r="BJ3" s="60" t="s">
        <v>90</v>
      </c>
      <c r="BK3" s="61">
        <v>1</v>
      </c>
      <c r="BL3" s="62">
        <v>1</v>
      </c>
      <c r="BM3" s="62">
        <f t="shared" ref="BM3:BM257" si="11">BL3*LOG(BK3)</f>
        <v>0</v>
      </c>
      <c r="BN3" s="58" t="s">
        <v>607</v>
      </c>
      <c r="BO3" s="62"/>
      <c r="BP3" s="62">
        <v>10.5</v>
      </c>
      <c r="BQ3" s="63">
        <f t="shared" ref="BQ3:BQ54" si="12">IF(BP3&lt;10,3,IF(BP3&lt;30,2,1))</f>
        <v>2</v>
      </c>
      <c r="BR3" s="45">
        <v>1</v>
      </c>
      <c r="BS3" s="45">
        <f t="shared" ref="BS3:BS257" si="13">BR3*LOG(BQ3)</f>
        <v>0.3010299956639812</v>
      </c>
      <c r="BU3" s="46"/>
      <c r="BV3" s="64">
        <v>1.1666666670000001</v>
      </c>
      <c r="BW3" s="54">
        <f t="shared" ref="BW3:BW54" si="14">IF(BV3&lt;2.5,1,IF(BV3&gt;3.5,3,2))</f>
        <v>1</v>
      </c>
      <c r="BX3" s="45">
        <v>1</v>
      </c>
      <c r="BY3" s="45">
        <f t="shared" ref="BY3:BY54" si="15">BX3*LOG(BW3)</f>
        <v>0</v>
      </c>
      <c r="BZ3" s="61" t="s">
        <v>91</v>
      </c>
      <c r="CA3" s="46"/>
      <c r="CB3" s="65">
        <v>654984</v>
      </c>
      <c r="CC3" s="45">
        <v>3</v>
      </c>
      <c r="CD3" s="45">
        <v>2</v>
      </c>
      <c r="CE3" s="45">
        <f t="shared" ref="CE3:CE257" si="16">CD3*LOG(CC3)</f>
        <v>0.95424250943932487</v>
      </c>
      <c r="CG3" s="46"/>
      <c r="CH3" s="66" t="s">
        <v>92</v>
      </c>
      <c r="CI3" s="67">
        <v>3</v>
      </c>
      <c r="CJ3" s="68">
        <v>2</v>
      </c>
      <c r="CK3" s="68">
        <f t="shared" ref="CK3:CK257" si="17">CJ3*LOG(CI3)</f>
        <v>0.95424250943932487</v>
      </c>
      <c r="CL3" s="68"/>
      <c r="CM3" s="69"/>
      <c r="CO3" s="70">
        <f t="shared" ref="CO3:CO54" si="18">(SUM(T3,AA3,AI3,AQ3,AY3)/SUM(S3,Z3,AH3,AP3,AX3,BF3))</f>
        <v>2.1111111111111112</v>
      </c>
      <c r="CQ3" s="45">
        <f t="shared" ref="CQ3:CQ257" si="19">SUM(BG3,BM3,BS3,BY3,CE3,CK3)/SUM(BF3,BL3,BR3,BX3,CD3,CJ3)</f>
        <v>0.31239722287451038</v>
      </c>
      <c r="CR3" s="45">
        <f t="shared" ref="CR3:CR257" si="20">10^CQ3</f>
        <v>2.0530391109397983</v>
      </c>
      <c r="CT3" s="71">
        <f t="shared" ref="CT3:CT257" si="21">SQRT(((CO3-3)^2)+(CR3-1)^2)</f>
        <v>1.3780474686885804</v>
      </c>
    </row>
    <row r="4" spans="1:99" ht="16">
      <c r="A4" s="36">
        <v>2</v>
      </c>
      <c r="B4" s="37" t="s">
        <v>144</v>
      </c>
      <c r="C4" s="37"/>
      <c r="D4" s="37"/>
      <c r="E4" s="38" t="s">
        <v>93</v>
      </c>
      <c r="F4" s="38" t="s">
        <v>94</v>
      </c>
      <c r="G4" s="38" t="s">
        <v>95</v>
      </c>
      <c r="H4" s="38" t="s">
        <v>83</v>
      </c>
      <c r="I4" s="72">
        <v>3.5</v>
      </c>
      <c r="J4" s="53" t="s">
        <v>88</v>
      </c>
      <c r="K4" s="42">
        <v>0</v>
      </c>
      <c r="L4" s="42">
        <v>3</v>
      </c>
      <c r="M4" s="42">
        <v>1</v>
      </c>
      <c r="N4" s="42">
        <f t="shared" si="0"/>
        <v>3</v>
      </c>
      <c r="O4" s="42">
        <v>97</v>
      </c>
      <c r="P4" s="53"/>
      <c r="Q4" s="43">
        <v>7</v>
      </c>
      <c r="R4" s="44">
        <f t="shared" si="1"/>
        <v>3</v>
      </c>
      <c r="S4" s="45">
        <v>1</v>
      </c>
      <c r="T4" s="45">
        <f t="shared" si="2"/>
        <v>3</v>
      </c>
      <c r="V4" s="46"/>
      <c r="W4" s="58" t="s">
        <v>97</v>
      </c>
      <c r="X4" s="73">
        <v>3.4</v>
      </c>
      <c r="Y4" s="44">
        <f t="shared" si="3"/>
        <v>2</v>
      </c>
      <c r="Z4" s="45">
        <v>1</v>
      </c>
      <c r="AA4" s="45">
        <f t="shared" si="4"/>
        <v>2</v>
      </c>
      <c r="AB4" s="45">
        <v>1</v>
      </c>
      <c r="AD4" s="49" t="s">
        <v>87</v>
      </c>
      <c r="AE4" s="50" t="s">
        <v>88</v>
      </c>
      <c r="AF4" s="50">
        <v>0</v>
      </c>
      <c r="AG4" s="50">
        <v>3</v>
      </c>
      <c r="AH4" s="50">
        <v>2</v>
      </c>
      <c r="AI4" s="50">
        <f t="shared" si="5"/>
        <v>6</v>
      </c>
      <c r="AJ4" s="50">
        <v>1</v>
      </c>
      <c r="AK4" s="51" t="s">
        <v>89</v>
      </c>
      <c r="AL4" s="74">
        <v>14610</v>
      </c>
      <c r="AM4" s="53" t="s">
        <v>88</v>
      </c>
      <c r="AN4" s="42">
        <v>0</v>
      </c>
      <c r="AO4" s="54">
        <f t="shared" si="6"/>
        <v>2</v>
      </c>
      <c r="AP4" s="53">
        <v>2</v>
      </c>
      <c r="AQ4" s="53">
        <f t="shared" si="7"/>
        <v>4</v>
      </c>
      <c r="AR4" s="53"/>
      <c r="AS4" s="55"/>
      <c r="AT4" s="53">
        <v>22.5</v>
      </c>
      <c r="AU4" s="75" t="s">
        <v>88</v>
      </c>
      <c r="AV4" s="56">
        <v>0</v>
      </c>
      <c r="AW4" s="44">
        <f t="shared" si="8"/>
        <v>2</v>
      </c>
      <c r="AX4" s="42">
        <v>1</v>
      </c>
      <c r="AY4" s="42">
        <f t="shared" si="9"/>
        <v>2</v>
      </c>
      <c r="AZ4" s="42" t="s">
        <v>98</v>
      </c>
      <c r="BA4" s="53"/>
      <c r="BB4" s="57" t="s">
        <v>602</v>
      </c>
      <c r="BC4" s="58" t="s">
        <v>603</v>
      </c>
      <c r="BD4" s="58" t="s">
        <v>604</v>
      </c>
      <c r="BE4" s="59">
        <v>2</v>
      </c>
      <c r="BF4" s="58">
        <v>2</v>
      </c>
      <c r="BG4" s="58">
        <f t="shared" si="10"/>
        <v>0.6020599913279624</v>
      </c>
      <c r="BH4" s="58" t="s">
        <v>605</v>
      </c>
      <c r="BI4" s="58" t="s">
        <v>606</v>
      </c>
      <c r="BJ4" s="60" t="s">
        <v>90</v>
      </c>
      <c r="BK4" s="61">
        <v>1</v>
      </c>
      <c r="BL4" s="62">
        <v>1</v>
      </c>
      <c r="BM4" s="62">
        <f t="shared" si="11"/>
        <v>0</v>
      </c>
      <c r="BN4" s="58" t="s">
        <v>607</v>
      </c>
      <c r="BO4" s="59"/>
      <c r="BP4" s="59">
        <v>9</v>
      </c>
      <c r="BQ4" s="63">
        <f t="shared" si="12"/>
        <v>3</v>
      </c>
      <c r="BR4" s="45">
        <v>1</v>
      </c>
      <c r="BS4" s="45">
        <f t="shared" si="13"/>
        <v>0.47712125471966244</v>
      </c>
      <c r="BU4" s="46"/>
      <c r="BV4" s="64">
        <v>1.125</v>
      </c>
      <c r="BW4" s="54">
        <f t="shared" si="14"/>
        <v>1</v>
      </c>
      <c r="BX4" s="45">
        <v>1</v>
      </c>
      <c r="BY4" s="45">
        <f t="shared" si="15"/>
        <v>0</v>
      </c>
      <c r="BZ4" s="61" t="s">
        <v>99</v>
      </c>
      <c r="CA4" s="46"/>
      <c r="CB4" s="65">
        <v>270871</v>
      </c>
      <c r="CC4" s="45">
        <v>3</v>
      </c>
      <c r="CD4" s="45">
        <v>2</v>
      </c>
      <c r="CE4" s="45">
        <f t="shared" si="16"/>
        <v>0.95424250943932487</v>
      </c>
      <c r="CG4" s="46"/>
      <c r="CH4" s="66" t="s">
        <v>92</v>
      </c>
      <c r="CI4" s="67">
        <v>3</v>
      </c>
      <c r="CJ4" s="68">
        <v>2</v>
      </c>
      <c r="CK4" s="68">
        <f t="shared" si="17"/>
        <v>0.95424250943932487</v>
      </c>
      <c r="CL4" s="68"/>
      <c r="CM4" s="69"/>
      <c r="CO4" s="70">
        <f t="shared" si="18"/>
        <v>1.8888888888888888</v>
      </c>
      <c r="CQ4" s="45">
        <f t="shared" si="19"/>
        <v>0.33196291832514163</v>
      </c>
      <c r="CR4" s="45">
        <f t="shared" si="20"/>
        <v>2.1476470922214639</v>
      </c>
      <c r="CT4" s="71">
        <f t="shared" si="21"/>
        <v>1.5973921714841817</v>
      </c>
    </row>
    <row r="5" spans="1:99" ht="16">
      <c r="A5" s="36">
        <v>3</v>
      </c>
      <c r="B5" s="37" t="s">
        <v>144</v>
      </c>
      <c r="C5" s="37"/>
      <c r="D5" s="37"/>
      <c r="E5" s="38" t="s">
        <v>116</v>
      </c>
      <c r="F5" s="38" t="s">
        <v>94</v>
      </c>
      <c r="G5" s="38" t="s">
        <v>117</v>
      </c>
      <c r="H5" s="38" t="s">
        <v>83</v>
      </c>
      <c r="I5" s="72">
        <v>2.5</v>
      </c>
      <c r="J5" s="53" t="s">
        <v>88</v>
      </c>
      <c r="K5" s="42">
        <v>0</v>
      </c>
      <c r="L5" s="42">
        <v>3</v>
      </c>
      <c r="M5" s="42">
        <v>1</v>
      </c>
      <c r="N5" s="42">
        <f t="shared" si="0"/>
        <v>3</v>
      </c>
      <c r="O5" s="42">
        <v>97</v>
      </c>
      <c r="P5" s="53"/>
      <c r="Q5" s="43">
        <v>8.25</v>
      </c>
      <c r="R5" s="44">
        <f t="shared" si="1"/>
        <v>3</v>
      </c>
      <c r="S5" s="45">
        <v>1</v>
      </c>
      <c r="T5" s="45">
        <f t="shared" si="2"/>
        <v>3</v>
      </c>
      <c r="V5" s="46"/>
      <c r="W5" s="58" t="s">
        <v>118</v>
      </c>
      <c r="X5" s="73">
        <v>2.5</v>
      </c>
      <c r="Y5" s="44">
        <f t="shared" si="3"/>
        <v>2</v>
      </c>
      <c r="Z5" s="45">
        <v>1</v>
      </c>
      <c r="AA5" s="45">
        <f t="shared" si="4"/>
        <v>2</v>
      </c>
      <c r="AB5" s="45">
        <v>1</v>
      </c>
      <c r="AD5" s="49" t="s">
        <v>87</v>
      </c>
      <c r="AE5" s="50" t="s">
        <v>88</v>
      </c>
      <c r="AF5" s="50">
        <v>0</v>
      </c>
      <c r="AG5" s="50">
        <v>3</v>
      </c>
      <c r="AH5" s="50">
        <v>2</v>
      </c>
      <c r="AI5" s="50">
        <f t="shared" si="5"/>
        <v>6</v>
      </c>
      <c r="AJ5" s="50">
        <v>1</v>
      </c>
      <c r="AK5" s="51" t="s">
        <v>89</v>
      </c>
      <c r="AL5" s="61">
        <v>52750</v>
      </c>
      <c r="AM5" s="53" t="s">
        <v>88</v>
      </c>
      <c r="AN5" s="42">
        <v>0</v>
      </c>
      <c r="AO5" s="54">
        <f t="shared" si="6"/>
        <v>3</v>
      </c>
      <c r="AP5" s="53">
        <v>2</v>
      </c>
      <c r="AQ5" s="53">
        <f t="shared" si="7"/>
        <v>6</v>
      </c>
      <c r="AR5" s="53"/>
      <c r="AS5" s="55" t="s">
        <v>608</v>
      </c>
      <c r="AT5" s="42">
        <v>17.399999999999999</v>
      </c>
      <c r="AU5" s="42" t="s">
        <v>88</v>
      </c>
      <c r="AV5" s="56">
        <v>0</v>
      </c>
      <c r="AW5" s="44">
        <f t="shared" si="8"/>
        <v>2</v>
      </c>
      <c r="AX5" s="42">
        <v>1</v>
      </c>
      <c r="AY5" s="42">
        <f t="shared" si="9"/>
        <v>2</v>
      </c>
      <c r="AZ5" s="42"/>
      <c r="BA5" s="42"/>
      <c r="BB5" s="57" t="s">
        <v>602</v>
      </c>
      <c r="BC5" s="58" t="s">
        <v>603</v>
      </c>
      <c r="BD5" s="58" t="s">
        <v>609</v>
      </c>
      <c r="BE5" s="59">
        <v>1</v>
      </c>
      <c r="BF5" s="58">
        <v>2</v>
      </c>
      <c r="BG5" s="58">
        <f t="shared" si="10"/>
        <v>0</v>
      </c>
      <c r="BH5" s="58" t="s">
        <v>605</v>
      </c>
      <c r="BI5" s="58" t="s">
        <v>610</v>
      </c>
      <c r="BJ5" s="60" t="s">
        <v>90</v>
      </c>
      <c r="BK5" s="61">
        <v>1</v>
      </c>
      <c r="BL5" s="62">
        <v>1</v>
      </c>
      <c r="BM5" s="62">
        <f t="shared" si="11"/>
        <v>0</v>
      </c>
      <c r="BN5" s="58" t="s">
        <v>607</v>
      </c>
      <c r="BO5" s="59"/>
      <c r="BP5" s="59">
        <v>5.25</v>
      </c>
      <c r="BQ5" s="63">
        <f t="shared" si="12"/>
        <v>3</v>
      </c>
      <c r="BR5" s="45">
        <v>1</v>
      </c>
      <c r="BS5" s="45">
        <f t="shared" si="13"/>
        <v>0.47712125471966244</v>
      </c>
      <c r="BU5" s="46"/>
      <c r="BV5" s="64">
        <v>1.25</v>
      </c>
      <c r="BW5" s="54">
        <f t="shared" si="14"/>
        <v>1</v>
      </c>
      <c r="BX5" s="45">
        <v>1</v>
      </c>
      <c r="BY5" s="45">
        <f t="shared" si="15"/>
        <v>0</v>
      </c>
      <c r="BZ5" s="61" t="s">
        <v>99</v>
      </c>
      <c r="CA5" s="46"/>
      <c r="CB5" s="65">
        <v>253058</v>
      </c>
      <c r="CC5" s="45">
        <v>3</v>
      </c>
      <c r="CD5" s="45">
        <v>2</v>
      </c>
      <c r="CE5" s="45">
        <f t="shared" si="16"/>
        <v>0.95424250943932487</v>
      </c>
      <c r="CG5" s="46"/>
      <c r="CH5" s="66" t="s">
        <v>92</v>
      </c>
      <c r="CI5" s="67">
        <v>3</v>
      </c>
      <c r="CJ5" s="68">
        <v>2</v>
      </c>
      <c r="CK5" s="68">
        <f t="shared" si="17"/>
        <v>0.95424250943932487</v>
      </c>
      <c r="CL5" s="68"/>
      <c r="CM5" s="69"/>
      <c r="CO5" s="70">
        <f t="shared" si="18"/>
        <v>2.1111111111111112</v>
      </c>
      <c r="CQ5" s="45">
        <f t="shared" si="19"/>
        <v>0.26506736373314577</v>
      </c>
      <c r="CR5" s="45">
        <f t="shared" si="20"/>
        <v>1.841057547098748</v>
      </c>
      <c r="CT5" s="71">
        <f t="shared" si="21"/>
        <v>1.2237243375539633</v>
      </c>
    </row>
    <row r="6" spans="1:99" ht="16">
      <c r="A6" s="36">
        <v>4</v>
      </c>
      <c r="B6" s="37" t="s">
        <v>144</v>
      </c>
      <c r="C6" s="37"/>
      <c r="D6" s="37"/>
      <c r="E6" s="38" t="s">
        <v>119</v>
      </c>
      <c r="F6" s="38" t="s">
        <v>101</v>
      </c>
      <c r="G6" s="38" t="s">
        <v>120</v>
      </c>
      <c r="H6" s="38" t="s">
        <v>83</v>
      </c>
      <c r="I6" s="72">
        <v>3.5</v>
      </c>
      <c r="J6" s="53" t="s">
        <v>88</v>
      </c>
      <c r="K6" s="42">
        <v>0</v>
      </c>
      <c r="L6" s="42">
        <v>3</v>
      </c>
      <c r="M6" s="42">
        <v>1</v>
      </c>
      <c r="N6" s="42">
        <f t="shared" si="0"/>
        <v>3</v>
      </c>
      <c r="O6" s="42">
        <v>97</v>
      </c>
      <c r="P6" s="53"/>
      <c r="Q6" s="43">
        <v>13.25</v>
      </c>
      <c r="R6" s="44">
        <f t="shared" si="1"/>
        <v>3</v>
      </c>
      <c r="S6" s="45">
        <v>1</v>
      </c>
      <c r="T6" s="45">
        <f t="shared" si="2"/>
        <v>3</v>
      </c>
      <c r="V6" s="46"/>
      <c r="W6" s="58" t="s">
        <v>121</v>
      </c>
      <c r="X6" s="73">
        <v>2.8</v>
      </c>
      <c r="Y6" s="44">
        <f t="shared" si="3"/>
        <v>2</v>
      </c>
      <c r="Z6" s="45">
        <v>1</v>
      </c>
      <c r="AA6" s="45">
        <f t="shared" si="4"/>
        <v>2</v>
      </c>
      <c r="AB6" s="45">
        <v>1</v>
      </c>
      <c r="AD6" s="49" t="s">
        <v>122</v>
      </c>
      <c r="AE6" s="50" t="s">
        <v>88</v>
      </c>
      <c r="AF6" s="50">
        <v>0</v>
      </c>
      <c r="AG6" s="50">
        <v>3</v>
      </c>
      <c r="AH6" s="50">
        <v>2</v>
      </c>
      <c r="AI6" s="50">
        <f t="shared" si="5"/>
        <v>6</v>
      </c>
      <c r="AJ6" s="50">
        <v>1</v>
      </c>
      <c r="AK6" s="51" t="s">
        <v>89</v>
      </c>
      <c r="AL6" s="61">
        <v>309241</v>
      </c>
      <c r="AM6" s="53" t="s">
        <v>88</v>
      </c>
      <c r="AN6" s="42">
        <v>0</v>
      </c>
      <c r="AO6" s="54">
        <f t="shared" si="6"/>
        <v>3</v>
      </c>
      <c r="AP6" s="53">
        <v>2</v>
      </c>
      <c r="AQ6" s="53">
        <f t="shared" si="7"/>
        <v>6</v>
      </c>
      <c r="AR6" s="53"/>
      <c r="AS6" s="55" t="s">
        <v>608</v>
      </c>
      <c r="AT6" s="42">
        <v>28</v>
      </c>
      <c r="AU6" s="42" t="s">
        <v>88</v>
      </c>
      <c r="AV6" s="56">
        <v>0</v>
      </c>
      <c r="AW6" s="44">
        <f t="shared" si="8"/>
        <v>2</v>
      </c>
      <c r="AX6" s="42">
        <v>1</v>
      </c>
      <c r="AY6" s="42">
        <f t="shared" si="9"/>
        <v>2</v>
      </c>
      <c r="AZ6" s="42"/>
      <c r="BA6" s="42"/>
      <c r="BB6" s="57" t="s">
        <v>602</v>
      </c>
      <c r="BC6" s="58" t="s">
        <v>603</v>
      </c>
      <c r="BD6" s="58" t="s">
        <v>604</v>
      </c>
      <c r="BE6" s="59">
        <v>2</v>
      </c>
      <c r="BF6" s="58">
        <v>2</v>
      </c>
      <c r="BG6" s="58">
        <f t="shared" si="10"/>
        <v>0.6020599913279624</v>
      </c>
      <c r="BH6" s="58" t="s">
        <v>605</v>
      </c>
      <c r="BI6" s="58" t="s">
        <v>611</v>
      </c>
      <c r="BJ6" s="60" t="s">
        <v>90</v>
      </c>
      <c r="BK6" s="61">
        <v>1</v>
      </c>
      <c r="BL6" s="62">
        <v>1</v>
      </c>
      <c r="BM6" s="62">
        <f t="shared" si="11"/>
        <v>0</v>
      </c>
      <c r="BN6" s="58" t="s">
        <v>607</v>
      </c>
      <c r="BO6" s="59"/>
      <c r="BP6" s="59">
        <v>27.75</v>
      </c>
      <c r="BQ6" s="63">
        <f t="shared" si="12"/>
        <v>2</v>
      </c>
      <c r="BR6" s="45">
        <v>1</v>
      </c>
      <c r="BS6" s="45">
        <f t="shared" si="13"/>
        <v>0.3010299956639812</v>
      </c>
      <c r="BU6" s="46"/>
      <c r="BV6" s="64">
        <v>1.5</v>
      </c>
      <c r="BW6" s="54">
        <f t="shared" si="14"/>
        <v>1</v>
      </c>
      <c r="BX6" s="45">
        <v>1</v>
      </c>
      <c r="BY6" s="45">
        <f t="shared" si="15"/>
        <v>0</v>
      </c>
      <c r="BZ6" s="61" t="s">
        <v>99</v>
      </c>
      <c r="CA6" s="46"/>
      <c r="CB6" s="65">
        <v>208726</v>
      </c>
      <c r="CC6" s="45">
        <v>3</v>
      </c>
      <c r="CD6" s="45">
        <v>2</v>
      </c>
      <c r="CE6" s="45">
        <f t="shared" si="16"/>
        <v>0.95424250943932487</v>
      </c>
      <c r="CG6" s="46"/>
      <c r="CH6" s="66" t="s">
        <v>106</v>
      </c>
      <c r="CI6" s="67">
        <v>3</v>
      </c>
      <c r="CJ6" s="68">
        <v>2</v>
      </c>
      <c r="CK6" s="68">
        <f t="shared" si="17"/>
        <v>0.95424250943932487</v>
      </c>
      <c r="CL6" s="68"/>
      <c r="CM6" s="69"/>
      <c r="CO6" s="70">
        <f t="shared" si="18"/>
        <v>2.1111111111111112</v>
      </c>
      <c r="CQ6" s="45">
        <f t="shared" si="19"/>
        <v>0.31239722287451038</v>
      </c>
      <c r="CR6" s="45">
        <f t="shared" si="20"/>
        <v>2.0530391109397983</v>
      </c>
      <c r="CT6" s="71">
        <f t="shared" si="21"/>
        <v>1.3780474686885804</v>
      </c>
    </row>
    <row r="7" spans="1:99" ht="16">
      <c r="A7" s="36">
        <v>5</v>
      </c>
      <c r="B7" s="37" t="s">
        <v>144</v>
      </c>
      <c r="C7" s="37"/>
      <c r="D7" s="37"/>
      <c r="E7" s="38" t="s">
        <v>100</v>
      </c>
      <c r="F7" s="38" t="s">
        <v>101</v>
      </c>
      <c r="G7" s="38" t="s">
        <v>102</v>
      </c>
      <c r="H7" s="38" t="s">
        <v>83</v>
      </c>
      <c r="I7" s="72">
        <v>5</v>
      </c>
      <c r="J7" s="53" t="s">
        <v>88</v>
      </c>
      <c r="K7" s="42">
        <v>0</v>
      </c>
      <c r="L7" s="42">
        <v>2</v>
      </c>
      <c r="M7" s="42">
        <v>1</v>
      </c>
      <c r="N7" s="42">
        <f t="shared" si="0"/>
        <v>2</v>
      </c>
      <c r="O7" s="42">
        <v>1</v>
      </c>
      <c r="P7" s="53"/>
      <c r="Q7" s="43">
        <v>9.5</v>
      </c>
      <c r="R7" s="44">
        <f t="shared" si="1"/>
        <v>3</v>
      </c>
      <c r="S7" s="45">
        <v>1</v>
      </c>
      <c r="T7" s="45">
        <f t="shared" si="2"/>
        <v>3</v>
      </c>
      <c r="V7" s="46"/>
      <c r="W7" s="58" t="s">
        <v>104</v>
      </c>
      <c r="X7" s="73">
        <v>3.3</v>
      </c>
      <c r="Y7" s="44">
        <f t="shared" si="3"/>
        <v>2</v>
      </c>
      <c r="Z7" s="45">
        <v>1</v>
      </c>
      <c r="AA7" s="45">
        <f t="shared" si="4"/>
        <v>2</v>
      </c>
      <c r="AB7" s="45">
        <v>1</v>
      </c>
      <c r="AD7" s="49" t="s">
        <v>105</v>
      </c>
      <c r="AE7" s="50" t="s">
        <v>88</v>
      </c>
      <c r="AF7" s="50">
        <v>0</v>
      </c>
      <c r="AG7" s="50">
        <v>3</v>
      </c>
      <c r="AH7" s="50">
        <v>2</v>
      </c>
      <c r="AI7" s="50">
        <f t="shared" si="5"/>
        <v>6</v>
      </c>
      <c r="AJ7" s="50">
        <v>1</v>
      </c>
      <c r="AK7" s="51" t="s">
        <v>89</v>
      </c>
      <c r="AL7" s="61">
        <v>2000</v>
      </c>
      <c r="AM7" s="53" t="s">
        <v>88</v>
      </c>
      <c r="AN7" s="42">
        <v>0</v>
      </c>
      <c r="AO7" s="54">
        <f t="shared" si="6"/>
        <v>2</v>
      </c>
      <c r="AP7" s="53">
        <v>2</v>
      </c>
      <c r="AQ7" s="53">
        <f t="shared" si="7"/>
        <v>4</v>
      </c>
      <c r="AR7" s="53"/>
      <c r="AS7" s="55"/>
      <c r="AT7" s="42">
        <v>21.1</v>
      </c>
      <c r="AU7" s="42" t="s">
        <v>88</v>
      </c>
      <c r="AV7" s="56">
        <v>0</v>
      </c>
      <c r="AW7" s="44">
        <f t="shared" si="8"/>
        <v>2</v>
      </c>
      <c r="AX7" s="42">
        <v>1</v>
      </c>
      <c r="AY7" s="42">
        <f t="shared" si="9"/>
        <v>2</v>
      </c>
      <c r="AZ7" s="42"/>
      <c r="BA7" s="42"/>
      <c r="BB7" s="57" t="s">
        <v>602</v>
      </c>
      <c r="BC7" s="58" t="s">
        <v>603</v>
      </c>
      <c r="BD7" s="58" t="s">
        <v>604</v>
      </c>
      <c r="BE7" s="59">
        <v>2</v>
      </c>
      <c r="BF7" s="58">
        <v>2</v>
      </c>
      <c r="BG7" s="58">
        <f t="shared" si="10"/>
        <v>0.6020599913279624</v>
      </c>
      <c r="BH7" s="58" t="s">
        <v>605</v>
      </c>
      <c r="BI7" s="58" t="s">
        <v>606</v>
      </c>
      <c r="BJ7" s="60" t="s">
        <v>90</v>
      </c>
      <c r="BK7" s="61">
        <v>1</v>
      </c>
      <c r="BL7" s="62">
        <v>1</v>
      </c>
      <c r="BM7" s="62">
        <f t="shared" si="11"/>
        <v>0</v>
      </c>
      <c r="BN7" s="58" t="s">
        <v>607</v>
      </c>
      <c r="BO7" s="59"/>
      <c r="BP7" s="59">
        <v>10</v>
      </c>
      <c r="BQ7" s="63">
        <f t="shared" si="12"/>
        <v>2</v>
      </c>
      <c r="BR7" s="45">
        <v>1</v>
      </c>
      <c r="BS7" s="45">
        <f t="shared" si="13"/>
        <v>0.3010299956639812</v>
      </c>
      <c r="BU7" s="46"/>
      <c r="BV7" s="64">
        <v>1.25</v>
      </c>
      <c r="BW7" s="54">
        <f t="shared" si="14"/>
        <v>1</v>
      </c>
      <c r="BX7" s="45">
        <v>1</v>
      </c>
      <c r="BY7" s="45">
        <f t="shared" si="15"/>
        <v>0</v>
      </c>
      <c r="BZ7" s="61" t="s">
        <v>99</v>
      </c>
      <c r="CA7" s="46"/>
      <c r="CB7" s="65">
        <v>184391</v>
      </c>
      <c r="CC7" s="45">
        <v>3</v>
      </c>
      <c r="CD7" s="45">
        <v>2</v>
      </c>
      <c r="CE7" s="45">
        <f t="shared" si="16"/>
        <v>0.95424250943932487</v>
      </c>
      <c r="CG7" s="46"/>
      <c r="CH7" s="66" t="s">
        <v>106</v>
      </c>
      <c r="CI7" s="67">
        <v>3</v>
      </c>
      <c r="CJ7" s="68">
        <v>2</v>
      </c>
      <c r="CK7" s="68">
        <f t="shared" si="17"/>
        <v>0.95424250943932487</v>
      </c>
      <c r="CL7" s="68"/>
      <c r="CM7" s="69"/>
      <c r="CO7" s="70">
        <f t="shared" si="18"/>
        <v>1.8888888888888888</v>
      </c>
      <c r="CQ7" s="45">
        <f t="shared" si="19"/>
        <v>0.31239722287451038</v>
      </c>
      <c r="CR7" s="45">
        <f t="shared" si="20"/>
        <v>2.0530391109397983</v>
      </c>
      <c r="CT7" s="71">
        <f t="shared" si="21"/>
        <v>1.5308361344061125</v>
      </c>
    </row>
    <row r="8" spans="1:99" ht="16">
      <c r="A8" s="36">
        <v>6</v>
      </c>
      <c r="B8" s="37"/>
      <c r="C8" s="37"/>
      <c r="D8" s="37"/>
      <c r="E8" s="38" t="s">
        <v>107</v>
      </c>
      <c r="F8" s="38" t="s">
        <v>108</v>
      </c>
      <c r="G8" s="38" t="s">
        <v>109</v>
      </c>
      <c r="H8" s="38" t="s">
        <v>110</v>
      </c>
      <c r="I8" s="72">
        <v>12.5</v>
      </c>
      <c r="J8" s="53" t="s">
        <v>88</v>
      </c>
      <c r="K8" s="42">
        <v>0</v>
      </c>
      <c r="L8" s="42">
        <v>2</v>
      </c>
      <c r="M8" s="42">
        <v>1</v>
      </c>
      <c r="N8" s="42">
        <f t="shared" si="0"/>
        <v>2</v>
      </c>
      <c r="O8" s="42">
        <v>97</v>
      </c>
      <c r="P8" s="53"/>
      <c r="Q8" s="43">
        <v>8.4499999999999993</v>
      </c>
      <c r="R8" s="44">
        <f t="shared" si="1"/>
        <v>3</v>
      </c>
      <c r="S8" s="45">
        <v>1</v>
      </c>
      <c r="T8" s="45">
        <f t="shared" si="2"/>
        <v>3</v>
      </c>
      <c r="V8" s="46"/>
      <c r="W8" s="58" t="s">
        <v>112</v>
      </c>
      <c r="X8" s="73">
        <v>3.1</v>
      </c>
      <c r="Y8" s="44">
        <f t="shared" si="3"/>
        <v>2</v>
      </c>
      <c r="Z8" s="45">
        <v>1</v>
      </c>
      <c r="AA8" s="45">
        <f t="shared" si="4"/>
        <v>2</v>
      </c>
      <c r="AB8" s="45">
        <v>1</v>
      </c>
      <c r="AD8" s="49" t="s">
        <v>113</v>
      </c>
      <c r="AE8" s="50" t="s">
        <v>88</v>
      </c>
      <c r="AF8" s="50">
        <v>0</v>
      </c>
      <c r="AG8" s="50">
        <v>3</v>
      </c>
      <c r="AH8" s="50">
        <v>2</v>
      </c>
      <c r="AI8" s="50">
        <f t="shared" si="5"/>
        <v>6</v>
      </c>
      <c r="AJ8" s="50">
        <v>1</v>
      </c>
      <c r="AK8" s="51" t="s">
        <v>114</v>
      </c>
      <c r="AL8" s="61">
        <v>54000</v>
      </c>
      <c r="AM8" s="53" t="s">
        <v>88</v>
      </c>
      <c r="AN8" s="42">
        <v>0</v>
      </c>
      <c r="AO8" s="54">
        <f t="shared" si="6"/>
        <v>3</v>
      </c>
      <c r="AP8" s="53">
        <v>2</v>
      </c>
      <c r="AQ8" s="53">
        <f t="shared" si="7"/>
        <v>6</v>
      </c>
      <c r="AR8" s="53"/>
      <c r="AS8" s="55"/>
      <c r="AT8" s="42">
        <v>37.5</v>
      </c>
      <c r="AU8" s="42" t="s">
        <v>115</v>
      </c>
      <c r="AV8" s="44">
        <v>1</v>
      </c>
      <c r="AW8" s="44">
        <f t="shared" si="8"/>
        <v>1</v>
      </c>
      <c r="AX8" s="42">
        <v>1</v>
      </c>
      <c r="AY8" s="42">
        <f t="shared" si="9"/>
        <v>1</v>
      </c>
      <c r="AZ8" s="42">
        <v>22</v>
      </c>
      <c r="BA8" s="53" t="s">
        <v>612</v>
      </c>
      <c r="BB8" s="57" t="s">
        <v>602</v>
      </c>
      <c r="BC8" s="58" t="s">
        <v>603</v>
      </c>
      <c r="BD8" s="58" t="s">
        <v>609</v>
      </c>
      <c r="BE8" s="59">
        <v>1</v>
      </c>
      <c r="BF8" s="58">
        <v>2</v>
      </c>
      <c r="BG8" s="58">
        <f t="shared" si="10"/>
        <v>0</v>
      </c>
      <c r="BH8" s="58" t="s">
        <v>605</v>
      </c>
      <c r="BI8" s="58" t="s">
        <v>610</v>
      </c>
      <c r="BJ8" s="60" t="s">
        <v>90</v>
      </c>
      <c r="BK8" s="61">
        <v>1</v>
      </c>
      <c r="BL8" s="62">
        <v>1</v>
      </c>
      <c r="BM8" s="62">
        <f t="shared" si="11"/>
        <v>0</v>
      </c>
      <c r="BN8" s="58" t="s">
        <v>607</v>
      </c>
      <c r="BO8" s="59"/>
      <c r="BP8" s="59">
        <v>33.5</v>
      </c>
      <c r="BQ8" s="63">
        <f t="shared" si="12"/>
        <v>1</v>
      </c>
      <c r="BR8" s="45">
        <v>1</v>
      </c>
      <c r="BS8" s="45">
        <f t="shared" si="13"/>
        <v>0</v>
      </c>
      <c r="BU8" s="46"/>
      <c r="BV8" s="64">
        <v>1.25</v>
      </c>
      <c r="BW8" s="54">
        <f t="shared" si="14"/>
        <v>1</v>
      </c>
      <c r="BX8" s="45">
        <v>1</v>
      </c>
      <c r="BY8" s="45">
        <f t="shared" si="15"/>
        <v>0</v>
      </c>
      <c r="BZ8" s="61" t="s">
        <v>99</v>
      </c>
      <c r="CA8" s="46"/>
      <c r="CB8" s="65">
        <v>178764</v>
      </c>
      <c r="CC8" s="45">
        <v>3</v>
      </c>
      <c r="CD8" s="45">
        <v>2</v>
      </c>
      <c r="CE8" s="45">
        <f t="shared" si="16"/>
        <v>0.95424250943932487</v>
      </c>
      <c r="CG8" s="46"/>
      <c r="CH8" s="66" t="s">
        <v>106</v>
      </c>
      <c r="CI8" s="67">
        <v>3</v>
      </c>
      <c r="CJ8" s="68">
        <v>2</v>
      </c>
      <c r="CK8" s="68">
        <f t="shared" si="17"/>
        <v>0.95424250943932487</v>
      </c>
      <c r="CL8" s="68"/>
      <c r="CM8" s="69"/>
      <c r="CO8" s="70">
        <f t="shared" si="18"/>
        <v>2</v>
      </c>
      <c r="CQ8" s="45">
        <f t="shared" si="19"/>
        <v>0.21205389098651664</v>
      </c>
      <c r="CR8" s="45">
        <f t="shared" si="20"/>
        <v>1.6294982222188463</v>
      </c>
      <c r="CT8" s="71">
        <f t="shared" si="21"/>
        <v>1.1816378513642358</v>
      </c>
    </row>
    <row r="9" spans="1:99" ht="16">
      <c r="A9" s="36">
        <v>7</v>
      </c>
      <c r="B9" s="37" t="s">
        <v>144</v>
      </c>
      <c r="C9" s="37"/>
      <c r="D9" s="37"/>
      <c r="E9" s="38" t="s">
        <v>123</v>
      </c>
      <c r="F9" s="38" t="s">
        <v>124</v>
      </c>
      <c r="G9" s="38" t="s">
        <v>125</v>
      </c>
      <c r="H9" s="38" t="s">
        <v>83</v>
      </c>
      <c r="I9" s="72">
        <v>6.5</v>
      </c>
      <c r="J9" s="53" t="s">
        <v>88</v>
      </c>
      <c r="K9" s="42">
        <v>0</v>
      </c>
      <c r="L9" s="42">
        <v>2</v>
      </c>
      <c r="M9" s="42">
        <v>1</v>
      </c>
      <c r="N9" s="42">
        <f t="shared" si="0"/>
        <v>2</v>
      </c>
      <c r="O9" s="42">
        <v>97</v>
      </c>
      <c r="P9" s="53"/>
      <c r="Q9" s="43">
        <v>11</v>
      </c>
      <c r="R9" s="44">
        <f t="shared" si="1"/>
        <v>3</v>
      </c>
      <c r="S9" s="45">
        <v>1</v>
      </c>
      <c r="T9" s="45">
        <f t="shared" si="2"/>
        <v>3</v>
      </c>
      <c r="V9" s="46"/>
      <c r="W9" s="58" t="s">
        <v>126</v>
      </c>
      <c r="X9" s="73">
        <v>3.1</v>
      </c>
      <c r="Y9" s="44">
        <f t="shared" si="3"/>
        <v>2</v>
      </c>
      <c r="Z9" s="45">
        <v>1</v>
      </c>
      <c r="AA9" s="45">
        <f t="shared" si="4"/>
        <v>2</v>
      </c>
      <c r="AB9" s="45">
        <v>1</v>
      </c>
      <c r="AD9" s="49" t="s">
        <v>127</v>
      </c>
      <c r="AE9" s="50" t="s">
        <v>88</v>
      </c>
      <c r="AF9" s="50">
        <v>0</v>
      </c>
      <c r="AG9" s="50">
        <v>3</v>
      </c>
      <c r="AH9" s="50">
        <v>2</v>
      </c>
      <c r="AI9" s="50">
        <f t="shared" si="5"/>
        <v>6</v>
      </c>
      <c r="AJ9" s="50">
        <v>1</v>
      </c>
      <c r="AK9" s="51" t="s">
        <v>89</v>
      </c>
      <c r="AL9" s="61">
        <v>11700</v>
      </c>
      <c r="AM9" s="53" t="s">
        <v>88</v>
      </c>
      <c r="AN9" s="42">
        <v>0</v>
      </c>
      <c r="AO9" s="54">
        <f t="shared" si="6"/>
        <v>2</v>
      </c>
      <c r="AP9" s="53">
        <v>2</v>
      </c>
      <c r="AQ9" s="53">
        <f t="shared" si="7"/>
        <v>4</v>
      </c>
      <c r="AR9" s="53"/>
      <c r="AS9" s="55"/>
      <c r="AT9" s="42">
        <v>11.5</v>
      </c>
      <c r="AU9" s="42" t="s">
        <v>115</v>
      </c>
      <c r="AV9" s="44">
        <v>1</v>
      </c>
      <c r="AW9" s="44">
        <f t="shared" si="8"/>
        <v>3</v>
      </c>
      <c r="AX9" s="42">
        <v>1</v>
      </c>
      <c r="AY9" s="42">
        <f t="shared" si="9"/>
        <v>3</v>
      </c>
      <c r="AZ9" s="42" t="s">
        <v>128</v>
      </c>
      <c r="BA9" s="53" t="s">
        <v>613</v>
      </c>
      <c r="BB9" s="57" t="s">
        <v>602</v>
      </c>
      <c r="BC9" s="58" t="s">
        <v>603</v>
      </c>
      <c r="BD9" s="58" t="s">
        <v>604</v>
      </c>
      <c r="BE9" s="59">
        <v>2</v>
      </c>
      <c r="BF9" s="58">
        <v>2</v>
      </c>
      <c r="BG9" s="58">
        <f t="shared" si="10"/>
        <v>0.6020599913279624</v>
      </c>
      <c r="BH9" s="58" t="s">
        <v>605</v>
      </c>
      <c r="BI9" s="58" t="s">
        <v>611</v>
      </c>
      <c r="BJ9" s="60" t="s">
        <v>90</v>
      </c>
      <c r="BK9" s="61">
        <v>1</v>
      </c>
      <c r="BL9" s="62">
        <v>1</v>
      </c>
      <c r="BM9" s="62">
        <f t="shared" si="11"/>
        <v>0</v>
      </c>
      <c r="BN9" s="58" t="s">
        <v>607</v>
      </c>
      <c r="BO9" s="59"/>
      <c r="BP9" s="59">
        <v>8</v>
      </c>
      <c r="BQ9" s="63">
        <f t="shared" si="12"/>
        <v>3</v>
      </c>
      <c r="BR9" s="45">
        <v>1</v>
      </c>
      <c r="BS9" s="45">
        <f t="shared" si="13"/>
        <v>0.47712125471966244</v>
      </c>
      <c r="BU9" s="46"/>
      <c r="BV9" s="64">
        <v>1.1666666670000001</v>
      </c>
      <c r="BW9" s="54">
        <f t="shared" si="14"/>
        <v>1</v>
      </c>
      <c r="BX9" s="45">
        <v>1</v>
      </c>
      <c r="BY9" s="45">
        <f t="shared" si="15"/>
        <v>0</v>
      </c>
      <c r="BZ9" s="61" t="s">
        <v>91</v>
      </c>
      <c r="CA9" s="46"/>
      <c r="CB9" s="65">
        <v>138899</v>
      </c>
      <c r="CC9" s="45">
        <v>3</v>
      </c>
      <c r="CD9" s="45">
        <v>2</v>
      </c>
      <c r="CE9" s="45">
        <f t="shared" si="16"/>
        <v>0.95424250943932487</v>
      </c>
      <c r="CG9" s="46"/>
      <c r="CH9" s="66" t="s">
        <v>106</v>
      </c>
      <c r="CI9" s="67">
        <v>3</v>
      </c>
      <c r="CJ9" s="68">
        <v>2</v>
      </c>
      <c r="CK9" s="68">
        <f t="shared" si="17"/>
        <v>0.95424250943932487</v>
      </c>
      <c r="CL9" s="68"/>
      <c r="CM9" s="69"/>
      <c r="CO9" s="70">
        <f t="shared" si="18"/>
        <v>2</v>
      </c>
      <c r="CQ9" s="45">
        <f t="shared" si="19"/>
        <v>0.33196291832514163</v>
      </c>
      <c r="CR9" s="45">
        <f t="shared" si="20"/>
        <v>2.1476470922214639</v>
      </c>
      <c r="CT9" s="71">
        <f t="shared" si="21"/>
        <v>1.5222003311930994</v>
      </c>
    </row>
    <row r="10" spans="1:99" ht="16">
      <c r="A10" s="36">
        <v>8</v>
      </c>
      <c r="B10" s="37" t="s">
        <v>144</v>
      </c>
      <c r="C10" s="37"/>
      <c r="D10" s="37"/>
      <c r="E10" s="38" t="s">
        <v>321</v>
      </c>
      <c r="F10" s="38" t="s">
        <v>101</v>
      </c>
      <c r="G10" s="38" t="s">
        <v>322</v>
      </c>
      <c r="H10" s="38" t="s">
        <v>83</v>
      </c>
      <c r="I10" s="72">
        <v>6</v>
      </c>
      <c r="J10" s="53" t="s">
        <v>88</v>
      </c>
      <c r="K10" s="42">
        <v>0</v>
      </c>
      <c r="L10" s="42">
        <v>2</v>
      </c>
      <c r="M10" s="42">
        <v>1</v>
      </c>
      <c r="N10" s="42">
        <f t="shared" si="0"/>
        <v>2</v>
      </c>
      <c r="O10" s="76"/>
      <c r="P10" s="53"/>
      <c r="Q10" s="43">
        <v>8.125</v>
      </c>
      <c r="R10" s="44">
        <f t="shared" si="1"/>
        <v>3</v>
      </c>
      <c r="S10" s="45">
        <v>1</v>
      </c>
      <c r="T10" s="45">
        <f t="shared" si="2"/>
        <v>3</v>
      </c>
      <c r="V10" s="46"/>
      <c r="W10" s="58" t="s">
        <v>323</v>
      </c>
      <c r="X10" s="73">
        <v>3</v>
      </c>
      <c r="Y10" s="44">
        <f t="shared" si="3"/>
        <v>2</v>
      </c>
      <c r="Z10" s="45">
        <v>1</v>
      </c>
      <c r="AA10" s="45">
        <f t="shared" si="4"/>
        <v>2</v>
      </c>
      <c r="AB10" s="45">
        <v>1</v>
      </c>
      <c r="AD10" s="49" t="s">
        <v>87</v>
      </c>
      <c r="AE10" s="50" t="s">
        <v>88</v>
      </c>
      <c r="AF10" s="50">
        <v>0</v>
      </c>
      <c r="AG10" s="50">
        <v>3</v>
      </c>
      <c r="AH10" s="50">
        <v>2</v>
      </c>
      <c r="AI10" s="50">
        <f t="shared" si="5"/>
        <v>6</v>
      </c>
      <c r="AJ10" s="50">
        <v>1</v>
      </c>
      <c r="AK10" s="51" t="s">
        <v>89</v>
      </c>
      <c r="AL10" s="61">
        <v>248641</v>
      </c>
      <c r="AM10" s="53" t="s">
        <v>115</v>
      </c>
      <c r="AN10" s="42">
        <v>1</v>
      </c>
      <c r="AO10" s="54">
        <f t="shared" si="6"/>
        <v>3</v>
      </c>
      <c r="AP10" s="53">
        <v>2</v>
      </c>
      <c r="AQ10" s="53">
        <f t="shared" si="7"/>
        <v>6</v>
      </c>
      <c r="AR10" s="53"/>
      <c r="AS10" s="55"/>
      <c r="AT10" s="42">
        <v>22.3</v>
      </c>
      <c r="AU10" s="42" t="s">
        <v>88</v>
      </c>
      <c r="AV10" s="56">
        <v>0</v>
      </c>
      <c r="AW10" s="44">
        <f t="shared" si="8"/>
        <v>2</v>
      </c>
      <c r="AX10" s="42">
        <v>1</v>
      </c>
      <c r="AY10" s="42">
        <f t="shared" si="9"/>
        <v>2</v>
      </c>
      <c r="AZ10" s="42"/>
      <c r="BA10" s="42"/>
      <c r="BB10" s="57" t="s">
        <v>602</v>
      </c>
      <c r="BC10" s="58" t="s">
        <v>603</v>
      </c>
      <c r="BD10" s="58" t="s">
        <v>604</v>
      </c>
      <c r="BE10" s="59">
        <v>2</v>
      </c>
      <c r="BF10" s="58">
        <v>2</v>
      </c>
      <c r="BG10" s="58">
        <f t="shared" si="10"/>
        <v>0.6020599913279624</v>
      </c>
      <c r="BH10" s="58" t="s">
        <v>605</v>
      </c>
      <c r="BI10" s="58" t="s">
        <v>611</v>
      </c>
      <c r="BJ10" s="60" t="s">
        <v>90</v>
      </c>
      <c r="BK10" s="61">
        <v>1</v>
      </c>
      <c r="BL10" s="62">
        <v>1</v>
      </c>
      <c r="BM10" s="62">
        <f t="shared" si="11"/>
        <v>0</v>
      </c>
      <c r="BN10" s="58" t="s">
        <v>607</v>
      </c>
      <c r="BO10" s="59"/>
      <c r="BP10" s="59">
        <v>34.5</v>
      </c>
      <c r="BQ10" s="63">
        <f t="shared" si="12"/>
        <v>1</v>
      </c>
      <c r="BR10" s="45">
        <v>1</v>
      </c>
      <c r="BS10" s="45">
        <f t="shared" si="13"/>
        <v>0</v>
      </c>
      <c r="BU10" s="46"/>
      <c r="BV10" s="64">
        <v>1.5</v>
      </c>
      <c r="BW10" s="54">
        <f t="shared" si="14"/>
        <v>1</v>
      </c>
      <c r="BX10" s="45">
        <v>1</v>
      </c>
      <c r="BY10" s="45">
        <f t="shared" si="15"/>
        <v>0</v>
      </c>
      <c r="BZ10" s="61" t="s">
        <v>99</v>
      </c>
      <c r="CA10" s="46"/>
      <c r="CB10" s="65">
        <v>90135</v>
      </c>
      <c r="CC10" s="45">
        <v>3</v>
      </c>
      <c r="CD10" s="45">
        <v>2</v>
      </c>
      <c r="CE10" s="45">
        <f t="shared" si="16"/>
        <v>0.95424250943932487</v>
      </c>
      <c r="CG10" s="46"/>
      <c r="CH10" s="66" t="s">
        <v>106</v>
      </c>
      <c r="CI10" s="67">
        <v>3</v>
      </c>
      <c r="CJ10" s="68">
        <v>2</v>
      </c>
      <c r="CK10" s="68">
        <f t="shared" si="17"/>
        <v>0.95424250943932487</v>
      </c>
      <c r="CL10" s="68"/>
      <c r="CM10" s="69"/>
      <c r="CO10" s="70">
        <f t="shared" si="18"/>
        <v>2.1111111111111112</v>
      </c>
      <c r="CQ10" s="45">
        <f t="shared" si="19"/>
        <v>0.27894944557851242</v>
      </c>
      <c r="CR10" s="45">
        <f t="shared" si="20"/>
        <v>1.9008569961559403</v>
      </c>
      <c r="CT10" s="71">
        <f t="shared" si="21"/>
        <v>1.2655697469176588</v>
      </c>
    </row>
    <row r="11" spans="1:99" ht="16">
      <c r="A11" s="36">
        <v>9</v>
      </c>
      <c r="B11" s="37" t="s">
        <v>144</v>
      </c>
      <c r="C11" s="37"/>
      <c r="D11" s="37"/>
      <c r="E11" s="38" t="s">
        <v>614</v>
      </c>
      <c r="F11" s="38" t="s">
        <v>615</v>
      </c>
      <c r="G11" s="38" t="s">
        <v>616</v>
      </c>
      <c r="H11" s="38" t="s">
        <v>141</v>
      </c>
      <c r="I11" s="72">
        <v>5.03</v>
      </c>
      <c r="J11" s="53" t="s">
        <v>88</v>
      </c>
      <c r="K11" s="42">
        <v>0</v>
      </c>
      <c r="L11" s="42">
        <v>2</v>
      </c>
      <c r="M11" s="42">
        <v>1</v>
      </c>
      <c r="N11" s="42">
        <f t="shared" si="0"/>
        <v>2</v>
      </c>
      <c r="O11" s="42" t="s">
        <v>617</v>
      </c>
      <c r="P11" s="53"/>
      <c r="Q11" s="43">
        <v>8.0500000000000007</v>
      </c>
      <c r="R11" s="44">
        <f t="shared" si="1"/>
        <v>3</v>
      </c>
      <c r="S11" s="45">
        <v>1</v>
      </c>
      <c r="T11" s="45">
        <f t="shared" si="2"/>
        <v>3</v>
      </c>
      <c r="V11" s="46"/>
      <c r="W11" s="58" t="s">
        <v>618</v>
      </c>
      <c r="X11" s="73">
        <v>3.3</v>
      </c>
      <c r="Y11" s="44">
        <f t="shared" si="3"/>
        <v>2</v>
      </c>
      <c r="Z11" s="45">
        <v>1</v>
      </c>
      <c r="AA11" s="45">
        <f t="shared" si="4"/>
        <v>2</v>
      </c>
      <c r="AB11" s="45">
        <v>1</v>
      </c>
      <c r="AD11" s="49" t="s">
        <v>619</v>
      </c>
      <c r="AE11" s="50" t="s">
        <v>88</v>
      </c>
      <c r="AF11" s="50">
        <v>0</v>
      </c>
      <c r="AG11" s="50">
        <v>1</v>
      </c>
      <c r="AH11" s="50">
        <v>2</v>
      </c>
      <c r="AI11" s="50">
        <f t="shared" si="5"/>
        <v>2</v>
      </c>
      <c r="AJ11" s="50">
        <v>1</v>
      </c>
      <c r="AK11" s="51" t="s">
        <v>145</v>
      </c>
      <c r="AL11" s="61">
        <v>210</v>
      </c>
      <c r="AM11" s="53" t="s">
        <v>88</v>
      </c>
      <c r="AN11" s="42">
        <v>0</v>
      </c>
      <c r="AO11" s="54">
        <f t="shared" si="6"/>
        <v>1</v>
      </c>
      <c r="AP11" s="53">
        <v>2</v>
      </c>
      <c r="AQ11" s="53">
        <f t="shared" si="7"/>
        <v>2</v>
      </c>
      <c r="AR11" s="53"/>
      <c r="AS11" s="55"/>
      <c r="AT11" s="42">
        <v>0</v>
      </c>
      <c r="AU11" s="42" t="s">
        <v>88</v>
      </c>
      <c r="AV11" s="56">
        <v>0</v>
      </c>
      <c r="AW11" s="44">
        <f t="shared" si="8"/>
        <v>3</v>
      </c>
      <c r="AX11" s="42">
        <v>1</v>
      </c>
      <c r="AY11" s="42">
        <f t="shared" si="9"/>
        <v>3</v>
      </c>
      <c r="AZ11" s="42" t="s">
        <v>620</v>
      </c>
      <c r="BA11" s="77" t="s">
        <v>621</v>
      </c>
      <c r="BB11" s="57" t="s">
        <v>622</v>
      </c>
      <c r="BC11" s="58" t="s">
        <v>622</v>
      </c>
      <c r="BD11" s="58" t="s">
        <v>623</v>
      </c>
      <c r="BE11" s="59">
        <v>3</v>
      </c>
      <c r="BF11" s="58">
        <v>2</v>
      </c>
      <c r="BG11" s="58">
        <f t="shared" si="10"/>
        <v>0.95424250943932487</v>
      </c>
      <c r="BH11" s="58" t="s">
        <v>605</v>
      </c>
      <c r="BI11" s="58" t="s">
        <v>624</v>
      </c>
      <c r="BJ11" s="60" t="s">
        <v>90</v>
      </c>
      <c r="BK11" s="61">
        <v>1</v>
      </c>
      <c r="BL11" s="62">
        <v>1</v>
      </c>
      <c r="BM11" s="62">
        <f t="shared" si="11"/>
        <v>0</v>
      </c>
      <c r="BN11" s="58" t="s">
        <v>607</v>
      </c>
      <c r="BO11" s="59"/>
      <c r="BP11" s="59">
        <v>3.25</v>
      </c>
      <c r="BQ11" s="63">
        <f t="shared" si="12"/>
        <v>3</v>
      </c>
      <c r="BR11" s="45">
        <v>1</v>
      </c>
      <c r="BS11" s="45">
        <f t="shared" si="13"/>
        <v>0.47712125471966244</v>
      </c>
      <c r="BU11" s="46"/>
      <c r="BV11" s="64">
        <v>1.75</v>
      </c>
      <c r="BW11" s="54">
        <f t="shared" si="14"/>
        <v>1</v>
      </c>
      <c r="BX11" s="45">
        <v>1</v>
      </c>
      <c r="BY11" s="45">
        <f t="shared" si="15"/>
        <v>0</v>
      </c>
      <c r="BZ11" s="61" t="s">
        <v>99</v>
      </c>
      <c r="CA11" s="46"/>
      <c r="CB11" s="65">
        <v>89523</v>
      </c>
      <c r="CC11" s="45">
        <v>3</v>
      </c>
      <c r="CD11" s="45">
        <v>2</v>
      </c>
      <c r="CE11" s="45">
        <f t="shared" si="16"/>
        <v>0.95424250943932487</v>
      </c>
      <c r="CG11" s="46"/>
      <c r="CH11" s="66" t="s">
        <v>137</v>
      </c>
      <c r="CI11" s="67">
        <v>2</v>
      </c>
      <c r="CJ11" s="68">
        <v>2</v>
      </c>
      <c r="CK11" s="68">
        <f t="shared" si="17"/>
        <v>0.6020599913279624</v>
      </c>
      <c r="CL11" s="68"/>
      <c r="CM11" s="69"/>
      <c r="CO11" s="70">
        <f t="shared" si="18"/>
        <v>1.3333333333333333</v>
      </c>
      <c r="CQ11" s="45">
        <f t="shared" si="19"/>
        <v>0.33196291832514163</v>
      </c>
      <c r="CR11" s="45">
        <f t="shared" si="20"/>
        <v>2.1476470922214639</v>
      </c>
      <c r="CT11" s="71">
        <f t="shared" si="21"/>
        <v>2.023578915204979</v>
      </c>
    </row>
    <row r="12" spans="1:99" ht="16">
      <c r="A12" s="36">
        <v>10</v>
      </c>
      <c r="B12" s="37" t="s">
        <v>144</v>
      </c>
      <c r="C12" s="37"/>
      <c r="D12" s="37"/>
      <c r="E12" s="38" t="s">
        <v>149</v>
      </c>
      <c r="F12" s="38" t="s">
        <v>150</v>
      </c>
      <c r="G12" s="38" t="s">
        <v>151</v>
      </c>
      <c r="H12" s="38" t="s">
        <v>152</v>
      </c>
      <c r="I12" s="72">
        <v>2.2200000000000002</v>
      </c>
      <c r="J12" s="53" t="s">
        <v>88</v>
      </c>
      <c r="K12" s="42">
        <v>0</v>
      </c>
      <c r="L12" s="42">
        <v>3</v>
      </c>
      <c r="M12" s="42">
        <v>1</v>
      </c>
      <c r="N12" s="42">
        <f t="shared" si="0"/>
        <v>3</v>
      </c>
      <c r="O12" s="42" t="s">
        <v>625</v>
      </c>
      <c r="P12" s="53"/>
      <c r="Q12" s="43">
        <v>9.1666666669999994</v>
      </c>
      <c r="R12" s="44">
        <f t="shared" si="1"/>
        <v>3</v>
      </c>
      <c r="S12" s="45">
        <v>1</v>
      </c>
      <c r="T12" s="45">
        <f t="shared" si="2"/>
        <v>3</v>
      </c>
      <c r="V12" s="46"/>
      <c r="W12" s="58" t="s">
        <v>154</v>
      </c>
      <c r="X12" s="73">
        <v>3.2</v>
      </c>
      <c r="Y12" s="44">
        <f t="shared" si="3"/>
        <v>2</v>
      </c>
      <c r="Z12" s="45">
        <v>1</v>
      </c>
      <c r="AA12" s="45">
        <f t="shared" si="4"/>
        <v>2</v>
      </c>
      <c r="AB12" s="45">
        <v>1</v>
      </c>
      <c r="AD12" s="49" t="s">
        <v>155</v>
      </c>
      <c r="AE12" s="50" t="s">
        <v>88</v>
      </c>
      <c r="AF12" s="50">
        <v>0</v>
      </c>
      <c r="AG12" s="50">
        <v>2</v>
      </c>
      <c r="AH12" s="50">
        <v>2</v>
      </c>
      <c r="AI12" s="50">
        <f t="shared" si="5"/>
        <v>4</v>
      </c>
      <c r="AJ12" s="50">
        <v>1</v>
      </c>
      <c r="AK12" s="51" t="s">
        <v>156</v>
      </c>
      <c r="AL12" s="59">
        <v>79570</v>
      </c>
      <c r="AM12" s="53" t="s">
        <v>88</v>
      </c>
      <c r="AN12" s="42">
        <v>0</v>
      </c>
      <c r="AO12" s="54">
        <f t="shared" si="6"/>
        <v>3</v>
      </c>
      <c r="AP12" s="53">
        <v>2</v>
      </c>
      <c r="AQ12" s="53">
        <f t="shared" si="7"/>
        <v>6</v>
      </c>
      <c r="AR12" s="53"/>
      <c r="AS12" s="55"/>
      <c r="AT12" s="42">
        <v>35</v>
      </c>
      <c r="AU12" s="42" t="s">
        <v>88</v>
      </c>
      <c r="AV12" s="56">
        <v>0</v>
      </c>
      <c r="AW12" s="44">
        <f t="shared" si="8"/>
        <v>1</v>
      </c>
      <c r="AX12" s="42">
        <v>1</v>
      </c>
      <c r="AY12" s="42">
        <f t="shared" si="9"/>
        <v>1</v>
      </c>
      <c r="AZ12" s="42"/>
      <c r="BA12" s="42"/>
      <c r="BB12" s="57" t="s">
        <v>602</v>
      </c>
      <c r="BC12" s="58" t="s">
        <v>603</v>
      </c>
      <c r="BD12" s="58" t="s">
        <v>604</v>
      </c>
      <c r="BE12" s="59">
        <v>2</v>
      </c>
      <c r="BF12" s="58">
        <v>2</v>
      </c>
      <c r="BG12" s="58">
        <f t="shared" si="10"/>
        <v>0.6020599913279624</v>
      </c>
      <c r="BH12" s="58" t="s">
        <v>605</v>
      </c>
      <c r="BI12" s="58" t="s">
        <v>626</v>
      </c>
      <c r="BJ12" s="60" t="s">
        <v>90</v>
      </c>
      <c r="BK12" s="61">
        <v>1</v>
      </c>
      <c r="BL12" s="62">
        <v>1</v>
      </c>
      <c r="BM12" s="62">
        <f t="shared" si="11"/>
        <v>0</v>
      </c>
      <c r="BN12" s="58" t="s">
        <v>607</v>
      </c>
      <c r="BO12" s="59"/>
      <c r="BP12" s="59">
        <v>18.5</v>
      </c>
      <c r="BQ12" s="63">
        <f t="shared" si="12"/>
        <v>2</v>
      </c>
      <c r="BR12" s="45">
        <v>1</v>
      </c>
      <c r="BS12" s="45">
        <f t="shared" si="13"/>
        <v>0.3010299956639812</v>
      </c>
      <c r="BU12" s="46"/>
      <c r="BV12" s="64">
        <v>1.625</v>
      </c>
      <c r="BW12" s="54">
        <f t="shared" si="14"/>
        <v>1</v>
      </c>
      <c r="BX12" s="45">
        <v>1</v>
      </c>
      <c r="BY12" s="45">
        <f t="shared" si="15"/>
        <v>0</v>
      </c>
      <c r="BZ12" s="61" t="s">
        <v>99</v>
      </c>
      <c r="CA12" s="46"/>
      <c r="CB12" s="65">
        <v>89341</v>
      </c>
      <c r="CC12" s="45">
        <v>3</v>
      </c>
      <c r="CD12" s="45">
        <v>2</v>
      </c>
      <c r="CE12" s="45">
        <f t="shared" si="16"/>
        <v>0.95424250943932487</v>
      </c>
      <c r="CG12" s="46"/>
      <c r="CH12" s="66" t="s">
        <v>92</v>
      </c>
      <c r="CI12" s="67">
        <v>3</v>
      </c>
      <c r="CJ12" s="68">
        <v>2</v>
      </c>
      <c r="CK12" s="68">
        <f t="shared" si="17"/>
        <v>0.95424250943932487</v>
      </c>
      <c r="CL12" s="78"/>
      <c r="CM12" s="79"/>
      <c r="CO12" s="70">
        <f t="shared" si="18"/>
        <v>1.7777777777777777</v>
      </c>
      <c r="CQ12" s="45">
        <f t="shared" si="19"/>
        <v>0.31239722287451038</v>
      </c>
      <c r="CR12" s="45">
        <f t="shared" si="20"/>
        <v>2.0530391109397983</v>
      </c>
      <c r="CT12" s="71">
        <f t="shared" si="21"/>
        <v>1.6132943096852193</v>
      </c>
    </row>
    <row r="13" spans="1:99" ht="16">
      <c r="A13" s="36">
        <v>11</v>
      </c>
      <c r="B13" s="37" t="s">
        <v>144</v>
      </c>
      <c r="C13" s="37"/>
      <c r="D13" s="37"/>
      <c r="E13" s="38" t="s">
        <v>138</v>
      </c>
      <c r="F13" s="38" t="s">
        <v>139</v>
      </c>
      <c r="G13" s="38" t="s">
        <v>140</v>
      </c>
      <c r="H13" s="38" t="s">
        <v>141</v>
      </c>
      <c r="I13" s="72">
        <v>3.5</v>
      </c>
      <c r="J13" s="53" t="s">
        <v>88</v>
      </c>
      <c r="K13" s="42">
        <v>0</v>
      </c>
      <c r="L13" s="42">
        <v>3</v>
      </c>
      <c r="M13" s="42">
        <v>1</v>
      </c>
      <c r="N13" s="42">
        <f t="shared" si="0"/>
        <v>3</v>
      </c>
      <c r="O13" s="42">
        <v>97</v>
      </c>
      <c r="P13" s="53"/>
      <c r="Q13" s="43">
        <v>8.3333333330000006</v>
      </c>
      <c r="R13" s="44">
        <f t="shared" si="1"/>
        <v>3</v>
      </c>
      <c r="S13" s="45">
        <v>1</v>
      </c>
      <c r="T13" s="45">
        <f t="shared" si="2"/>
        <v>3</v>
      </c>
      <c r="V13" s="46"/>
      <c r="W13" s="58" t="s">
        <v>142</v>
      </c>
      <c r="X13" s="73">
        <v>3.2</v>
      </c>
      <c r="Y13" s="44">
        <f t="shared" si="3"/>
        <v>2</v>
      </c>
      <c r="Z13" s="45">
        <v>1</v>
      </c>
      <c r="AA13" s="45">
        <f t="shared" si="4"/>
        <v>2</v>
      </c>
      <c r="AB13" s="45">
        <v>1</v>
      </c>
      <c r="AD13" s="49" t="s">
        <v>143</v>
      </c>
      <c r="AE13" s="50" t="s">
        <v>88</v>
      </c>
      <c r="AF13" s="50">
        <v>0</v>
      </c>
      <c r="AG13" s="50">
        <v>1</v>
      </c>
      <c r="AH13" s="50">
        <v>2</v>
      </c>
      <c r="AI13" s="50">
        <f t="shared" si="5"/>
        <v>2</v>
      </c>
      <c r="AJ13" s="50">
        <v>1</v>
      </c>
      <c r="AK13" s="51" t="s">
        <v>145</v>
      </c>
      <c r="AL13" s="80">
        <v>4774</v>
      </c>
      <c r="AM13" s="53" t="s">
        <v>146</v>
      </c>
      <c r="AN13" s="42">
        <v>2</v>
      </c>
      <c r="AO13" s="54">
        <f t="shared" si="6"/>
        <v>2</v>
      </c>
      <c r="AP13" s="53">
        <v>2</v>
      </c>
      <c r="AQ13" s="53">
        <f t="shared" si="7"/>
        <v>4</v>
      </c>
      <c r="AR13" s="53"/>
      <c r="AS13" s="55"/>
      <c r="AT13" s="42">
        <v>17</v>
      </c>
      <c r="AU13" s="42" t="s">
        <v>115</v>
      </c>
      <c r="AV13" s="44">
        <v>1</v>
      </c>
      <c r="AW13" s="44">
        <f t="shared" si="8"/>
        <v>2</v>
      </c>
      <c r="AX13" s="42">
        <v>1</v>
      </c>
      <c r="AY13" s="42">
        <f t="shared" si="9"/>
        <v>2</v>
      </c>
      <c r="AZ13" s="42"/>
      <c r="BA13" s="53" t="s">
        <v>627</v>
      </c>
      <c r="BB13" s="57" t="s">
        <v>602</v>
      </c>
      <c r="BC13" s="58" t="s">
        <v>603</v>
      </c>
      <c r="BD13" s="58" t="s">
        <v>604</v>
      </c>
      <c r="BE13" s="59">
        <v>2</v>
      </c>
      <c r="BF13" s="58">
        <v>2</v>
      </c>
      <c r="BG13" s="58">
        <f t="shared" si="10"/>
        <v>0.6020599913279624</v>
      </c>
      <c r="BH13" s="58" t="s">
        <v>605</v>
      </c>
      <c r="BI13" s="58" t="s">
        <v>611</v>
      </c>
      <c r="BJ13" s="60" t="s">
        <v>90</v>
      </c>
      <c r="BK13" s="61">
        <v>1</v>
      </c>
      <c r="BL13" s="62">
        <v>1</v>
      </c>
      <c r="BM13" s="62">
        <f t="shared" si="11"/>
        <v>0</v>
      </c>
      <c r="BN13" s="58" t="s">
        <v>607</v>
      </c>
      <c r="BO13" s="59"/>
      <c r="BP13" s="59">
        <v>7.5</v>
      </c>
      <c r="BQ13" s="63">
        <f t="shared" si="12"/>
        <v>3</v>
      </c>
      <c r="BR13" s="45">
        <v>1</v>
      </c>
      <c r="BS13" s="45">
        <f t="shared" si="13"/>
        <v>0.47712125471966244</v>
      </c>
      <c r="BU13" s="46"/>
      <c r="BV13" s="64">
        <v>1</v>
      </c>
      <c r="BW13" s="54">
        <f t="shared" si="14"/>
        <v>1</v>
      </c>
      <c r="BX13" s="45">
        <v>1</v>
      </c>
      <c r="BY13" s="45">
        <f t="shared" si="15"/>
        <v>0</v>
      </c>
      <c r="BZ13" s="61" t="s">
        <v>99</v>
      </c>
      <c r="CA13" s="46"/>
      <c r="CB13" s="65">
        <v>88116</v>
      </c>
      <c r="CC13" s="45">
        <v>3</v>
      </c>
      <c r="CD13" s="45">
        <v>2</v>
      </c>
      <c r="CE13" s="45">
        <f t="shared" si="16"/>
        <v>0.95424250943932487</v>
      </c>
      <c r="CG13" s="46"/>
      <c r="CH13" s="213" t="s">
        <v>106</v>
      </c>
      <c r="CI13" s="42">
        <v>3</v>
      </c>
      <c r="CJ13" s="68">
        <v>2</v>
      </c>
      <c r="CK13" s="68">
        <f t="shared" si="17"/>
        <v>0.95424250943932487</v>
      </c>
      <c r="CL13" s="68"/>
      <c r="CM13" s="69"/>
      <c r="CO13" s="70">
        <f t="shared" si="18"/>
        <v>1.4444444444444444</v>
      </c>
      <c r="CQ13" s="45">
        <f t="shared" si="19"/>
        <v>0.33196291832514163</v>
      </c>
      <c r="CR13" s="45">
        <f t="shared" si="20"/>
        <v>2.1476470922214639</v>
      </c>
      <c r="CT13" s="71">
        <f t="shared" si="21"/>
        <v>1.933092583065833</v>
      </c>
    </row>
    <row r="14" spans="1:99" ht="16">
      <c r="A14" s="36">
        <v>12</v>
      </c>
      <c r="B14" s="37" t="s">
        <v>144</v>
      </c>
      <c r="C14" s="37"/>
      <c r="D14" s="37"/>
      <c r="E14" s="38" t="s">
        <v>628</v>
      </c>
      <c r="F14" s="38" t="s">
        <v>94</v>
      </c>
      <c r="G14" s="38" t="s">
        <v>629</v>
      </c>
      <c r="H14" s="38" t="s">
        <v>83</v>
      </c>
      <c r="I14" s="72">
        <v>6.5</v>
      </c>
      <c r="J14" s="53" t="s">
        <v>88</v>
      </c>
      <c r="K14" s="42">
        <v>0</v>
      </c>
      <c r="L14" s="42">
        <v>2</v>
      </c>
      <c r="M14" s="42">
        <v>1</v>
      </c>
      <c r="N14" s="42">
        <f t="shared" si="0"/>
        <v>2</v>
      </c>
      <c r="O14" s="42">
        <v>97</v>
      </c>
      <c r="P14" s="53"/>
      <c r="Q14" s="43">
        <v>6.75</v>
      </c>
      <c r="R14" s="44">
        <f t="shared" si="1"/>
        <v>3</v>
      </c>
      <c r="S14" s="45">
        <v>1</v>
      </c>
      <c r="T14" s="45">
        <f t="shared" si="2"/>
        <v>3</v>
      </c>
      <c r="V14" s="46"/>
      <c r="W14" s="58" t="s">
        <v>630</v>
      </c>
      <c r="X14" s="73">
        <v>2.4</v>
      </c>
      <c r="Y14" s="44">
        <f t="shared" si="3"/>
        <v>3</v>
      </c>
      <c r="Z14" s="45">
        <v>1</v>
      </c>
      <c r="AA14" s="45">
        <f t="shared" si="4"/>
        <v>3</v>
      </c>
      <c r="AB14" s="45">
        <v>1</v>
      </c>
      <c r="AD14" s="49" t="s">
        <v>87</v>
      </c>
      <c r="AE14" s="50" t="s">
        <v>88</v>
      </c>
      <c r="AF14" s="50">
        <v>0</v>
      </c>
      <c r="AG14" s="50">
        <v>3</v>
      </c>
      <c r="AH14" s="50">
        <v>2</v>
      </c>
      <c r="AI14" s="50">
        <f t="shared" si="5"/>
        <v>6</v>
      </c>
      <c r="AJ14" s="50">
        <v>1</v>
      </c>
      <c r="AK14" s="51" t="s">
        <v>89</v>
      </c>
      <c r="AL14" s="61">
        <v>9000</v>
      </c>
      <c r="AM14" s="53" t="s">
        <v>88</v>
      </c>
      <c r="AN14" s="42">
        <v>0</v>
      </c>
      <c r="AO14" s="54">
        <f t="shared" si="6"/>
        <v>2</v>
      </c>
      <c r="AP14" s="53">
        <v>2</v>
      </c>
      <c r="AQ14" s="53">
        <f t="shared" si="7"/>
        <v>4</v>
      </c>
      <c r="AR14" s="53"/>
      <c r="AS14" s="55"/>
      <c r="AT14" s="42">
        <v>19.3</v>
      </c>
      <c r="AU14" s="42" t="s">
        <v>88</v>
      </c>
      <c r="AV14" s="56">
        <v>0</v>
      </c>
      <c r="AW14" s="44">
        <f t="shared" si="8"/>
        <v>2</v>
      </c>
      <c r="AX14" s="42">
        <v>1</v>
      </c>
      <c r="AY14" s="42">
        <f t="shared" si="9"/>
        <v>2</v>
      </c>
      <c r="AZ14" s="42"/>
      <c r="BA14" s="42"/>
      <c r="BB14" s="57" t="s">
        <v>602</v>
      </c>
      <c r="BC14" s="58" t="s">
        <v>603</v>
      </c>
      <c r="BD14" s="58" t="s">
        <v>604</v>
      </c>
      <c r="BE14" s="59">
        <v>2</v>
      </c>
      <c r="BF14" s="58">
        <v>2</v>
      </c>
      <c r="BG14" s="58">
        <f t="shared" si="10"/>
        <v>0.6020599913279624</v>
      </c>
      <c r="BH14" s="58" t="s">
        <v>605</v>
      </c>
      <c r="BI14" s="58" t="s">
        <v>606</v>
      </c>
      <c r="BJ14" s="60" t="s">
        <v>90</v>
      </c>
      <c r="BK14" s="61">
        <v>1</v>
      </c>
      <c r="BL14" s="62">
        <v>1</v>
      </c>
      <c r="BM14" s="62">
        <f t="shared" si="11"/>
        <v>0</v>
      </c>
      <c r="BN14" s="58" t="s">
        <v>607</v>
      </c>
      <c r="BO14" s="59"/>
      <c r="BP14" s="59">
        <v>8</v>
      </c>
      <c r="BQ14" s="63">
        <f t="shared" si="12"/>
        <v>3</v>
      </c>
      <c r="BR14" s="45">
        <v>1</v>
      </c>
      <c r="BS14" s="45">
        <f t="shared" si="13"/>
        <v>0.47712125471966244</v>
      </c>
      <c r="BU14" s="46"/>
      <c r="BV14" s="64">
        <v>1.125</v>
      </c>
      <c r="BW14" s="54">
        <f t="shared" si="14"/>
        <v>1</v>
      </c>
      <c r="BX14" s="45">
        <v>1</v>
      </c>
      <c r="BY14" s="45">
        <f t="shared" si="15"/>
        <v>0</v>
      </c>
      <c r="BZ14" s="61" t="s">
        <v>99</v>
      </c>
      <c r="CA14" s="46"/>
      <c r="CB14" s="65">
        <v>85907</v>
      </c>
      <c r="CC14" s="45">
        <v>3</v>
      </c>
      <c r="CD14" s="45">
        <v>2</v>
      </c>
      <c r="CE14" s="45">
        <f t="shared" si="16"/>
        <v>0.95424250943932487</v>
      </c>
      <c r="CG14" s="46"/>
      <c r="CH14" s="66" t="s">
        <v>92</v>
      </c>
      <c r="CI14" s="67">
        <v>3</v>
      </c>
      <c r="CJ14" s="68">
        <v>2</v>
      </c>
      <c r="CK14" s="68">
        <f t="shared" si="17"/>
        <v>0.95424250943932487</v>
      </c>
      <c r="CL14" s="68"/>
      <c r="CM14" s="69"/>
      <c r="CO14" s="70">
        <f t="shared" si="18"/>
        <v>2</v>
      </c>
      <c r="CQ14" s="45">
        <f t="shared" si="19"/>
        <v>0.33196291832514163</v>
      </c>
      <c r="CR14" s="45">
        <f t="shared" si="20"/>
        <v>2.1476470922214639</v>
      </c>
      <c r="CT14" s="71">
        <f t="shared" si="21"/>
        <v>1.5222003311930994</v>
      </c>
    </row>
    <row r="15" spans="1:99" ht="16">
      <c r="A15" s="36">
        <v>13</v>
      </c>
      <c r="B15" s="37"/>
      <c r="C15" s="37"/>
      <c r="D15" s="37"/>
      <c r="E15" s="38" t="s">
        <v>251</v>
      </c>
      <c r="F15" s="38" t="s">
        <v>205</v>
      </c>
      <c r="G15" s="38" t="s">
        <v>252</v>
      </c>
      <c r="H15" s="38" t="s">
        <v>184</v>
      </c>
      <c r="I15" s="72">
        <v>6.5</v>
      </c>
      <c r="J15" s="53" t="s">
        <v>88</v>
      </c>
      <c r="K15" s="42">
        <v>0</v>
      </c>
      <c r="L15" s="42">
        <v>2</v>
      </c>
      <c r="M15" s="42">
        <v>1</v>
      </c>
      <c r="N15" s="42">
        <f t="shared" si="0"/>
        <v>2</v>
      </c>
      <c r="O15" s="42">
        <v>97</v>
      </c>
      <c r="P15" s="53"/>
      <c r="Q15" s="43">
        <v>17</v>
      </c>
      <c r="R15" s="44">
        <f t="shared" si="1"/>
        <v>3</v>
      </c>
      <c r="S15" s="45">
        <v>1</v>
      </c>
      <c r="T15" s="45">
        <f t="shared" si="2"/>
        <v>3</v>
      </c>
      <c r="V15" s="46"/>
      <c r="W15" s="58" t="s">
        <v>253</v>
      </c>
      <c r="X15" s="73">
        <v>3.2</v>
      </c>
      <c r="Y15" s="44">
        <f t="shared" si="3"/>
        <v>2</v>
      </c>
      <c r="Z15" s="45">
        <v>1</v>
      </c>
      <c r="AA15" s="45">
        <f t="shared" si="4"/>
        <v>2</v>
      </c>
      <c r="AB15" s="45">
        <v>1</v>
      </c>
      <c r="AD15" s="49" t="s">
        <v>113</v>
      </c>
      <c r="AE15" s="50" t="s">
        <v>88</v>
      </c>
      <c r="AF15" s="50">
        <v>0</v>
      </c>
      <c r="AG15" s="50">
        <v>3</v>
      </c>
      <c r="AH15" s="50">
        <v>2</v>
      </c>
      <c r="AI15" s="50">
        <f t="shared" si="5"/>
        <v>6</v>
      </c>
      <c r="AJ15" s="50">
        <v>1</v>
      </c>
      <c r="AK15" s="51" t="s">
        <v>114</v>
      </c>
      <c r="AL15" s="61">
        <v>8000</v>
      </c>
      <c r="AM15" s="53" t="s">
        <v>88</v>
      </c>
      <c r="AN15" s="42">
        <v>0</v>
      </c>
      <c r="AO15" s="54">
        <f t="shared" si="6"/>
        <v>2</v>
      </c>
      <c r="AP15" s="53">
        <v>2</v>
      </c>
      <c r="AQ15" s="53">
        <f t="shared" si="7"/>
        <v>4</v>
      </c>
      <c r="AR15" s="53"/>
      <c r="AS15" s="55"/>
      <c r="AT15" s="42">
        <v>19.66</v>
      </c>
      <c r="AU15" s="42" t="s">
        <v>146</v>
      </c>
      <c r="AV15" s="44">
        <v>2</v>
      </c>
      <c r="AW15" s="44">
        <f t="shared" si="8"/>
        <v>2</v>
      </c>
      <c r="AX15" s="42">
        <v>1</v>
      </c>
      <c r="AY15" s="42">
        <f t="shared" si="9"/>
        <v>2</v>
      </c>
      <c r="AZ15" s="42" t="s">
        <v>209</v>
      </c>
      <c r="BA15" s="53" t="s">
        <v>631</v>
      </c>
      <c r="BB15" s="57" t="s">
        <v>602</v>
      </c>
      <c r="BC15" s="58" t="s">
        <v>603</v>
      </c>
      <c r="BD15" s="58" t="s">
        <v>609</v>
      </c>
      <c r="BE15" s="59">
        <v>1</v>
      </c>
      <c r="BF15" s="58">
        <v>2</v>
      </c>
      <c r="BG15" s="58">
        <f t="shared" si="10"/>
        <v>0</v>
      </c>
      <c r="BH15" s="58" t="s">
        <v>605</v>
      </c>
      <c r="BI15" s="58" t="s">
        <v>610</v>
      </c>
      <c r="BJ15" s="60" t="s">
        <v>90</v>
      </c>
      <c r="BK15" s="61">
        <v>1</v>
      </c>
      <c r="BL15" s="62">
        <v>1</v>
      </c>
      <c r="BM15" s="62">
        <f t="shared" si="11"/>
        <v>0</v>
      </c>
      <c r="BN15" s="58" t="s">
        <v>607</v>
      </c>
      <c r="BO15" s="59"/>
      <c r="BP15" s="59">
        <v>29.5</v>
      </c>
      <c r="BQ15" s="63">
        <f t="shared" si="12"/>
        <v>2</v>
      </c>
      <c r="BR15" s="45">
        <v>1</v>
      </c>
      <c r="BS15" s="45">
        <f t="shared" si="13"/>
        <v>0.3010299956639812</v>
      </c>
      <c r="BU15" s="46"/>
      <c r="BV15" s="64">
        <v>1.75</v>
      </c>
      <c r="BW15" s="54">
        <f t="shared" si="14"/>
        <v>1</v>
      </c>
      <c r="BX15" s="45">
        <v>1</v>
      </c>
      <c r="BY15" s="45">
        <f t="shared" si="15"/>
        <v>0</v>
      </c>
      <c r="BZ15" s="61" t="s">
        <v>99</v>
      </c>
      <c r="CA15" s="46"/>
      <c r="CB15" s="65">
        <v>84269</v>
      </c>
      <c r="CC15" s="45">
        <v>3</v>
      </c>
      <c r="CD15" s="45">
        <v>2</v>
      </c>
      <c r="CE15" s="45">
        <f t="shared" si="16"/>
        <v>0.95424250943932487</v>
      </c>
      <c r="CG15" s="46"/>
      <c r="CH15" s="66" t="s">
        <v>106</v>
      </c>
      <c r="CI15" s="67">
        <v>3</v>
      </c>
      <c r="CJ15" s="68">
        <v>2</v>
      </c>
      <c r="CK15" s="68">
        <f t="shared" si="17"/>
        <v>0.95424250943932487</v>
      </c>
      <c r="CL15" s="78"/>
      <c r="CM15" s="79"/>
      <c r="CO15" s="70">
        <f t="shared" si="18"/>
        <v>1.8888888888888888</v>
      </c>
      <c r="CQ15" s="45">
        <f t="shared" si="19"/>
        <v>0.24550166828251452</v>
      </c>
      <c r="CR15" s="45">
        <f t="shared" si="20"/>
        <v>1.7599554244151643</v>
      </c>
      <c r="CT15" s="71">
        <f t="shared" si="21"/>
        <v>1.3461426924113953</v>
      </c>
    </row>
    <row r="16" spans="1:99" ht="16">
      <c r="A16" s="36">
        <v>14</v>
      </c>
      <c r="B16" s="37" t="s">
        <v>144</v>
      </c>
      <c r="C16" s="37"/>
      <c r="D16" s="37"/>
      <c r="E16" s="38" t="s">
        <v>129</v>
      </c>
      <c r="F16" s="38" t="s">
        <v>130</v>
      </c>
      <c r="G16" s="38" t="s">
        <v>131</v>
      </c>
      <c r="H16" s="38" t="s">
        <v>132</v>
      </c>
      <c r="I16" s="72">
        <v>3.5</v>
      </c>
      <c r="J16" s="53" t="s">
        <v>88</v>
      </c>
      <c r="K16" s="42">
        <v>0</v>
      </c>
      <c r="L16" s="42">
        <v>3</v>
      </c>
      <c r="M16" s="42">
        <v>1</v>
      </c>
      <c r="N16" s="42">
        <f t="shared" si="0"/>
        <v>3</v>
      </c>
      <c r="O16" s="42">
        <v>97</v>
      </c>
      <c r="P16" s="53"/>
      <c r="Q16" s="43">
        <v>7.5</v>
      </c>
      <c r="R16" s="44">
        <f t="shared" si="1"/>
        <v>3</v>
      </c>
      <c r="S16" s="45">
        <v>1</v>
      </c>
      <c r="T16" s="45">
        <f t="shared" si="2"/>
        <v>3</v>
      </c>
      <c r="V16" s="46"/>
      <c r="W16" s="58" t="s">
        <v>133</v>
      </c>
      <c r="X16" s="73">
        <v>3.3</v>
      </c>
      <c r="Y16" s="44">
        <f t="shared" si="3"/>
        <v>2</v>
      </c>
      <c r="Z16" s="45">
        <v>1</v>
      </c>
      <c r="AA16" s="45">
        <f t="shared" si="4"/>
        <v>2</v>
      </c>
      <c r="AB16" s="45">
        <v>1</v>
      </c>
      <c r="AD16" s="49" t="s">
        <v>134</v>
      </c>
      <c r="AE16" s="50" t="s">
        <v>88</v>
      </c>
      <c r="AF16" s="50">
        <v>0</v>
      </c>
      <c r="AG16" s="50">
        <v>3</v>
      </c>
      <c r="AH16" s="50">
        <v>2</v>
      </c>
      <c r="AI16" s="50">
        <f t="shared" si="5"/>
        <v>6</v>
      </c>
      <c r="AJ16" s="50">
        <v>1</v>
      </c>
      <c r="AK16" s="51" t="s">
        <v>135</v>
      </c>
      <c r="AL16" s="74">
        <v>10400</v>
      </c>
      <c r="AM16" s="53" t="s">
        <v>88</v>
      </c>
      <c r="AN16" s="42">
        <v>0</v>
      </c>
      <c r="AO16" s="54">
        <f t="shared" si="6"/>
        <v>2</v>
      </c>
      <c r="AP16" s="53">
        <v>2</v>
      </c>
      <c r="AQ16" s="53">
        <f t="shared" si="7"/>
        <v>4</v>
      </c>
      <c r="AR16" s="53"/>
      <c r="AS16" s="55"/>
      <c r="AT16" s="42">
        <v>36</v>
      </c>
      <c r="AU16" s="42" t="s">
        <v>88</v>
      </c>
      <c r="AV16" s="56">
        <v>0</v>
      </c>
      <c r="AW16" s="44">
        <f t="shared" si="8"/>
        <v>1</v>
      </c>
      <c r="AX16" s="42">
        <v>1</v>
      </c>
      <c r="AY16" s="42">
        <f t="shared" si="9"/>
        <v>1</v>
      </c>
      <c r="AZ16" s="42"/>
      <c r="BA16" s="42"/>
      <c r="BB16" s="57" t="s">
        <v>602</v>
      </c>
      <c r="BC16" s="58" t="s">
        <v>603</v>
      </c>
      <c r="BD16" s="58" t="s">
        <v>609</v>
      </c>
      <c r="BE16" s="59">
        <v>1</v>
      </c>
      <c r="BF16" s="58">
        <v>2</v>
      </c>
      <c r="BG16" s="58">
        <f t="shared" si="10"/>
        <v>0</v>
      </c>
      <c r="BH16" s="58" t="s">
        <v>605</v>
      </c>
      <c r="BI16" s="58" t="s">
        <v>610</v>
      </c>
      <c r="BJ16" s="60" t="s">
        <v>90</v>
      </c>
      <c r="BK16" s="61">
        <v>1</v>
      </c>
      <c r="BL16" s="62">
        <v>1</v>
      </c>
      <c r="BM16" s="62">
        <f t="shared" si="11"/>
        <v>0</v>
      </c>
      <c r="BN16" s="58" t="s">
        <v>607</v>
      </c>
      <c r="BO16" s="59"/>
      <c r="BP16" s="59">
        <v>9</v>
      </c>
      <c r="BQ16" s="63">
        <f t="shared" si="12"/>
        <v>3</v>
      </c>
      <c r="BR16" s="45">
        <v>1</v>
      </c>
      <c r="BS16" s="45">
        <f t="shared" si="13"/>
        <v>0.47712125471966244</v>
      </c>
      <c r="BU16" s="46"/>
      <c r="BV16" s="64">
        <v>3</v>
      </c>
      <c r="BW16" s="54">
        <f t="shared" si="14"/>
        <v>2</v>
      </c>
      <c r="BX16" s="45">
        <v>1</v>
      </c>
      <c r="BY16" s="45">
        <f t="shared" si="15"/>
        <v>0.3010299956639812</v>
      </c>
      <c r="BZ16" s="61" t="s">
        <v>99</v>
      </c>
      <c r="CA16" s="46"/>
      <c r="CB16" s="65">
        <v>83659</v>
      </c>
      <c r="CC16" s="45">
        <v>3</v>
      </c>
      <c r="CD16" s="45">
        <v>2</v>
      </c>
      <c r="CE16" s="45">
        <f t="shared" si="16"/>
        <v>0.95424250943932487</v>
      </c>
      <c r="CG16" s="46"/>
      <c r="CH16" s="66" t="s">
        <v>137</v>
      </c>
      <c r="CI16" s="67">
        <v>2</v>
      </c>
      <c r="CJ16" s="68">
        <v>2</v>
      </c>
      <c r="CK16" s="68">
        <f t="shared" si="17"/>
        <v>0.6020599913279624</v>
      </c>
      <c r="CL16" s="68"/>
      <c r="CM16" s="69"/>
      <c r="CO16" s="70">
        <f t="shared" si="18"/>
        <v>1.7777777777777777</v>
      </c>
      <c r="CQ16" s="45">
        <f t="shared" si="19"/>
        <v>0.25938375012788123</v>
      </c>
      <c r="CR16" s="45">
        <f t="shared" si="20"/>
        <v>1.8171205928321397</v>
      </c>
      <c r="CT16" s="71">
        <f t="shared" si="21"/>
        <v>1.4702085647023604</v>
      </c>
    </row>
    <row r="17" spans="1:98" ht="16">
      <c r="A17" s="36">
        <v>15</v>
      </c>
      <c r="B17" s="37" t="s">
        <v>144</v>
      </c>
      <c r="C17" s="37"/>
      <c r="D17" s="37"/>
      <c r="E17" s="38" t="s">
        <v>174</v>
      </c>
      <c r="F17" s="38" t="s">
        <v>175</v>
      </c>
      <c r="G17" s="38" t="s">
        <v>176</v>
      </c>
      <c r="H17" s="38" t="s">
        <v>177</v>
      </c>
      <c r="I17" s="72">
        <v>10</v>
      </c>
      <c r="J17" s="53" t="s">
        <v>88</v>
      </c>
      <c r="K17" s="42">
        <v>0</v>
      </c>
      <c r="L17" s="42">
        <v>2</v>
      </c>
      <c r="M17" s="42">
        <v>1</v>
      </c>
      <c r="N17" s="42">
        <f t="shared" si="0"/>
        <v>2</v>
      </c>
      <c r="O17" s="42">
        <v>97</v>
      </c>
      <c r="P17" s="53"/>
      <c r="Q17" s="43">
        <v>30.75</v>
      </c>
      <c r="R17" s="44">
        <f t="shared" si="1"/>
        <v>2</v>
      </c>
      <c r="S17" s="45">
        <v>1</v>
      </c>
      <c r="T17" s="45">
        <f t="shared" si="2"/>
        <v>2</v>
      </c>
      <c r="V17" s="46"/>
      <c r="W17" s="58" t="s">
        <v>178</v>
      </c>
      <c r="X17" s="73">
        <v>3.4</v>
      </c>
      <c r="Y17" s="44">
        <f t="shared" si="3"/>
        <v>2</v>
      </c>
      <c r="Z17" s="45">
        <v>1</v>
      </c>
      <c r="AA17" s="45">
        <f t="shared" si="4"/>
        <v>2</v>
      </c>
      <c r="AB17" s="45">
        <v>1</v>
      </c>
      <c r="AD17" s="49" t="s">
        <v>179</v>
      </c>
      <c r="AE17" s="50" t="s">
        <v>88</v>
      </c>
      <c r="AF17" s="50">
        <v>0</v>
      </c>
      <c r="AG17" s="50">
        <v>3</v>
      </c>
      <c r="AH17" s="50">
        <v>2</v>
      </c>
      <c r="AI17" s="50">
        <f t="shared" si="5"/>
        <v>6</v>
      </c>
      <c r="AJ17" s="50">
        <v>1</v>
      </c>
      <c r="AK17" s="51" t="s">
        <v>135</v>
      </c>
      <c r="AL17" s="61">
        <v>120000</v>
      </c>
      <c r="AM17" s="53" t="s">
        <v>88</v>
      </c>
      <c r="AN17" s="42">
        <v>0</v>
      </c>
      <c r="AO17" s="54">
        <f t="shared" si="6"/>
        <v>3</v>
      </c>
      <c r="AP17" s="53">
        <v>2</v>
      </c>
      <c r="AQ17" s="53">
        <f t="shared" si="7"/>
        <v>6</v>
      </c>
      <c r="AR17" s="53"/>
      <c r="AS17" s="55"/>
      <c r="AT17" s="42">
        <v>37</v>
      </c>
      <c r="AU17" s="42" t="s">
        <v>88</v>
      </c>
      <c r="AV17" s="56">
        <v>0</v>
      </c>
      <c r="AW17" s="44">
        <f t="shared" si="8"/>
        <v>1</v>
      </c>
      <c r="AX17" s="42">
        <v>1</v>
      </c>
      <c r="AY17" s="42">
        <f t="shared" si="9"/>
        <v>1</v>
      </c>
      <c r="AZ17" s="42"/>
      <c r="BA17" s="42"/>
      <c r="BB17" s="57" t="s">
        <v>602</v>
      </c>
      <c r="BC17" s="58" t="s">
        <v>603</v>
      </c>
      <c r="BD17" s="58" t="s">
        <v>604</v>
      </c>
      <c r="BE17" s="59">
        <v>2</v>
      </c>
      <c r="BF17" s="58">
        <v>2</v>
      </c>
      <c r="BG17" s="58">
        <f t="shared" si="10"/>
        <v>0.6020599913279624</v>
      </c>
      <c r="BH17" s="58" t="s">
        <v>605</v>
      </c>
      <c r="BI17" s="58" t="s">
        <v>606</v>
      </c>
      <c r="BJ17" s="81" t="s">
        <v>166</v>
      </c>
      <c r="BK17" s="61">
        <v>3</v>
      </c>
      <c r="BL17" s="62">
        <v>1</v>
      </c>
      <c r="BM17" s="62">
        <f t="shared" si="11"/>
        <v>0.47712125471966244</v>
      </c>
      <c r="BN17" s="58" t="s">
        <v>607</v>
      </c>
      <c r="BO17" s="59"/>
      <c r="BP17" s="59">
        <v>21</v>
      </c>
      <c r="BQ17" s="63">
        <f t="shared" si="12"/>
        <v>2</v>
      </c>
      <c r="BR17" s="45">
        <v>1</v>
      </c>
      <c r="BS17" s="45">
        <f t="shared" si="13"/>
        <v>0.3010299956639812</v>
      </c>
      <c r="BU17" s="46"/>
      <c r="BV17" s="64">
        <v>2.25</v>
      </c>
      <c r="BW17" s="54">
        <f t="shared" si="14"/>
        <v>1</v>
      </c>
      <c r="BX17" s="45">
        <v>1</v>
      </c>
      <c r="BY17" s="45">
        <f t="shared" si="15"/>
        <v>0</v>
      </c>
      <c r="BZ17" s="61" t="s">
        <v>99</v>
      </c>
      <c r="CA17" s="46"/>
      <c r="CB17" s="65">
        <v>72311</v>
      </c>
      <c r="CC17" s="45">
        <v>3</v>
      </c>
      <c r="CD17" s="45">
        <v>2</v>
      </c>
      <c r="CE17" s="45">
        <f t="shared" si="16"/>
        <v>0.95424250943932487</v>
      </c>
      <c r="CG17" s="46"/>
      <c r="CH17" s="66" t="s">
        <v>180</v>
      </c>
      <c r="CI17" s="67">
        <v>3</v>
      </c>
      <c r="CJ17" s="68">
        <v>2</v>
      </c>
      <c r="CK17" s="68">
        <f t="shared" si="17"/>
        <v>0.95424250943932487</v>
      </c>
      <c r="CL17" s="68"/>
      <c r="CM17" s="69"/>
      <c r="CO17" s="70">
        <f t="shared" si="18"/>
        <v>1.8888888888888888</v>
      </c>
      <c r="CQ17" s="45">
        <f t="shared" si="19"/>
        <v>0.36541069562113954</v>
      </c>
      <c r="CR17" s="45">
        <f t="shared" si="20"/>
        <v>2.3195871576575349</v>
      </c>
      <c r="CT17" s="71">
        <f t="shared" si="21"/>
        <v>1.7250733804361076</v>
      </c>
    </row>
    <row r="18" spans="1:98" ht="16">
      <c r="A18" s="36">
        <v>16</v>
      </c>
      <c r="B18" s="37"/>
      <c r="C18" s="37"/>
      <c r="D18" s="37"/>
      <c r="E18" s="38" t="s">
        <v>167</v>
      </c>
      <c r="F18" s="38" t="s">
        <v>168</v>
      </c>
      <c r="G18" s="38" t="s">
        <v>169</v>
      </c>
      <c r="H18" s="38" t="s">
        <v>170</v>
      </c>
      <c r="I18" s="72">
        <v>4</v>
      </c>
      <c r="J18" s="53" t="s">
        <v>88</v>
      </c>
      <c r="K18" s="42">
        <v>0</v>
      </c>
      <c r="L18" s="42">
        <v>3</v>
      </c>
      <c r="M18" s="42">
        <v>1</v>
      </c>
      <c r="N18" s="42">
        <f t="shared" si="0"/>
        <v>3</v>
      </c>
      <c r="O18" s="42">
        <v>97</v>
      </c>
      <c r="P18" s="53"/>
      <c r="Q18" s="43">
        <v>14</v>
      </c>
      <c r="R18" s="44">
        <f t="shared" si="1"/>
        <v>3</v>
      </c>
      <c r="S18" s="45">
        <v>1</v>
      </c>
      <c r="T18" s="45">
        <f t="shared" si="2"/>
        <v>3</v>
      </c>
      <c r="V18" s="46"/>
      <c r="W18" s="58" t="s">
        <v>171</v>
      </c>
      <c r="X18" s="73">
        <v>2</v>
      </c>
      <c r="Y18" s="44">
        <f t="shared" si="3"/>
        <v>3</v>
      </c>
      <c r="Z18" s="45">
        <v>1</v>
      </c>
      <c r="AA18" s="45">
        <f t="shared" si="4"/>
        <v>3</v>
      </c>
      <c r="AB18" s="45">
        <v>1</v>
      </c>
      <c r="AD18" s="49" t="s">
        <v>172</v>
      </c>
      <c r="AE18" s="50" t="s">
        <v>88</v>
      </c>
      <c r="AF18" s="50">
        <v>0</v>
      </c>
      <c r="AG18" s="50">
        <v>3</v>
      </c>
      <c r="AH18" s="50">
        <v>2</v>
      </c>
      <c r="AI18" s="50">
        <f t="shared" si="5"/>
        <v>6</v>
      </c>
      <c r="AJ18" s="50">
        <v>1</v>
      </c>
      <c r="AK18" s="51" t="s">
        <v>114</v>
      </c>
      <c r="AL18" s="61">
        <v>3872</v>
      </c>
      <c r="AM18" s="53" t="s">
        <v>88</v>
      </c>
      <c r="AN18" s="42">
        <v>0</v>
      </c>
      <c r="AO18" s="54">
        <f t="shared" si="6"/>
        <v>2</v>
      </c>
      <c r="AP18" s="53">
        <v>2</v>
      </c>
      <c r="AQ18" s="53">
        <f t="shared" si="7"/>
        <v>4</v>
      </c>
      <c r="AR18" s="53"/>
      <c r="AS18" s="55"/>
      <c r="AT18" s="53">
        <v>44</v>
      </c>
      <c r="AU18" s="42" t="s">
        <v>146</v>
      </c>
      <c r="AV18" s="44">
        <v>2</v>
      </c>
      <c r="AW18" s="44">
        <f t="shared" si="8"/>
        <v>1</v>
      </c>
      <c r="AX18" s="42">
        <v>1</v>
      </c>
      <c r="AY18" s="42">
        <f t="shared" si="9"/>
        <v>1</v>
      </c>
      <c r="AZ18" s="42" t="s">
        <v>173</v>
      </c>
      <c r="BA18" s="53" t="s">
        <v>632</v>
      </c>
      <c r="BB18" s="57" t="s">
        <v>602</v>
      </c>
      <c r="BC18" s="58" t="s">
        <v>603</v>
      </c>
      <c r="BD18" s="58" t="s">
        <v>609</v>
      </c>
      <c r="BE18" s="59">
        <v>1</v>
      </c>
      <c r="BF18" s="58">
        <v>2</v>
      </c>
      <c r="BG18" s="58">
        <f t="shared" si="10"/>
        <v>0</v>
      </c>
      <c r="BH18" s="58" t="s">
        <v>605</v>
      </c>
      <c r="BI18" s="58" t="s">
        <v>610</v>
      </c>
      <c r="BJ18" s="60" t="s">
        <v>90</v>
      </c>
      <c r="BK18" s="61">
        <v>1</v>
      </c>
      <c r="BL18" s="62">
        <v>1</v>
      </c>
      <c r="BM18" s="62">
        <f t="shared" si="11"/>
        <v>0</v>
      </c>
      <c r="BN18" s="58" t="s">
        <v>607</v>
      </c>
      <c r="BO18" s="59"/>
      <c r="BP18" s="59">
        <v>4</v>
      </c>
      <c r="BQ18" s="63">
        <f t="shared" si="12"/>
        <v>3</v>
      </c>
      <c r="BR18" s="45">
        <v>1</v>
      </c>
      <c r="BS18" s="45">
        <f t="shared" si="13"/>
        <v>0.47712125471966244</v>
      </c>
      <c r="BU18" s="46"/>
      <c r="BV18" s="64">
        <v>2.1666666669999999</v>
      </c>
      <c r="BW18" s="54">
        <f t="shared" si="14"/>
        <v>1</v>
      </c>
      <c r="BX18" s="45">
        <v>1</v>
      </c>
      <c r="BY18" s="45">
        <f t="shared" si="15"/>
        <v>0</v>
      </c>
      <c r="BZ18" s="61" t="s">
        <v>91</v>
      </c>
      <c r="CA18" s="46"/>
      <c r="CB18" s="65">
        <v>69971</v>
      </c>
      <c r="CC18" s="45">
        <v>3</v>
      </c>
      <c r="CD18" s="45">
        <v>2</v>
      </c>
      <c r="CE18" s="45">
        <f t="shared" si="16"/>
        <v>0.95424250943932487</v>
      </c>
      <c r="CG18" s="46"/>
      <c r="CH18" s="66" t="s">
        <v>92</v>
      </c>
      <c r="CI18" s="67">
        <v>3</v>
      </c>
      <c r="CJ18" s="68">
        <v>2</v>
      </c>
      <c r="CK18" s="68">
        <f t="shared" si="17"/>
        <v>0.95424250943932487</v>
      </c>
      <c r="CL18" s="78"/>
      <c r="CM18" s="79"/>
      <c r="CO18" s="70">
        <f t="shared" si="18"/>
        <v>1.8888888888888888</v>
      </c>
      <c r="CQ18" s="45">
        <f t="shared" si="19"/>
        <v>0.26506736373314577</v>
      </c>
      <c r="CR18" s="45">
        <f t="shared" si="20"/>
        <v>1.841057547098748</v>
      </c>
      <c r="CT18" s="71">
        <f t="shared" si="21"/>
        <v>1.3935371178287039</v>
      </c>
    </row>
    <row r="19" spans="1:98" ht="16">
      <c r="A19" s="36">
        <v>17</v>
      </c>
      <c r="B19" s="37" t="s">
        <v>144</v>
      </c>
      <c r="C19" s="37"/>
      <c r="D19" s="37"/>
      <c r="E19" s="38" t="s">
        <v>157</v>
      </c>
      <c r="F19" s="38" t="s">
        <v>158</v>
      </c>
      <c r="G19" s="38" t="s">
        <v>159</v>
      </c>
      <c r="H19" s="38" t="s">
        <v>160</v>
      </c>
      <c r="I19" s="72">
        <v>3.5</v>
      </c>
      <c r="J19" s="53" t="s">
        <v>88</v>
      </c>
      <c r="K19" s="42">
        <v>0</v>
      </c>
      <c r="L19" s="42">
        <v>3</v>
      </c>
      <c r="M19" s="42">
        <v>1</v>
      </c>
      <c r="N19" s="42">
        <f t="shared" si="0"/>
        <v>3</v>
      </c>
      <c r="O19" s="42">
        <v>97</v>
      </c>
      <c r="P19" s="53"/>
      <c r="Q19" s="43">
        <v>10</v>
      </c>
      <c r="R19" s="44">
        <f t="shared" si="1"/>
        <v>3</v>
      </c>
      <c r="S19" s="45">
        <v>1</v>
      </c>
      <c r="T19" s="45">
        <f t="shared" si="2"/>
        <v>3</v>
      </c>
      <c r="V19" s="46"/>
      <c r="W19" s="58" t="s">
        <v>162</v>
      </c>
      <c r="X19" s="73">
        <v>2.8</v>
      </c>
      <c r="Y19" s="44">
        <f t="shared" si="3"/>
        <v>2</v>
      </c>
      <c r="Z19" s="45">
        <v>1</v>
      </c>
      <c r="AA19" s="45">
        <f t="shared" si="4"/>
        <v>2</v>
      </c>
      <c r="AB19" s="45">
        <v>1</v>
      </c>
      <c r="AD19" s="49" t="s">
        <v>163</v>
      </c>
      <c r="AE19" s="50" t="s">
        <v>146</v>
      </c>
      <c r="AF19" s="50">
        <v>2</v>
      </c>
      <c r="AG19" s="50">
        <v>3</v>
      </c>
      <c r="AH19" s="50">
        <v>2</v>
      </c>
      <c r="AI19" s="50">
        <f t="shared" si="5"/>
        <v>6</v>
      </c>
      <c r="AJ19" s="50" t="s">
        <v>633</v>
      </c>
      <c r="AK19" s="51" t="s">
        <v>165</v>
      </c>
      <c r="AL19" s="61">
        <v>54750</v>
      </c>
      <c r="AM19" s="53" t="s">
        <v>88</v>
      </c>
      <c r="AN19" s="42">
        <v>0</v>
      </c>
      <c r="AO19" s="54">
        <f t="shared" si="6"/>
        <v>3</v>
      </c>
      <c r="AP19" s="53">
        <v>2</v>
      </c>
      <c r="AQ19" s="53">
        <f t="shared" si="7"/>
        <v>6</v>
      </c>
      <c r="AR19" s="53"/>
      <c r="AS19" s="55"/>
      <c r="AT19" s="42">
        <v>32</v>
      </c>
      <c r="AU19" s="42" t="s">
        <v>88</v>
      </c>
      <c r="AV19" s="56">
        <v>0</v>
      </c>
      <c r="AW19" s="44">
        <f t="shared" si="8"/>
        <v>1</v>
      </c>
      <c r="AX19" s="42">
        <v>1</v>
      </c>
      <c r="AY19" s="42">
        <f t="shared" si="9"/>
        <v>1</v>
      </c>
      <c r="AZ19" s="42"/>
      <c r="BA19" s="42"/>
      <c r="BB19" s="57" t="s">
        <v>602</v>
      </c>
      <c r="BC19" s="58" t="s">
        <v>603</v>
      </c>
      <c r="BD19" s="58" t="s">
        <v>604</v>
      </c>
      <c r="BE19" s="59">
        <v>2</v>
      </c>
      <c r="BF19" s="58">
        <v>2</v>
      </c>
      <c r="BG19" s="58">
        <f t="shared" si="10"/>
        <v>0.6020599913279624</v>
      </c>
      <c r="BH19" s="58" t="s">
        <v>605</v>
      </c>
      <c r="BI19" s="58" t="s">
        <v>626</v>
      </c>
      <c r="BJ19" s="81" t="s">
        <v>166</v>
      </c>
      <c r="BK19" s="61">
        <v>3</v>
      </c>
      <c r="BL19" s="62">
        <v>1</v>
      </c>
      <c r="BM19" s="62">
        <f t="shared" si="11"/>
        <v>0.47712125471966244</v>
      </c>
      <c r="BN19" s="58" t="s">
        <v>607</v>
      </c>
      <c r="BO19" s="59"/>
      <c r="BP19" s="59">
        <v>25.75</v>
      </c>
      <c r="BQ19" s="63">
        <f t="shared" si="12"/>
        <v>2</v>
      </c>
      <c r="BR19" s="45">
        <v>1</v>
      </c>
      <c r="BS19" s="45">
        <f t="shared" si="13"/>
        <v>0.3010299956639812</v>
      </c>
      <c r="BU19" s="46"/>
      <c r="BV19" s="64">
        <v>1.6666666670000001</v>
      </c>
      <c r="BW19" s="54">
        <f t="shared" si="14"/>
        <v>1</v>
      </c>
      <c r="BX19" s="45">
        <v>1</v>
      </c>
      <c r="BY19" s="45">
        <f t="shared" si="15"/>
        <v>0</v>
      </c>
      <c r="BZ19" s="61" t="s">
        <v>91</v>
      </c>
      <c r="CA19" s="46"/>
      <c r="CB19" s="65">
        <v>65692</v>
      </c>
      <c r="CC19" s="45">
        <v>3</v>
      </c>
      <c r="CD19" s="45">
        <v>2</v>
      </c>
      <c r="CE19" s="45">
        <f t="shared" si="16"/>
        <v>0.95424250943932487</v>
      </c>
      <c r="CG19" s="46"/>
      <c r="CH19" s="66" t="s">
        <v>92</v>
      </c>
      <c r="CI19" s="67">
        <v>3</v>
      </c>
      <c r="CJ19" s="68">
        <v>2</v>
      </c>
      <c r="CK19" s="68">
        <f t="shared" si="17"/>
        <v>0.95424250943932487</v>
      </c>
      <c r="CL19" s="68"/>
      <c r="CM19" s="69"/>
      <c r="CO19" s="70">
        <f t="shared" si="18"/>
        <v>2</v>
      </c>
      <c r="CQ19" s="45">
        <f t="shared" si="19"/>
        <v>0.36541069562113954</v>
      </c>
      <c r="CR19" s="45">
        <f t="shared" si="20"/>
        <v>2.3195871576575349</v>
      </c>
      <c r="CT19" s="71">
        <f t="shared" si="21"/>
        <v>1.655690268937609</v>
      </c>
    </row>
    <row r="20" spans="1:98" ht="16">
      <c r="A20" s="36">
        <v>18</v>
      </c>
      <c r="B20" s="37" t="s">
        <v>144</v>
      </c>
      <c r="C20" s="37"/>
      <c r="D20" s="37"/>
      <c r="E20" s="38" t="s">
        <v>188</v>
      </c>
      <c r="F20" s="38" t="s">
        <v>189</v>
      </c>
      <c r="G20" s="38" t="s">
        <v>190</v>
      </c>
      <c r="H20" s="38" t="s">
        <v>152</v>
      </c>
      <c r="I20" s="72">
        <v>10</v>
      </c>
      <c r="J20" s="53" t="s">
        <v>88</v>
      </c>
      <c r="K20" s="42">
        <v>0</v>
      </c>
      <c r="L20" s="42">
        <v>2</v>
      </c>
      <c r="M20" s="42">
        <v>1</v>
      </c>
      <c r="N20" s="42">
        <f t="shared" si="0"/>
        <v>2</v>
      </c>
      <c r="O20" s="42">
        <v>97</v>
      </c>
      <c r="P20" s="53"/>
      <c r="Q20" s="43">
        <v>16.666666670000001</v>
      </c>
      <c r="R20" s="44">
        <f t="shared" si="1"/>
        <v>3</v>
      </c>
      <c r="S20" s="45">
        <v>1</v>
      </c>
      <c r="T20" s="45">
        <f t="shared" si="2"/>
        <v>3</v>
      </c>
      <c r="V20" s="46"/>
      <c r="W20" s="58" t="s">
        <v>191</v>
      </c>
      <c r="X20" s="73">
        <v>3.5</v>
      </c>
      <c r="Y20" s="44">
        <f t="shared" si="3"/>
        <v>2</v>
      </c>
      <c r="Z20" s="45">
        <v>1</v>
      </c>
      <c r="AA20" s="45">
        <f t="shared" si="4"/>
        <v>2</v>
      </c>
      <c r="AB20" s="45">
        <v>1</v>
      </c>
      <c r="AD20" s="49" t="s">
        <v>192</v>
      </c>
      <c r="AE20" s="50" t="s">
        <v>88</v>
      </c>
      <c r="AF20" s="50">
        <v>0</v>
      </c>
      <c r="AG20" s="50">
        <v>3</v>
      </c>
      <c r="AH20" s="50">
        <v>2</v>
      </c>
      <c r="AI20" s="50">
        <f t="shared" si="5"/>
        <v>6</v>
      </c>
      <c r="AJ20" s="50">
        <v>1</v>
      </c>
      <c r="AK20" s="51" t="s">
        <v>135</v>
      </c>
      <c r="AL20" s="82">
        <v>215972</v>
      </c>
      <c r="AM20" s="53" t="s">
        <v>88</v>
      </c>
      <c r="AN20" s="42">
        <v>0</v>
      </c>
      <c r="AO20" s="54">
        <f t="shared" si="6"/>
        <v>3</v>
      </c>
      <c r="AP20" s="53">
        <v>2</v>
      </c>
      <c r="AQ20" s="53">
        <f t="shared" si="7"/>
        <v>6</v>
      </c>
      <c r="AR20" s="53"/>
      <c r="AS20" s="55"/>
      <c r="AT20" s="42">
        <v>23.2</v>
      </c>
      <c r="AU20" s="42" t="s">
        <v>88</v>
      </c>
      <c r="AV20" s="56">
        <v>0</v>
      </c>
      <c r="AW20" s="44">
        <f t="shared" si="8"/>
        <v>2</v>
      </c>
      <c r="AX20" s="42">
        <v>1</v>
      </c>
      <c r="AY20" s="42">
        <f t="shared" si="9"/>
        <v>2</v>
      </c>
      <c r="AZ20" s="42"/>
      <c r="BA20" s="42"/>
      <c r="BB20" s="57" t="s">
        <v>602</v>
      </c>
      <c r="BC20" s="58" t="s">
        <v>603</v>
      </c>
      <c r="BD20" s="58" t="s">
        <v>609</v>
      </c>
      <c r="BE20" s="59">
        <v>1</v>
      </c>
      <c r="BF20" s="58">
        <v>2</v>
      </c>
      <c r="BG20" s="58">
        <f t="shared" si="10"/>
        <v>0</v>
      </c>
      <c r="BH20" s="58" t="s">
        <v>605</v>
      </c>
      <c r="BI20" s="58" t="s">
        <v>610</v>
      </c>
      <c r="BJ20" s="60" t="s">
        <v>90</v>
      </c>
      <c r="BK20" s="61">
        <v>1</v>
      </c>
      <c r="BL20" s="62">
        <v>1</v>
      </c>
      <c r="BM20" s="62">
        <f t="shared" si="11"/>
        <v>0</v>
      </c>
      <c r="BN20" s="58" t="s">
        <v>607</v>
      </c>
      <c r="BO20" s="59"/>
      <c r="BP20" s="59">
        <v>20.5</v>
      </c>
      <c r="BQ20" s="63">
        <f t="shared" si="12"/>
        <v>2</v>
      </c>
      <c r="BR20" s="45">
        <v>1</v>
      </c>
      <c r="BS20" s="45">
        <f t="shared" si="13"/>
        <v>0.3010299956639812</v>
      </c>
      <c r="BU20" s="46"/>
      <c r="BV20" s="64">
        <v>2.375</v>
      </c>
      <c r="BW20" s="54">
        <f t="shared" si="14"/>
        <v>1</v>
      </c>
      <c r="BX20" s="45">
        <v>1</v>
      </c>
      <c r="BY20" s="45">
        <f t="shared" si="15"/>
        <v>0</v>
      </c>
      <c r="BZ20" s="61" t="s">
        <v>99</v>
      </c>
      <c r="CA20" s="46"/>
      <c r="CB20" s="65">
        <v>64639</v>
      </c>
      <c r="CC20" s="45">
        <v>3</v>
      </c>
      <c r="CD20" s="45">
        <v>2</v>
      </c>
      <c r="CE20" s="45">
        <f t="shared" si="16"/>
        <v>0.95424250943932487</v>
      </c>
      <c r="CG20" s="46"/>
      <c r="CH20" s="66" t="s">
        <v>92</v>
      </c>
      <c r="CI20" s="67">
        <v>3</v>
      </c>
      <c r="CJ20" s="68">
        <v>2</v>
      </c>
      <c r="CK20" s="68">
        <f t="shared" si="17"/>
        <v>0.95424250943932487</v>
      </c>
      <c r="CL20" s="68"/>
      <c r="CM20" s="69"/>
      <c r="CO20" s="70">
        <f t="shared" si="18"/>
        <v>2.1111111111111112</v>
      </c>
      <c r="CQ20" s="45">
        <f t="shared" si="19"/>
        <v>0.24550166828251452</v>
      </c>
      <c r="CR20" s="45">
        <f t="shared" si="20"/>
        <v>1.7599554244151643</v>
      </c>
      <c r="CT20" s="71">
        <f t="shared" si="21"/>
        <v>1.1694681286329081</v>
      </c>
    </row>
    <row r="21" spans="1:98" ht="16">
      <c r="A21" s="36">
        <v>19</v>
      </c>
      <c r="B21" s="37" t="s">
        <v>144</v>
      </c>
      <c r="C21" s="37"/>
      <c r="D21" s="37"/>
      <c r="E21" s="38" t="s">
        <v>634</v>
      </c>
      <c r="F21" s="38" t="s">
        <v>635</v>
      </c>
      <c r="G21" s="38" t="s">
        <v>636</v>
      </c>
      <c r="H21" s="38" t="s">
        <v>637</v>
      </c>
      <c r="I21" s="72">
        <v>4</v>
      </c>
      <c r="J21" s="53" t="s">
        <v>88</v>
      </c>
      <c r="K21" s="42">
        <v>0</v>
      </c>
      <c r="L21" s="42">
        <v>3</v>
      </c>
      <c r="M21" s="42">
        <v>1</v>
      </c>
      <c r="N21" s="42">
        <f t="shared" si="0"/>
        <v>3</v>
      </c>
      <c r="O21" s="42">
        <v>97</v>
      </c>
      <c r="P21" s="53"/>
      <c r="Q21" s="43">
        <v>8</v>
      </c>
      <c r="R21" s="44">
        <f t="shared" si="1"/>
        <v>3</v>
      </c>
      <c r="S21" s="45">
        <v>1</v>
      </c>
      <c r="T21" s="45">
        <f t="shared" si="2"/>
        <v>3</v>
      </c>
      <c r="V21" s="46"/>
      <c r="W21" s="58" t="s">
        <v>618</v>
      </c>
      <c r="X21" s="73">
        <v>3.3</v>
      </c>
      <c r="Y21" s="44">
        <f t="shared" si="3"/>
        <v>2</v>
      </c>
      <c r="Z21" s="45">
        <v>1</v>
      </c>
      <c r="AA21" s="45">
        <f t="shared" si="4"/>
        <v>2</v>
      </c>
      <c r="AB21" s="45">
        <v>1</v>
      </c>
      <c r="AD21" s="49" t="s">
        <v>638</v>
      </c>
      <c r="AE21" s="50" t="s">
        <v>88</v>
      </c>
      <c r="AF21" s="50">
        <v>0</v>
      </c>
      <c r="AG21" s="50">
        <v>3</v>
      </c>
      <c r="AH21" s="50">
        <v>2</v>
      </c>
      <c r="AI21" s="50">
        <f t="shared" si="5"/>
        <v>6</v>
      </c>
      <c r="AJ21" s="50">
        <v>1</v>
      </c>
      <c r="AK21" s="51" t="s">
        <v>639</v>
      </c>
      <c r="AL21" s="61">
        <v>31938</v>
      </c>
      <c r="AM21" s="53" t="s">
        <v>88</v>
      </c>
      <c r="AN21" s="42">
        <v>0</v>
      </c>
      <c r="AO21" s="54">
        <f t="shared" si="6"/>
        <v>3</v>
      </c>
      <c r="AP21" s="53">
        <v>2</v>
      </c>
      <c r="AQ21" s="53">
        <f t="shared" si="7"/>
        <v>6</v>
      </c>
      <c r="AR21" s="53"/>
      <c r="AS21" s="55" t="s">
        <v>640</v>
      </c>
      <c r="AT21" s="53">
        <v>19</v>
      </c>
      <c r="AU21" s="42" t="s">
        <v>88</v>
      </c>
      <c r="AV21" s="56">
        <v>0</v>
      </c>
      <c r="AW21" s="44">
        <f t="shared" si="8"/>
        <v>2</v>
      </c>
      <c r="AX21" s="42">
        <v>1</v>
      </c>
      <c r="AY21" s="42">
        <f t="shared" si="9"/>
        <v>2</v>
      </c>
      <c r="AZ21" s="42" t="s">
        <v>641</v>
      </c>
      <c r="BA21" s="53"/>
      <c r="BB21" s="57" t="s">
        <v>642</v>
      </c>
      <c r="BC21" s="58" t="s">
        <v>643</v>
      </c>
      <c r="BD21" s="58" t="s">
        <v>609</v>
      </c>
      <c r="BE21" s="59">
        <v>2</v>
      </c>
      <c r="BF21" s="58">
        <v>2</v>
      </c>
      <c r="BG21" s="58">
        <f t="shared" si="10"/>
        <v>0.6020599913279624</v>
      </c>
      <c r="BH21" s="58" t="s">
        <v>605</v>
      </c>
      <c r="BI21" s="58" t="s">
        <v>644</v>
      </c>
      <c r="BJ21" s="60" t="s">
        <v>90</v>
      </c>
      <c r="BK21" s="61">
        <v>1</v>
      </c>
      <c r="BL21" s="62">
        <v>1</v>
      </c>
      <c r="BM21" s="62">
        <f t="shared" si="11"/>
        <v>0</v>
      </c>
      <c r="BN21" s="58" t="s">
        <v>607</v>
      </c>
      <c r="BO21" s="59"/>
      <c r="BP21" s="59">
        <v>50.5</v>
      </c>
      <c r="BQ21" s="63">
        <f t="shared" si="12"/>
        <v>1</v>
      </c>
      <c r="BR21" s="45">
        <v>1</v>
      </c>
      <c r="BS21" s="45">
        <f t="shared" si="13"/>
        <v>0</v>
      </c>
      <c r="BU21" s="46"/>
      <c r="BV21" s="64">
        <v>1.25</v>
      </c>
      <c r="BW21" s="54">
        <f t="shared" si="14"/>
        <v>1</v>
      </c>
      <c r="BX21" s="45">
        <v>1</v>
      </c>
      <c r="BY21" s="45">
        <f t="shared" si="15"/>
        <v>0</v>
      </c>
      <c r="BZ21" s="61" t="s">
        <v>99</v>
      </c>
      <c r="CA21" s="46"/>
      <c r="CB21" s="65">
        <v>50608</v>
      </c>
      <c r="CC21" s="45">
        <v>3</v>
      </c>
      <c r="CD21" s="45">
        <v>2</v>
      </c>
      <c r="CE21" s="45">
        <f t="shared" si="16"/>
        <v>0.95424250943932487</v>
      </c>
      <c r="CG21" s="46"/>
      <c r="CH21" s="66" t="s">
        <v>92</v>
      </c>
      <c r="CI21" s="67">
        <v>3</v>
      </c>
      <c r="CJ21" s="68">
        <v>2</v>
      </c>
      <c r="CK21" s="68">
        <f t="shared" si="17"/>
        <v>0.95424250943932487</v>
      </c>
      <c r="CL21" s="68"/>
      <c r="CM21" s="69"/>
      <c r="CO21" s="70">
        <f t="shared" si="18"/>
        <v>2.1111111111111112</v>
      </c>
      <c r="CQ21" s="45">
        <f t="shared" si="19"/>
        <v>0.27894944557851242</v>
      </c>
      <c r="CR21" s="45">
        <f t="shared" si="20"/>
        <v>1.9008569961559403</v>
      </c>
      <c r="CT21" s="71">
        <f t="shared" si="21"/>
        <v>1.2655697469176588</v>
      </c>
    </row>
    <row r="22" spans="1:98" ht="16">
      <c r="A22" s="36">
        <v>20</v>
      </c>
      <c r="B22" s="37"/>
      <c r="C22" s="37"/>
      <c r="D22" s="37"/>
      <c r="E22" s="38" t="s">
        <v>204</v>
      </c>
      <c r="F22" s="38" t="s">
        <v>205</v>
      </c>
      <c r="G22" s="38" t="s">
        <v>206</v>
      </c>
      <c r="H22" s="38" t="s">
        <v>184</v>
      </c>
      <c r="I22" s="72">
        <v>2</v>
      </c>
      <c r="J22" s="53" t="s">
        <v>88</v>
      </c>
      <c r="K22" s="42">
        <v>0</v>
      </c>
      <c r="L22" s="42">
        <v>3</v>
      </c>
      <c r="M22" s="42">
        <v>1</v>
      </c>
      <c r="N22" s="42">
        <f t="shared" si="0"/>
        <v>3</v>
      </c>
      <c r="O22" s="42">
        <v>55</v>
      </c>
      <c r="P22" s="53"/>
      <c r="Q22" s="43">
        <v>18</v>
      </c>
      <c r="R22" s="44">
        <f t="shared" si="1"/>
        <v>3</v>
      </c>
      <c r="S22" s="45">
        <v>1</v>
      </c>
      <c r="T22" s="45">
        <f t="shared" si="2"/>
        <v>3</v>
      </c>
      <c r="V22" s="46"/>
      <c r="W22" s="58" t="s">
        <v>207</v>
      </c>
      <c r="X22" s="73">
        <v>4</v>
      </c>
      <c r="Y22" s="44">
        <f t="shared" si="3"/>
        <v>1</v>
      </c>
      <c r="Z22" s="45">
        <v>1</v>
      </c>
      <c r="AA22" s="45">
        <f t="shared" si="4"/>
        <v>1</v>
      </c>
      <c r="AB22" s="45">
        <v>1</v>
      </c>
      <c r="AD22" s="49" t="s">
        <v>208</v>
      </c>
      <c r="AE22" s="50" t="s">
        <v>88</v>
      </c>
      <c r="AF22" s="50">
        <v>0</v>
      </c>
      <c r="AG22" s="50">
        <v>3</v>
      </c>
      <c r="AH22" s="50">
        <v>2</v>
      </c>
      <c r="AI22" s="50">
        <f t="shared" si="5"/>
        <v>6</v>
      </c>
      <c r="AJ22" s="50">
        <v>1</v>
      </c>
      <c r="AK22" s="51" t="s">
        <v>114</v>
      </c>
      <c r="AL22" s="80">
        <v>112560.5</v>
      </c>
      <c r="AM22" s="53" t="s">
        <v>88</v>
      </c>
      <c r="AN22" s="42">
        <v>0</v>
      </c>
      <c r="AO22" s="54">
        <f t="shared" si="6"/>
        <v>3</v>
      </c>
      <c r="AP22" s="53">
        <v>2</v>
      </c>
      <c r="AQ22" s="53">
        <f t="shared" si="7"/>
        <v>6</v>
      </c>
      <c r="AR22" s="53"/>
      <c r="AS22" s="55"/>
      <c r="AT22" s="42">
        <v>19.66</v>
      </c>
      <c r="AU22" s="42" t="s">
        <v>146</v>
      </c>
      <c r="AV22" s="44">
        <v>2</v>
      </c>
      <c r="AW22" s="44">
        <f t="shared" si="8"/>
        <v>2</v>
      </c>
      <c r="AX22" s="42">
        <v>1</v>
      </c>
      <c r="AY22" s="42">
        <f t="shared" si="9"/>
        <v>2</v>
      </c>
      <c r="AZ22" s="42" t="s">
        <v>209</v>
      </c>
      <c r="BA22" s="53" t="s">
        <v>631</v>
      </c>
      <c r="BB22" s="57" t="s">
        <v>602</v>
      </c>
      <c r="BC22" s="58" t="s">
        <v>603</v>
      </c>
      <c r="BD22" s="58" t="s">
        <v>609</v>
      </c>
      <c r="BE22" s="59">
        <v>1</v>
      </c>
      <c r="BF22" s="58">
        <v>2</v>
      </c>
      <c r="BG22" s="58">
        <f t="shared" si="10"/>
        <v>0</v>
      </c>
      <c r="BH22" s="58" t="s">
        <v>605</v>
      </c>
      <c r="BI22" s="58" t="s">
        <v>610</v>
      </c>
      <c r="BJ22" s="60" t="s">
        <v>90</v>
      </c>
      <c r="BK22" s="61">
        <v>1</v>
      </c>
      <c r="BL22" s="62">
        <v>1</v>
      </c>
      <c r="BM22" s="62">
        <f t="shared" si="11"/>
        <v>0</v>
      </c>
      <c r="BN22" s="58" t="s">
        <v>607</v>
      </c>
      <c r="BO22" s="59"/>
      <c r="BP22" s="59">
        <v>12.25</v>
      </c>
      <c r="BQ22" s="63">
        <f t="shared" si="12"/>
        <v>2</v>
      </c>
      <c r="BR22" s="45">
        <v>1</v>
      </c>
      <c r="BS22" s="45">
        <f t="shared" si="13"/>
        <v>0.3010299956639812</v>
      </c>
      <c r="BU22" s="46"/>
      <c r="BV22" s="64">
        <v>2</v>
      </c>
      <c r="BW22" s="54">
        <f t="shared" si="14"/>
        <v>1</v>
      </c>
      <c r="BX22" s="45">
        <v>1</v>
      </c>
      <c r="BY22" s="45">
        <f t="shared" si="15"/>
        <v>0</v>
      </c>
      <c r="BZ22" s="61" t="s">
        <v>99</v>
      </c>
      <c r="CA22" s="46"/>
      <c r="CB22" s="65">
        <v>48019</v>
      </c>
      <c r="CC22" s="45">
        <v>3</v>
      </c>
      <c r="CD22" s="45">
        <v>2</v>
      </c>
      <c r="CE22" s="45">
        <f t="shared" si="16"/>
        <v>0.95424250943932487</v>
      </c>
      <c r="CG22" s="46"/>
      <c r="CH22" s="66" t="s">
        <v>106</v>
      </c>
      <c r="CI22" s="67">
        <v>3</v>
      </c>
      <c r="CJ22" s="68">
        <v>2</v>
      </c>
      <c r="CK22" s="68">
        <f t="shared" si="17"/>
        <v>0.95424250943932487</v>
      </c>
      <c r="CL22" s="78"/>
      <c r="CM22" s="79" t="s">
        <v>144</v>
      </c>
      <c r="CO22" s="70">
        <f t="shared" si="18"/>
        <v>2</v>
      </c>
      <c r="CQ22" s="45">
        <f t="shared" si="19"/>
        <v>0.24550166828251452</v>
      </c>
      <c r="CR22" s="45">
        <f t="shared" si="20"/>
        <v>1.7599554244151643</v>
      </c>
      <c r="CT22" s="71">
        <f t="shared" si="21"/>
        <v>1.2559985060094747</v>
      </c>
    </row>
    <row r="23" spans="1:98" ht="16">
      <c r="A23" s="36">
        <v>21</v>
      </c>
      <c r="B23" s="37"/>
      <c r="C23" s="37"/>
      <c r="D23" s="37"/>
      <c r="E23" s="38" t="s">
        <v>181</v>
      </c>
      <c r="F23" s="38" t="s">
        <v>182</v>
      </c>
      <c r="G23" s="38" t="s">
        <v>183</v>
      </c>
      <c r="H23" s="38" t="s">
        <v>184</v>
      </c>
      <c r="I23" s="72">
        <v>6.5</v>
      </c>
      <c r="J23" s="53" t="s">
        <v>88</v>
      </c>
      <c r="K23" s="42">
        <v>0</v>
      </c>
      <c r="L23" s="42">
        <v>2</v>
      </c>
      <c r="M23" s="42">
        <v>1</v>
      </c>
      <c r="N23" s="42">
        <f t="shared" si="0"/>
        <v>2</v>
      </c>
      <c r="O23" s="42">
        <v>97</v>
      </c>
      <c r="P23" s="53"/>
      <c r="Q23" s="43">
        <v>8.5500000000000007</v>
      </c>
      <c r="R23" s="44">
        <f t="shared" si="1"/>
        <v>3</v>
      </c>
      <c r="S23" s="45">
        <v>1</v>
      </c>
      <c r="T23" s="45">
        <f t="shared" si="2"/>
        <v>3</v>
      </c>
      <c r="V23" s="46"/>
      <c r="W23" s="58" t="s">
        <v>185</v>
      </c>
      <c r="X23" s="73">
        <v>3.4</v>
      </c>
      <c r="Y23" s="44">
        <f t="shared" si="3"/>
        <v>2</v>
      </c>
      <c r="Z23" s="45">
        <v>1</v>
      </c>
      <c r="AA23" s="45">
        <f t="shared" si="4"/>
        <v>2</v>
      </c>
      <c r="AB23" s="45">
        <v>1</v>
      </c>
      <c r="AD23" s="49" t="s">
        <v>163</v>
      </c>
      <c r="AE23" s="50" t="s">
        <v>146</v>
      </c>
      <c r="AF23" s="50">
        <v>2</v>
      </c>
      <c r="AG23" s="50">
        <v>3</v>
      </c>
      <c r="AH23" s="50">
        <v>2</v>
      </c>
      <c r="AI23" s="50">
        <f t="shared" si="5"/>
        <v>6</v>
      </c>
      <c r="AJ23" s="50" t="s">
        <v>645</v>
      </c>
      <c r="AK23" s="51" t="s">
        <v>186</v>
      </c>
      <c r="AL23" s="61">
        <v>5000</v>
      </c>
      <c r="AM23" s="53" t="s">
        <v>88</v>
      </c>
      <c r="AN23" s="42">
        <v>0</v>
      </c>
      <c r="AO23" s="54">
        <f t="shared" si="6"/>
        <v>2</v>
      </c>
      <c r="AP23" s="53">
        <v>2</v>
      </c>
      <c r="AQ23" s="53">
        <f t="shared" si="7"/>
        <v>4</v>
      </c>
      <c r="AR23" s="53"/>
      <c r="AS23" s="55"/>
      <c r="AT23" s="53">
        <v>30.5</v>
      </c>
      <c r="AU23" s="42" t="s">
        <v>146</v>
      </c>
      <c r="AV23" s="44">
        <v>2</v>
      </c>
      <c r="AW23" s="44">
        <f t="shared" si="8"/>
        <v>1</v>
      </c>
      <c r="AX23" s="42">
        <v>1</v>
      </c>
      <c r="AY23" s="42">
        <f t="shared" si="9"/>
        <v>1</v>
      </c>
      <c r="AZ23" s="42" t="s">
        <v>187</v>
      </c>
      <c r="BA23" s="53" t="s">
        <v>646</v>
      </c>
      <c r="BB23" s="57" t="s">
        <v>602</v>
      </c>
      <c r="BC23" s="58" t="s">
        <v>603</v>
      </c>
      <c r="BD23" s="58" t="s">
        <v>609</v>
      </c>
      <c r="BE23" s="59">
        <v>1</v>
      </c>
      <c r="BF23" s="58">
        <v>2</v>
      </c>
      <c r="BG23" s="58">
        <f t="shared" si="10"/>
        <v>0</v>
      </c>
      <c r="BH23" s="58" t="s">
        <v>605</v>
      </c>
      <c r="BI23" s="58" t="s">
        <v>610</v>
      </c>
      <c r="BJ23" s="60" t="s">
        <v>90</v>
      </c>
      <c r="BK23" s="61">
        <v>1</v>
      </c>
      <c r="BL23" s="62">
        <v>1</v>
      </c>
      <c r="BM23" s="62">
        <f t="shared" si="11"/>
        <v>0</v>
      </c>
      <c r="BN23" s="58" t="s">
        <v>607</v>
      </c>
      <c r="BO23" s="59"/>
      <c r="BP23" s="59">
        <v>8.5</v>
      </c>
      <c r="BQ23" s="63">
        <f t="shared" si="12"/>
        <v>3</v>
      </c>
      <c r="BR23" s="45">
        <v>1</v>
      </c>
      <c r="BS23" s="45">
        <f t="shared" si="13"/>
        <v>0.47712125471966244</v>
      </c>
      <c r="BU23" s="46"/>
      <c r="BV23" s="64">
        <v>1.25</v>
      </c>
      <c r="BW23" s="54">
        <f t="shared" si="14"/>
        <v>1</v>
      </c>
      <c r="BX23" s="45">
        <v>1</v>
      </c>
      <c r="BY23" s="45">
        <f t="shared" si="15"/>
        <v>0</v>
      </c>
      <c r="BZ23" s="61" t="s">
        <v>99</v>
      </c>
      <c r="CA23" s="46"/>
      <c r="CB23" s="65">
        <v>40724</v>
      </c>
      <c r="CC23" s="45">
        <v>3</v>
      </c>
      <c r="CD23" s="45">
        <v>2</v>
      </c>
      <c r="CE23" s="45">
        <f t="shared" si="16"/>
        <v>0.95424250943932487</v>
      </c>
      <c r="CG23" s="46"/>
      <c r="CH23" s="66" t="s">
        <v>137</v>
      </c>
      <c r="CI23" s="67">
        <v>2</v>
      </c>
      <c r="CJ23" s="68">
        <v>2</v>
      </c>
      <c r="CK23" s="68">
        <f t="shared" si="17"/>
        <v>0.6020599913279624</v>
      </c>
      <c r="CL23" s="68"/>
      <c r="CM23" s="69"/>
      <c r="CO23" s="70">
        <f t="shared" si="18"/>
        <v>1.7777777777777777</v>
      </c>
      <c r="CQ23" s="45">
        <f t="shared" si="19"/>
        <v>0.22593597283188332</v>
      </c>
      <c r="CR23" s="45">
        <f t="shared" si="20"/>
        <v>1.682426006079768</v>
      </c>
      <c r="CT23" s="71">
        <f t="shared" si="21"/>
        <v>1.3998329951347093</v>
      </c>
    </row>
    <row r="24" spans="1:98" ht="16">
      <c r="A24" s="36">
        <v>22</v>
      </c>
      <c r="B24" s="37"/>
      <c r="C24" s="37"/>
      <c r="D24" s="37"/>
      <c r="E24" s="38" t="s">
        <v>198</v>
      </c>
      <c r="F24" s="38" t="s">
        <v>130</v>
      </c>
      <c r="G24" s="38" t="s">
        <v>199</v>
      </c>
      <c r="H24" s="38" t="s">
        <v>132</v>
      </c>
      <c r="I24" s="72">
        <v>6.5</v>
      </c>
      <c r="J24" s="53" t="s">
        <v>88</v>
      </c>
      <c r="K24" s="42">
        <v>0</v>
      </c>
      <c r="L24" s="42">
        <v>2</v>
      </c>
      <c r="M24" s="42">
        <v>1</v>
      </c>
      <c r="N24" s="42">
        <f t="shared" si="0"/>
        <v>2</v>
      </c>
      <c r="O24" s="42">
        <v>97</v>
      </c>
      <c r="P24" s="53"/>
      <c r="Q24" s="43">
        <v>7.45</v>
      </c>
      <c r="R24" s="44">
        <f t="shared" si="1"/>
        <v>3</v>
      </c>
      <c r="S24" s="45">
        <v>1</v>
      </c>
      <c r="T24" s="45">
        <f t="shared" si="2"/>
        <v>3</v>
      </c>
      <c r="V24" s="46"/>
      <c r="W24" s="58" t="s">
        <v>200</v>
      </c>
      <c r="X24" s="73">
        <v>3.2</v>
      </c>
      <c r="Y24" s="44">
        <f t="shared" si="3"/>
        <v>2</v>
      </c>
      <c r="Z24" s="45">
        <v>1</v>
      </c>
      <c r="AA24" s="45">
        <f t="shared" si="4"/>
        <v>2</v>
      </c>
      <c r="AB24" s="45">
        <v>1</v>
      </c>
      <c r="AD24" s="49" t="s">
        <v>163</v>
      </c>
      <c r="AE24" s="50" t="s">
        <v>146</v>
      </c>
      <c r="AF24" s="50">
        <v>2</v>
      </c>
      <c r="AG24" s="50">
        <v>3</v>
      </c>
      <c r="AH24" s="50">
        <v>2</v>
      </c>
      <c r="AI24" s="50">
        <f t="shared" si="5"/>
        <v>6</v>
      </c>
      <c r="AJ24" s="50" t="s">
        <v>645</v>
      </c>
      <c r="AK24" s="51" t="s">
        <v>201</v>
      </c>
      <c r="AL24" s="61">
        <v>21061</v>
      </c>
      <c r="AM24" s="53" t="s">
        <v>115</v>
      </c>
      <c r="AN24" s="42">
        <v>1</v>
      </c>
      <c r="AO24" s="54">
        <f t="shared" si="6"/>
        <v>3</v>
      </c>
      <c r="AP24" s="53">
        <v>2</v>
      </c>
      <c r="AQ24" s="53">
        <f t="shared" si="7"/>
        <v>6</v>
      </c>
      <c r="AR24" s="53"/>
      <c r="AS24" s="55"/>
      <c r="AT24" s="42">
        <v>36</v>
      </c>
      <c r="AU24" s="42" t="s">
        <v>115</v>
      </c>
      <c r="AV24" s="44">
        <v>1</v>
      </c>
      <c r="AW24" s="44">
        <f t="shared" si="8"/>
        <v>1</v>
      </c>
      <c r="AX24" s="42">
        <v>1</v>
      </c>
      <c r="AY24" s="42">
        <f t="shared" si="9"/>
        <v>1</v>
      </c>
      <c r="AZ24" s="42" t="s">
        <v>203</v>
      </c>
      <c r="BA24" s="53" t="s">
        <v>129</v>
      </c>
      <c r="BB24" s="57" t="s">
        <v>602</v>
      </c>
      <c r="BC24" s="58" t="s">
        <v>603</v>
      </c>
      <c r="BD24" s="58" t="s">
        <v>609</v>
      </c>
      <c r="BE24" s="59">
        <v>1</v>
      </c>
      <c r="BF24" s="58">
        <v>2</v>
      </c>
      <c r="BG24" s="58">
        <f t="shared" si="10"/>
        <v>0</v>
      </c>
      <c r="BH24" s="58" t="s">
        <v>605</v>
      </c>
      <c r="BI24" s="58" t="s">
        <v>610</v>
      </c>
      <c r="BJ24" s="60" t="s">
        <v>90</v>
      </c>
      <c r="BK24" s="61">
        <v>1</v>
      </c>
      <c r="BL24" s="62">
        <v>1</v>
      </c>
      <c r="BM24" s="62">
        <f t="shared" si="11"/>
        <v>0</v>
      </c>
      <c r="BN24" s="58" t="s">
        <v>607</v>
      </c>
      <c r="BO24" s="59"/>
      <c r="BP24" s="59">
        <v>15.25</v>
      </c>
      <c r="BQ24" s="63">
        <f t="shared" si="12"/>
        <v>2</v>
      </c>
      <c r="BR24" s="45">
        <v>1</v>
      </c>
      <c r="BS24" s="45">
        <f t="shared" si="13"/>
        <v>0.3010299956639812</v>
      </c>
      <c r="BU24" s="46"/>
      <c r="BV24" s="64">
        <v>2.5</v>
      </c>
      <c r="BW24" s="54">
        <f t="shared" si="14"/>
        <v>2</v>
      </c>
      <c r="BX24" s="45">
        <v>1</v>
      </c>
      <c r="BY24" s="45">
        <f t="shared" si="15"/>
        <v>0.3010299956639812</v>
      </c>
      <c r="BZ24" s="61" t="s">
        <v>99</v>
      </c>
      <c r="CA24" s="46"/>
      <c r="CB24" s="65">
        <v>39486</v>
      </c>
      <c r="CC24" s="45">
        <v>3</v>
      </c>
      <c r="CD24" s="45">
        <v>2</v>
      </c>
      <c r="CE24" s="45">
        <f t="shared" si="16"/>
        <v>0.95424250943932487</v>
      </c>
      <c r="CG24" s="46"/>
      <c r="CH24" s="66" t="s">
        <v>137</v>
      </c>
      <c r="CI24" s="67">
        <v>2</v>
      </c>
      <c r="CJ24" s="68">
        <v>2</v>
      </c>
      <c r="CK24" s="68">
        <f t="shared" si="17"/>
        <v>0.6020599913279624</v>
      </c>
      <c r="CL24" s="68"/>
      <c r="CM24" s="69"/>
      <c r="CO24" s="70">
        <f t="shared" si="18"/>
        <v>2</v>
      </c>
      <c r="CQ24" s="45">
        <f t="shared" si="19"/>
        <v>0.23981805467724998</v>
      </c>
      <c r="CR24" s="45">
        <f t="shared" si="20"/>
        <v>1.7370729389807016</v>
      </c>
      <c r="CT24" s="71">
        <f t="shared" si="21"/>
        <v>1.2422868096287785</v>
      </c>
    </row>
    <row r="25" spans="1:98" ht="16">
      <c r="A25" s="36">
        <v>23</v>
      </c>
      <c r="B25" s="37"/>
      <c r="C25" s="37"/>
      <c r="D25" s="37"/>
      <c r="E25" s="38" t="s">
        <v>283</v>
      </c>
      <c r="F25" s="38" t="s">
        <v>284</v>
      </c>
      <c r="G25" s="38" t="s">
        <v>285</v>
      </c>
      <c r="H25" s="38" t="s">
        <v>286</v>
      </c>
      <c r="I25" s="72">
        <v>7</v>
      </c>
      <c r="J25" s="53" t="s">
        <v>88</v>
      </c>
      <c r="K25" s="42">
        <v>0</v>
      </c>
      <c r="L25" s="42">
        <v>2</v>
      </c>
      <c r="M25" s="42">
        <v>1</v>
      </c>
      <c r="N25" s="42">
        <f t="shared" si="0"/>
        <v>2</v>
      </c>
      <c r="O25" s="42" t="s">
        <v>625</v>
      </c>
      <c r="P25" s="53"/>
      <c r="Q25" s="43">
        <v>19.333333329999999</v>
      </c>
      <c r="R25" s="44">
        <f t="shared" si="1"/>
        <v>3</v>
      </c>
      <c r="S25" s="45">
        <v>1</v>
      </c>
      <c r="T25" s="45">
        <f t="shared" si="2"/>
        <v>3</v>
      </c>
      <c r="V25" s="46"/>
      <c r="W25" s="58" t="s">
        <v>287</v>
      </c>
      <c r="X25" s="73">
        <v>3.5</v>
      </c>
      <c r="Y25" s="44">
        <f t="shared" si="3"/>
        <v>2</v>
      </c>
      <c r="Z25" s="45">
        <v>1</v>
      </c>
      <c r="AA25" s="45">
        <f t="shared" si="4"/>
        <v>2</v>
      </c>
      <c r="AB25" s="45">
        <v>1</v>
      </c>
      <c r="AD25" s="49" t="s">
        <v>288</v>
      </c>
      <c r="AE25" s="50" t="s">
        <v>88</v>
      </c>
      <c r="AF25" s="50">
        <v>0</v>
      </c>
      <c r="AG25" s="50">
        <v>3</v>
      </c>
      <c r="AH25" s="50">
        <v>2</v>
      </c>
      <c r="AI25" s="50">
        <f t="shared" si="5"/>
        <v>6</v>
      </c>
      <c r="AJ25" s="50">
        <v>1</v>
      </c>
      <c r="AK25" s="51" t="s">
        <v>135</v>
      </c>
      <c r="AL25" s="61">
        <v>27590</v>
      </c>
      <c r="AM25" s="53" t="s">
        <v>88</v>
      </c>
      <c r="AN25" s="42">
        <v>0</v>
      </c>
      <c r="AO25" s="54">
        <f t="shared" si="6"/>
        <v>3</v>
      </c>
      <c r="AP25" s="53">
        <v>2</v>
      </c>
      <c r="AQ25" s="53">
        <f t="shared" si="7"/>
        <v>6</v>
      </c>
      <c r="AR25" s="53"/>
      <c r="AS25" s="55"/>
      <c r="AT25" s="42">
        <v>26.3</v>
      </c>
      <c r="AU25" s="42" t="s">
        <v>88</v>
      </c>
      <c r="AV25" s="56">
        <v>0</v>
      </c>
      <c r="AW25" s="44">
        <f t="shared" si="8"/>
        <v>2</v>
      </c>
      <c r="AX25" s="42">
        <v>1</v>
      </c>
      <c r="AY25" s="42">
        <f t="shared" si="9"/>
        <v>2</v>
      </c>
      <c r="AZ25" s="42"/>
      <c r="BA25" s="42"/>
      <c r="BB25" s="57" t="s">
        <v>602</v>
      </c>
      <c r="BC25" s="58" t="s">
        <v>603</v>
      </c>
      <c r="BD25" s="58" t="s">
        <v>609</v>
      </c>
      <c r="BE25" s="59">
        <v>1</v>
      </c>
      <c r="BF25" s="58">
        <v>2</v>
      </c>
      <c r="BG25" s="58">
        <f t="shared" si="10"/>
        <v>0</v>
      </c>
      <c r="BH25" s="58" t="s">
        <v>605</v>
      </c>
      <c r="BI25" s="58" t="s">
        <v>610</v>
      </c>
      <c r="BJ25" s="81" t="s">
        <v>166</v>
      </c>
      <c r="BK25" s="61">
        <v>3</v>
      </c>
      <c r="BL25" s="62">
        <v>1</v>
      </c>
      <c r="BM25" s="62">
        <f t="shared" si="11"/>
        <v>0.47712125471966244</v>
      </c>
      <c r="BN25" s="58" t="s">
        <v>607</v>
      </c>
      <c r="BO25" s="59"/>
      <c r="BP25" s="59">
        <v>13</v>
      </c>
      <c r="BQ25" s="63">
        <f t="shared" si="12"/>
        <v>2</v>
      </c>
      <c r="BR25" s="45">
        <v>1</v>
      </c>
      <c r="BS25" s="45">
        <f t="shared" si="13"/>
        <v>0.3010299956639812</v>
      </c>
      <c r="BU25" s="46"/>
      <c r="BV25" s="64">
        <v>2.75</v>
      </c>
      <c r="BW25" s="54">
        <f t="shared" si="14"/>
        <v>2</v>
      </c>
      <c r="BX25" s="45">
        <v>1</v>
      </c>
      <c r="BY25" s="45">
        <f t="shared" si="15"/>
        <v>0.3010299956639812</v>
      </c>
      <c r="BZ25" s="61" t="s">
        <v>99</v>
      </c>
      <c r="CA25" s="46"/>
      <c r="CB25" s="65">
        <v>36021</v>
      </c>
      <c r="CC25" s="45">
        <v>3</v>
      </c>
      <c r="CD25" s="45">
        <v>2</v>
      </c>
      <c r="CE25" s="45">
        <f t="shared" si="16"/>
        <v>0.95424250943932487</v>
      </c>
      <c r="CG25" s="46"/>
      <c r="CH25" s="66" t="s">
        <v>92</v>
      </c>
      <c r="CI25" s="67">
        <v>3</v>
      </c>
      <c r="CJ25" s="68">
        <v>2</v>
      </c>
      <c r="CK25" s="68">
        <f t="shared" si="17"/>
        <v>0.95424250943932487</v>
      </c>
      <c r="CL25" s="68"/>
      <c r="CM25" s="69"/>
      <c r="CO25" s="70">
        <f t="shared" si="18"/>
        <v>2.1111111111111112</v>
      </c>
      <c r="CQ25" s="45">
        <f t="shared" si="19"/>
        <v>0.33196291832514163</v>
      </c>
      <c r="CR25" s="45">
        <f t="shared" si="20"/>
        <v>2.1476470922214639</v>
      </c>
      <c r="CT25" s="71">
        <f t="shared" si="21"/>
        <v>1.4516257455262029</v>
      </c>
    </row>
    <row r="26" spans="1:98" ht="16">
      <c r="A26" s="36">
        <v>24</v>
      </c>
      <c r="B26" s="37"/>
      <c r="C26" s="37"/>
      <c r="D26" s="37"/>
      <c r="E26" s="38" t="s">
        <v>254</v>
      </c>
      <c r="F26" s="38" t="s">
        <v>255</v>
      </c>
      <c r="G26" s="38" t="s">
        <v>256</v>
      </c>
      <c r="H26" s="38" t="s">
        <v>257</v>
      </c>
      <c r="I26" s="72">
        <v>10</v>
      </c>
      <c r="J26" s="53" t="s">
        <v>88</v>
      </c>
      <c r="K26" s="42">
        <v>0</v>
      </c>
      <c r="L26" s="42">
        <v>2</v>
      </c>
      <c r="M26" s="42">
        <v>1</v>
      </c>
      <c r="N26" s="42">
        <f t="shared" si="0"/>
        <v>2</v>
      </c>
      <c r="O26" s="42">
        <v>97</v>
      </c>
      <c r="P26" s="53"/>
      <c r="Q26" s="43">
        <v>24.666666670000001</v>
      </c>
      <c r="R26" s="44">
        <f t="shared" si="1"/>
        <v>3</v>
      </c>
      <c r="S26" s="45">
        <v>1</v>
      </c>
      <c r="T26" s="45">
        <f t="shared" si="2"/>
        <v>3</v>
      </c>
      <c r="V26" s="46"/>
      <c r="W26" s="58" t="s">
        <v>258</v>
      </c>
      <c r="X26" s="73">
        <v>2.7</v>
      </c>
      <c r="Y26" s="44">
        <f t="shared" si="3"/>
        <v>2</v>
      </c>
      <c r="Z26" s="45">
        <v>1</v>
      </c>
      <c r="AA26" s="45">
        <f t="shared" si="4"/>
        <v>2</v>
      </c>
      <c r="AB26" s="45">
        <v>1</v>
      </c>
      <c r="AD26" s="49" t="s">
        <v>179</v>
      </c>
      <c r="AE26" s="50" t="s">
        <v>88</v>
      </c>
      <c r="AF26" s="50">
        <v>0</v>
      </c>
      <c r="AG26" s="50">
        <v>3</v>
      </c>
      <c r="AH26" s="50">
        <v>2</v>
      </c>
      <c r="AI26" s="50">
        <f t="shared" si="5"/>
        <v>6</v>
      </c>
      <c r="AJ26" s="50">
        <v>2</v>
      </c>
      <c r="AK26" s="51"/>
      <c r="AL26" s="61">
        <v>822667</v>
      </c>
      <c r="AM26" s="53" t="s">
        <v>115</v>
      </c>
      <c r="AN26" s="42">
        <v>1</v>
      </c>
      <c r="AO26" s="54">
        <f t="shared" si="6"/>
        <v>3</v>
      </c>
      <c r="AP26" s="53">
        <v>2</v>
      </c>
      <c r="AQ26" s="53">
        <f t="shared" si="7"/>
        <v>6</v>
      </c>
      <c r="AR26" s="53"/>
      <c r="AS26" s="55"/>
      <c r="AT26" s="42">
        <v>23.5</v>
      </c>
      <c r="AU26" s="42" t="s">
        <v>88</v>
      </c>
      <c r="AV26" s="56">
        <v>0</v>
      </c>
      <c r="AW26" s="44">
        <f t="shared" si="8"/>
        <v>2</v>
      </c>
      <c r="AX26" s="42">
        <v>1</v>
      </c>
      <c r="AY26" s="42">
        <f t="shared" si="9"/>
        <v>2</v>
      </c>
      <c r="AZ26" s="42"/>
      <c r="BA26" s="42"/>
      <c r="BB26" s="57" t="s">
        <v>602</v>
      </c>
      <c r="BC26" s="58" t="s">
        <v>603</v>
      </c>
      <c r="BD26" s="58" t="s">
        <v>604</v>
      </c>
      <c r="BE26" s="59">
        <v>2</v>
      </c>
      <c r="BF26" s="58">
        <v>2</v>
      </c>
      <c r="BG26" s="58">
        <f t="shared" si="10"/>
        <v>0.6020599913279624</v>
      </c>
      <c r="BH26" s="58" t="s">
        <v>605</v>
      </c>
      <c r="BI26" s="58" t="s">
        <v>606</v>
      </c>
      <c r="BJ26" s="60" t="s">
        <v>90</v>
      </c>
      <c r="BK26" s="61">
        <v>1</v>
      </c>
      <c r="BL26" s="62">
        <v>1</v>
      </c>
      <c r="BM26" s="62">
        <f t="shared" si="11"/>
        <v>0</v>
      </c>
      <c r="BN26" s="58" t="s">
        <v>607</v>
      </c>
      <c r="BO26" s="59"/>
      <c r="BP26" s="59">
        <v>15.5</v>
      </c>
      <c r="BQ26" s="63">
        <f t="shared" si="12"/>
        <v>2</v>
      </c>
      <c r="BR26" s="45">
        <v>1</v>
      </c>
      <c r="BS26" s="45">
        <f t="shared" si="13"/>
        <v>0.3010299956639812</v>
      </c>
      <c r="BU26" s="46"/>
      <c r="BV26" s="64">
        <v>1.625</v>
      </c>
      <c r="BW26" s="54">
        <f t="shared" si="14"/>
        <v>1</v>
      </c>
      <c r="BX26" s="45">
        <v>1</v>
      </c>
      <c r="BY26" s="45">
        <f t="shared" si="15"/>
        <v>0</v>
      </c>
      <c r="BZ26" s="61" t="s">
        <v>99</v>
      </c>
      <c r="CA26" s="46"/>
      <c r="CB26" s="65">
        <v>35423</v>
      </c>
      <c r="CC26" s="45">
        <v>3</v>
      </c>
      <c r="CD26" s="45">
        <v>2</v>
      </c>
      <c r="CE26" s="45">
        <f t="shared" si="16"/>
        <v>0.95424250943932487</v>
      </c>
      <c r="CG26" s="46"/>
      <c r="CH26" s="66" t="s">
        <v>92</v>
      </c>
      <c r="CI26" s="67">
        <v>3</v>
      </c>
      <c r="CJ26" s="68">
        <v>2</v>
      </c>
      <c r="CK26" s="68">
        <f t="shared" si="17"/>
        <v>0.95424250943932487</v>
      </c>
      <c r="CL26" s="68"/>
      <c r="CM26" s="69"/>
      <c r="CO26" s="70">
        <f t="shared" si="18"/>
        <v>2.1111111111111112</v>
      </c>
      <c r="CQ26" s="45">
        <f t="shared" si="19"/>
        <v>0.31239722287451038</v>
      </c>
      <c r="CR26" s="45">
        <f t="shared" si="20"/>
        <v>2.0530391109397983</v>
      </c>
      <c r="CT26" s="71">
        <f t="shared" si="21"/>
        <v>1.3780474686885804</v>
      </c>
    </row>
    <row r="27" spans="1:98" ht="16">
      <c r="A27" s="36">
        <v>25</v>
      </c>
      <c r="B27" s="37"/>
      <c r="C27" s="37"/>
      <c r="D27" s="37"/>
      <c r="E27" s="38" t="s">
        <v>210</v>
      </c>
      <c r="F27" s="38" t="s">
        <v>211</v>
      </c>
      <c r="G27" s="38" t="s">
        <v>212</v>
      </c>
      <c r="H27" s="38" t="s">
        <v>177</v>
      </c>
      <c r="I27" s="72">
        <v>15.67</v>
      </c>
      <c r="J27" s="53" t="s">
        <v>88</v>
      </c>
      <c r="K27" s="42">
        <v>0</v>
      </c>
      <c r="L27" s="42">
        <v>1</v>
      </c>
      <c r="M27" s="42">
        <v>1</v>
      </c>
      <c r="N27" s="42">
        <f t="shared" si="0"/>
        <v>1</v>
      </c>
      <c r="O27" s="42" t="s">
        <v>625</v>
      </c>
      <c r="P27" s="53"/>
      <c r="Q27" s="43">
        <v>40</v>
      </c>
      <c r="R27" s="44">
        <f t="shared" si="1"/>
        <v>2</v>
      </c>
      <c r="S27" s="45">
        <v>1</v>
      </c>
      <c r="T27" s="45">
        <f t="shared" si="2"/>
        <v>2</v>
      </c>
      <c r="V27" s="46"/>
      <c r="W27" s="58" t="s">
        <v>213</v>
      </c>
      <c r="X27" s="73">
        <v>2</v>
      </c>
      <c r="Y27" s="44">
        <f t="shared" si="3"/>
        <v>3</v>
      </c>
      <c r="Z27" s="45">
        <v>1</v>
      </c>
      <c r="AA27" s="45">
        <f t="shared" si="4"/>
        <v>3</v>
      </c>
      <c r="AB27" s="45">
        <v>1</v>
      </c>
      <c r="AD27" s="49" t="s">
        <v>214</v>
      </c>
      <c r="AE27" s="50" t="s">
        <v>88</v>
      </c>
      <c r="AF27" s="50">
        <v>0</v>
      </c>
      <c r="AG27" s="50">
        <v>3</v>
      </c>
      <c r="AH27" s="50">
        <v>2</v>
      </c>
      <c r="AI27" s="50">
        <f t="shared" si="5"/>
        <v>6</v>
      </c>
      <c r="AJ27" s="50">
        <v>1</v>
      </c>
      <c r="AK27" s="51" t="s">
        <v>135</v>
      </c>
      <c r="AL27" s="61">
        <v>22101</v>
      </c>
      <c r="AM27" s="53" t="s">
        <v>115</v>
      </c>
      <c r="AN27" s="42">
        <v>1</v>
      </c>
      <c r="AO27" s="54">
        <f t="shared" si="6"/>
        <v>3</v>
      </c>
      <c r="AP27" s="53">
        <v>2</v>
      </c>
      <c r="AQ27" s="53">
        <f t="shared" si="7"/>
        <v>6</v>
      </c>
      <c r="AR27" s="53"/>
      <c r="AS27" s="55"/>
      <c r="AT27" s="42">
        <v>35.799999999999997</v>
      </c>
      <c r="AU27" s="42" t="s">
        <v>88</v>
      </c>
      <c r="AV27" s="56">
        <v>0</v>
      </c>
      <c r="AW27" s="44">
        <f t="shared" si="8"/>
        <v>1</v>
      </c>
      <c r="AX27" s="42">
        <v>1</v>
      </c>
      <c r="AY27" s="42">
        <f t="shared" si="9"/>
        <v>1</v>
      </c>
      <c r="AZ27" s="42"/>
      <c r="BA27" s="42"/>
      <c r="BB27" s="57" t="s">
        <v>602</v>
      </c>
      <c r="BC27" s="58" t="s">
        <v>603</v>
      </c>
      <c r="BD27" s="58" t="s">
        <v>609</v>
      </c>
      <c r="BE27" s="59">
        <v>1</v>
      </c>
      <c r="BF27" s="58">
        <v>2</v>
      </c>
      <c r="BG27" s="58">
        <f t="shared" si="10"/>
        <v>0</v>
      </c>
      <c r="BH27" s="58" t="s">
        <v>605</v>
      </c>
      <c r="BI27" s="58" t="s">
        <v>610</v>
      </c>
      <c r="BJ27" s="81" t="s">
        <v>166</v>
      </c>
      <c r="BK27" s="61">
        <v>3</v>
      </c>
      <c r="BL27" s="62">
        <v>1</v>
      </c>
      <c r="BM27" s="62">
        <f t="shared" si="11"/>
        <v>0.47712125471966244</v>
      </c>
      <c r="BN27" s="58" t="s">
        <v>607</v>
      </c>
      <c r="BO27" s="59"/>
      <c r="BP27" s="59">
        <v>15.25</v>
      </c>
      <c r="BQ27" s="63">
        <f t="shared" si="12"/>
        <v>2</v>
      </c>
      <c r="BR27" s="45">
        <v>1</v>
      </c>
      <c r="BS27" s="45">
        <f t="shared" si="13"/>
        <v>0.3010299956639812</v>
      </c>
      <c r="BU27" s="46"/>
      <c r="BV27" s="64">
        <v>2</v>
      </c>
      <c r="BW27" s="54">
        <f t="shared" si="14"/>
        <v>1</v>
      </c>
      <c r="BX27" s="45">
        <v>1</v>
      </c>
      <c r="BY27" s="45">
        <f t="shared" si="15"/>
        <v>0</v>
      </c>
      <c r="BZ27" s="61" t="s">
        <v>91</v>
      </c>
      <c r="CA27" s="46"/>
      <c r="CB27" s="65">
        <v>33497</v>
      </c>
      <c r="CC27" s="45">
        <v>3</v>
      </c>
      <c r="CD27" s="45">
        <v>2</v>
      </c>
      <c r="CE27" s="45">
        <f t="shared" si="16"/>
        <v>0.95424250943932487</v>
      </c>
      <c r="CG27" s="46"/>
      <c r="CH27" s="66" t="s">
        <v>216</v>
      </c>
      <c r="CI27" s="67">
        <v>3</v>
      </c>
      <c r="CJ27" s="68">
        <v>2</v>
      </c>
      <c r="CK27" s="68">
        <f t="shared" si="17"/>
        <v>0.95424250943932487</v>
      </c>
      <c r="CL27" s="68"/>
      <c r="CM27" s="69"/>
      <c r="CO27" s="70">
        <f t="shared" si="18"/>
        <v>2</v>
      </c>
      <c r="CQ27" s="45">
        <f t="shared" si="19"/>
        <v>0.29851514102914373</v>
      </c>
      <c r="CR27" s="45">
        <f t="shared" si="20"/>
        <v>1.9884521336051839</v>
      </c>
      <c r="CT27" s="71">
        <f t="shared" si="21"/>
        <v>1.4060716981820807</v>
      </c>
    </row>
    <row r="28" spans="1:98" ht="16">
      <c r="A28" s="36">
        <v>26</v>
      </c>
      <c r="B28" s="37" t="s">
        <v>144</v>
      </c>
      <c r="C28" s="37"/>
      <c r="D28" s="37"/>
      <c r="E28" s="38" t="s">
        <v>259</v>
      </c>
      <c r="F28" s="38" t="s">
        <v>108</v>
      </c>
      <c r="G28" s="38" t="s">
        <v>260</v>
      </c>
      <c r="H28" s="38" t="s">
        <v>110</v>
      </c>
      <c r="I28" s="72">
        <v>3.5</v>
      </c>
      <c r="J28" s="53" t="s">
        <v>88</v>
      </c>
      <c r="K28" s="42">
        <v>0</v>
      </c>
      <c r="L28" s="42">
        <v>3</v>
      </c>
      <c r="M28" s="42">
        <v>1</v>
      </c>
      <c r="N28" s="42">
        <f t="shared" si="0"/>
        <v>3</v>
      </c>
      <c r="O28" s="42">
        <v>97</v>
      </c>
      <c r="P28" s="53"/>
      <c r="Q28" s="43">
        <v>9</v>
      </c>
      <c r="R28" s="44">
        <f t="shared" si="1"/>
        <v>3</v>
      </c>
      <c r="S28" s="45">
        <v>1</v>
      </c>
      <c r="T28" s="45">
        <f t="shared" si="2"/>
        <v>3</v>
      </c>
      <c r="V28" s="46"/>
      <c r="W28" s="58" t="s">
        <v>261</v>
      </c>
      <c r="X28" s="73">
        <v>3.1</v>
      </c>
      <c r="Y28" s="44">
        <f t="shared" si="3"/>
        <v>2</v>
      </c>
      <c r="Z28" s="45">
        <v>1</v>
      </c>
      <c r="AA28" s="45">
        <f t="shared" si="4"/>
        <v>2</v>
      </c>
      <c r="AB28" s="45">
        <v>1</v>
      </c>
      <c r="AD28" s="49" t="s">
        <v>113</v>
      </c>
      <c r="AE28" s="50" t="s">
        <v>88</v>
      </c>
      <c r="AF28" s="50">
        <v>0</v>
      </c>
      <c r="AG28" s="50">
        <v>3</v>
      </c>
      <c r="AH28" s="50">
        <v>2</v>
      </c>
      <c r="AI28" s="50">
        <f t="shared" si="5"/>
        <v>6</v>
      </c>
      <c r="AJ28" s="50">
        <v>1</v>
      </c>
      <c r="AK28" s="51" t="s">
        <v>114</v>
      </c>
      <c r="AL28" s="61">
        <v>5400</v>
      </c>
      <c r="AM28" s="53" t="s">
        <v>88</v>
      </c>
      <c r="AN28" s="42">
        <v>0</v>
      </c>
      <c r="AO28" s="54">
        <f t="shared" si="6"/>
        <v>2</v>
      </c>
      <c r="AP28" s="53">
        <v>2</v>
      </c>
      <c r="AQ28" s="53">
        <f t="shared" si="7"/>
        <v>4</v>
      </c>
      <c r="AR28" s="53"/>
      <c r="AS28" s="55"/>
      <c r="AT28" s="42">
        <v>37.5</v>
      </c>
      <c r="AU28" s="42" t="s">
        <v>88</v>
      </c>
      <c r="AV28" s="56">
        <v>0</v>
      </c>
      <c r="AW28" s="44">
        <f t="shared" si="8"/>
        <v>1</v>
      </c>
      <c r="AX28" s="42">
        <v>1</v>
      </c>
      <c r="AY28" s="42">
        <f t="shared" si="9"/>
        <v>1</v>
      </c>
      <c r="AZ28" s="42">
        <v>22</v>
      </c>
      <c r="BA28" s="53"/>
      <c r="BB28" s="57" t="s">
        <v>602</v>
      </c>
      <c r="BC28" s="58" t="s">
        <v>603</v>
      </c>
      <c r="BD28" s="58" t="s">
        <v>609</v>
      </c>
      <c r="BE28" s="59">
        <v>1</v>
      </c>
      <c r="BF28" s="58">
        <v>2</v>
      </c>
      <c r="BG28" s="58">
        <f t="shared" si="10"/>
        <v>0</v>
      </c>
      <c r="BH28" s="58" t="s">
        <v>605</v>
      </c>
      <c r="BI28" s="58" t="s">
        <v>610</v>
      </c>
      <c r="BJ28" s="60" t="s">
        <v>90</v>
      </c>
      <c r="BK28" s="61">
        <v>1</v>
      </c>
      <c r="BL28" s="62">
        <v>1</v>
      </c>
      <c r="BM28" s="62">
        <f t="shared" si="11"/>
        <v>0</v>
      </c>
      <c r="BN28" s="58" t="s">
        <v>607</v>
      </c>
      <c r="BO28" s="59"/>
      <c r="BP28" s="59">
        <v>48.75</v>
      </c>
      <c r="BQ28" s="63">
        <f t="shared" si="12"/>
        <v>1</v>
      </c>
      <c r="BR28" s="45">
        <v>1</v>
      </c>
      <c r="BS28" s="45">
        <f t="shared" si="13"/>
        <v>0</v>
      </c>
      <c r="BU28" s="46"/>
      <c r="BV28" s="64">
        <v>1.25</v>
      </c>
      <c r="BW28" s="54">
        <f t="shared" si="14"/>
        <v>1</v>
      </c>
      <c r="BX28" s="45">
        <v>1</v>
      </c>
      <c r="BY28" s="45">
        <f t="shared" si="15"/>
        <v>0</v>
      </c>
      <c r="BZ28" s="61" t="s">
        <v>99</v>
      </c>
      <c r="CA28" s="46"/>
      <c r="CB28" s="65">
        <v>32731</v>
      </c>
      <c r="CC28" s="45">
        <v>3</v>
      </c>
      <c r="CD28" s="45">
        <v>2</v>
      </c>
      <c r="CE28" s="45">
        <f t="shared" si="16"/>
        <v>0.95424250943932487</v>
      </c>
      <c r="CG28" s="46"/>
      <c r="CH28" s="66" t="s">
        <v>106</v>
      </c>
      <c r="CI28" s="67">
        <v>3</v>
      </c>
      <c r="CJ28" s="68">
        <v>2</v>
      </c>
      <c r="CK28" s="68">
        <f t="shared" si="17"/>
        <v>0.95424250943932487</v>
      </c>
      <c r="CL28" s="68"/>
      <c r="CM28" s="69"/>
      <c r="CO28" s="70">
        <f t="shared" si="18"/>
        <v>1.7777777777777777</v>
      </c>
      <c r="CQ28" s="45">
        <f t="shared" si="19"/>
        <v>0.21205389098651664</v>
      </c>
      <c r="CR28" s="45">
        <f t="shared" si="20"/>
        <v>1.6294982222188463</v>
      </c>
      <c r="CT28" s="71">
        <f t="shared" si="21"/>
        <v>1.374807321871147</v>
      </c>
    </row>
    <row r="29" spans="1:98" ht="16">
      <c r="A29" s="36">
        <v>27</v>
      </c>
      <c r="B29" s="37"/>
      <c r="C29" s="37"/>
      <c r="D29" s="37"/>
      <c r="E29" s="38" t="s">
        <v>352</v>
      </c>
      <c r="F29" s="38" t="s">
        <v>353</v>
      </c>
      <c r="G29" s="38" t="s">
        <v>354</v>
      </c>
      <c r="H29" s="83" t="s">
        <v>355</v>
      </c>
      <c r="I29" s="72">
        <v>4</v>
      </c>
      <c r="J29" s="53" t="s">
        <v>88</v>
      </c>
      <c r="K29" s="42">
        <v>0</v>
      </c>
      <c r="L29" s="42">
        <v>3</v>
      </c>
      <c r="M29" s="42">
        <v>1</v>
      </c>
      <c r="N29" s="42">
        <f t="shared" si="0"/>
        <v>3</v>
      </c>
      <c r="O29" s="42">
        <v>97</v>
      </c>
      <c r="P29" s="53"/>
      <c r="Q29" s="43">
        <v>13.5</v>
      </c>
      <c r="R29" s="44">
        <f t="shared" si="1"/>
        <v>3</v>
      </c>
      <c r="S29" s="45">
        <v>1</v>
      </c>
      <c r="T29" s="45">
        <f t="shared" si="2"/>
        <v>3</v>
      </c>
      <c r="V29" s="46"/>
      <c r="W29" s="58" t="s">
        <v>178</v>
      </c>
      <c r="X29" s="73">
        <v>3.4</v>
      </c>
      <c r="Y29" s="44">
        <f t="shared" si="3"/>
        <v>2</v>
      </c>
      <c r="Z29" s="45">
        <v>1</v>
      </c>
      <c r="AA29" s="45">
        <f t="shared" si="4"/>
        <v>2</v>
      </c>
      <c r="AB29" s="45">
        <v>1</v>
      </c>
      <c r="AD29" s="49" t="s">
        <v>356</v>
      </c>
      <c r="AE29" s="50" t="s">
        <v>88</v>
      </c>
      <c r="AF29" s="50">
        <v>0</v>
      </c>
      <c r="AG29" s="50">
        <v>3</v>
      </c>
      <c r="AH29" s="50">
        <v>2</v>
      </c>
      <c r="AI29" s="50">
        <f t="shared" si="5"/>
        <v>6</v>
      </c>
      <c r="AJ29" s="50">
        <v>1</v>
      </c>
      <c r="AK29" s="51" t="s">
        <v>135</v>
      </c>
      <c r="AL29" s="59">
        <v>149485</v>
      </c>
      <c r="AM29" s="53" t="s">
        <v>146</v>
      </c>
      <c r="AN29" s="42">
        <v>2</v>
      </c>
      <c r="AO29" s="54">
        <f t="shared" si="6"/>
        <v>3</v>
      </c>
      <c r="AP29" s="53">
        <v>2</v>
      </c>
      <c r="AQ29" s="53">
        <f t="shared" si="7"/>
        <v>6</v>
      </c>
      <c r="AR29" s="53"/>
      <c r="AS29" s="55"/>
      <c r="AT29" s="42">
        <v>26</v>
      </c>
      <c r="AU29" s="42" t="s">
        <v>115</v>
      </c>
      <c r="AV29" s="44">
        <v>1</v>
      </c>
      <c r="AW29" s="44">
        <f t="shared" si="8"/>
        <v>2</v>
      </c>
      <c r="AX29" s="42">
        <v>1</v>
      </c>
      <c r="AY29" s="42">
        <f t="shared" si="9"/>
        <v>2</v>
      </c>
      <c r="AZ29" s="42" t="s">
        <v>203</v>
      </c>
      <c r="BA29" s="53" t="s">
        <v>358</v>
      </c>
      <c r="BB29" s="57" t="s">
        <v>602</v>
      </c>
      <c r="BC29" s="58" t="s">
        <v>603</v>
      </c>
      <c r="BD29" s="58" t="s">
        <v>609</v>
      </c>
      <c r="BE29" s="59">
        <v>1</v>
      </c>
      <c r="BF29" s="58">
        <v>2</v>
      </c>
      <c r="BG29" s="58">
        <f t="shared" si="10"/>
        <v>0</v>
      </c>
      <c r="BH29" s="58" t="s">
        <v>605</v>
      </c>
      <c r="BI29" s="58" t="s">
        <v>610</v>
      </c>
      <c r="BJ29" s="60" t="s">
        <v>90</v>
      </c>
      <c r="BK29" s="61">
        <v>1</v>
      </c>
      <c r="BL29" s="62">
        <v>1</v>
      </c>
      <c r="BM29" s="62">
        <f t="shared" si="11"/>
        <v>0</v>
      </c>
      <c r="BN29" s="58" t="s">
        <v>607</v>
      </c>
      <c r="BO29" s="59"/>
      <c r="BP29" s="59">
        <v>24</v>
      </c>
      <c r="BQ29" s="63">
        <f t="shared" si="12"/>
        <v>2</v>
      </c>
      <c r="BR29" s="45">
        <v>1</v>
      </c>
      <c r="BS29" s="45">
        <f t="shared" si="13"/>
        <v>0.3010299956639812</v>
      </c>
      <c r="BU29" s="46"/>
      <c r="BV29" s="64">
        <v>1.75</v>
      </c>
      <c r="BW29" s="54">
        <f t="shared" si="14"/>
        <v>1</v>
      </c>
      <c r="BX29" s="45">
        <v>1</v>
      </c>
      <c r="BY29" s="45">
        <f t="shared" si="15"/>
        <v>0</v>
      </c>
      <c r="BZ29" s="61" t="s">
        <v>99</v>
      </c>
      <c r="CA29" s="46"/>
      <c r="CB29" s="65">
        <v>31448</v>
      </c>
      <c r="CC29" s="45">
        <v>3</v>
      </c>
      <c r="CD29" s="45">
        <v>2</v>
      </c>
      <c r="CE29" s="45">
        <f t="shared" si="16"/>
        <v>0.95424250943932487</v>
      </c>
      <c r="CG29" s="46"/>
      <c r="CH29" s="66" t="s">
        <v>92</v>
      </c>
      <c r="CI29" s="67">
        <v>3</v>
      </c>
      <c r="CJ29" s="68">
        <v>2</v>
      </c>
      <c r="CK29" s="68">
        <f t="shared" si="17"/>
        <v>0.95424250943932487</v>
      </c>
      <c r="CL29" s="68"/>
      <c r="CM29" s="69"/>
      <c r="CO29" s="70">
        <f t="shared" si="18"/>
        <v>2.1111111111111112</v>
      </c>
      <c r="CQ29" s="45">
        <f t="shared" si="19"/>
        <v>0.24550166828251452</v>
      </c>
      <c r="CR29" s="45">
        <f t="shared" si="20"/>
        <v>1.7599554244151643</v>
      </c>
      <c r="CT29" s="71">
        <f t="shared" si="21"/>
        <v>1.1694681286329081</v>
      </c>
    </row>
    <row r="30" spans="1:98" ht="16">
      <c r="A30" s="36">
        <v>28</v>
      </c>
      <c r="B30" s="37"/>
      <c r="C30" s="37"/>
      <c r="D30" s="37"/>
      <c r="E30" s="38" t="s">
        <v>262</v>
      </c>
      <c r="F30" s="38" t="s">
        <v>263</v>
      </c>
      <c r="G30" s="38" t="s">
        <v>264</v>
      </c>
      <c r="H30" s="38" t="s">
        <v>177</v>
      </c>
      <c r="I30" s="72">
        <v>20.67</v>
      </c>
      <c r="J30" s="53" t="s">
        <v>88</v>
      </c>
      <c r="K30" s="42">
        <v>0</v>
      </c>
      <c r="L30" s="42">
        <v>1</v>
      </c>
      <c r="M30" s="42">
        <v>1</v>
      </c>
      <c r="N30" s="42">
        <f t="shared" si="0"/>
        <v>1</v>
      </c>
      <c r="O30" s="42" t="s">
        <v>625</v>
      </c>
      <c r="P30" s="53"/>
      <c r="Q30" s="43">
        <v>46</v>
      </c>
      <c r="R30" s="44">
        <f t="shared" si="1"/>
        <v>2</v>
      </c>
      <c r="S30" s="45">
        <v>1</v>
      </c>
      <c r="T30" s="45">
        <f t="shared" si="2"/>
        <v>2</v>
      </c>
      <c r="V30" s="46"/>
      <c r="W30" s="58" t="s">
        <v>265</v>
      </c>
      <c r="X30" s="73">
        <v>2.2999999999999998</v>
      </c>
      <c r="Y30" s="44">
        <f t="shared" si="3"/>
        <v>3</v>
      </c>
      <c r="Z30" s="45">
        <v>1</v>
      </c>
      <c r="AA30" s="45">
        <f t="shared" si="4"/>
        <v>3</v>
      </c>
      <c r="AB30" s="45">
        <v>1</v>
      </c>
      <c r="AD30" s="49" t="s">
        <v>266</v>
      </c>
      <c r="AE30" s="50" t="s">
        <v>88</v>
      </c>
      <c r="AF30" s="50">
        <v>0</v>
      </c>
      <c r="AG30" s="50">
        <v>3</v>
      </c>
      <c r="AH30" s="50">
        <v>2</v>
      </c>
      <c r="AI30" s="50">
        <f t="shared" si="5"/>
        <v>6</v>
      </c>
      <c r="AJ30" s="50">
        <v>1</v>
      </c>
      <c r="AK30" s="51" t="s">
        <v>135</v>
      </c>
      <c r="AL30" s="80">
        <v>38487</v>
      </c>
      <c r="AM30" s="53" t="s">
        <v>146</v>
      </c>
      <c r="AN30" s="42">
        <v>2</v>
      </c>
      <c r="AO30" s="54">
        <f t="shared" si="6"/>
        <v>3</v>
      </c>
      <c r="AP30" s="53">
        <v>2</v>
      </c>
      <c r="AQ30" s="53">
        <f t="shared" si="7"/>
        <v>6</v>
      </c>
      <c r="AR30" s="53"/>
      <c r="AS30" s="55"/>
      <c r="AT30" s="42">
        <v>69.400000000000006</v>
      </c>
      <c r="AU30" s="42" t="s">
        <v>88</v>
      </c>
      <c r="AV30" s="56">
        <v>0</v>
      </c>
      <c r="AW30" s="44">
        <f t="shared" si="8"/>
        <v>1</v>
      </c>
      <c r="AX30" s="42">
        <v>1</v>
      </c>
      <c r="AY30" s="42">
        <f t="shared" si="9"/>
        <v>1</v>
      </c>
      <c r="AZ30" s="42"/>
      <c r="BA30" s="42"/>
      <c r="BB30" s="57" t="s">
        <v>602</v>
      </c>
      <c r="BC30" s="58" t="s">
        <v>603</v>
      </c>
      <c r="BD30" s="58" t="s">
        <v>609</v>
      </c>
      <c r="BE30" s="59">
        <v>1</v>
      </c>
      <c r="BF30" s="58">
        <v>2</v>
      </c>
      <c r="BG30" s="58">
        <f t="shared" si="10"/>
        <v>0</v>
      </c>
      <c r="BH30" s="58" t="s">
        <v>605</v>
      </c>
      <c r="BI30" s="58" t="s">
        <v>610</v>
      </c>
      <c r="BJ30" s="81" t="s">
        <v>166</v>
      </c>
      <c r="BK30" s="61">
        <v>3</v>
      </c>
      <c r="BL30" s="62">
        <v>1</v>
      </c>
      <c r="BM30" s="62">
        <f t="shared" si="11"/>
        <v>0.47712125471966244</v>
      </c>
      <c r="BN30" s="58" t="s">
        <v>607</v>
      </c>
      <c r="BO30" s="59"/>
      <c r="BP30" s="59">
        <v>45</v>
      </c>
      <c r="BQ30" s="63">
        <f t="shared" si="12"/>
        <v>1</v>
      </c>
      <c r="BR30" s="45">
        <v>1</v>
      </c>
      <c r="BS30" s="45">
        <f t="shared" si="13"/>
        <v>0</v>
      </c>
      <c r="BU30" s="46"/>
      <c r="BV30" s="64">
        <v>2.125</v>
      </c>
      <c r="BW30" s="54">
        <f t="shared" si="14"/>
        <v>1</v>
      </c>
      <c r="BX30" s="45">
        <v>1</v>
      </c>
      <c r="BY30" s="45">
        <f t="shared" si="15"/>
        <v>0</v>
      </c>
      <c r="BZ30" s="61" t="s">
        <v>99</v>
      </c>
      <c r="CA30" s="46"/>
      <c r="CB30" s="65">
        <v>28913</v>
      </c>
      <c r="CC30" s="45">
        <v>3</v>
      </c>
      <c r="CD30" s="45">
        <v>2</v>
      </c>
      <c r="CE30" s="45">
        <f t="shared" si="16"/>
        <v>0.95424250943932487</v>
      </c>
      <c r="CG30" s="46"/>
      <c r="CH30" s="66" t="s">
        <v>106</v>
      </c>
      <c r="CI30" s="67">
        <v>3</v>
      </c>
      <c r="CJ30" s="68">
        <v>2</v>
      </c>
      <c r="CK30" s="68">
        <f t="shared" si="17"/>
        <v>0.95424250943932487</v>
      </c>
      <c r="CL30" s="78"/>
      <c r="CM30" s="79"/>
      <c r="CO30" s="70">
        <f t="shared" si="18"/>
        <v>2</v>
      </c>
      <c r="CQ30" s="45">
        <f t="shared" si="19"/>
        <v>0.26506736373314577</v>
      </c>
      <c r="CR30" s="45">
        <f t="shared" si="20"/>
        <v>1.841057547098748</v>
      </c>
      <c r="CT30" s="71">
        <f t="shared" si="21"/>
        <v>1.3066666742255895</v>
      </c>
    </row>
    <row r="31" spans="1:98" ht="16">
      <c r="A31" s="36">
        <v>29</v>
      </c>
      <c r="B31" s="37"/>
      <c r="C31" s="37"/>
      <c r="D31" s="37"/>
      <c r="E31" s="38" t="s">
        <v>193</v>
      </c>
      <c r="F31" s="38" t="s">
        <v>124</v>
      </c>
      <c r="G31" s="38" t="s">
        <v>194</v>
      </c>
      <c r="H31" s="38" t="s">
        <v>83</v>
      </c>
      <c r="I31" s="72">
        <v>3.5</v>
      </c>
      <c r="J31" s="53" t="s">
        <v>88</v>
      </c>
      <c r="K31" s="42">
        <v>0</v>
      </c>
      <c r="L31" s="42">
        <v>3</v>
      </c>
      <c r="M31" s="42">
        <v>1</v>
      </c>
      <c r="N31" s="42">
        <f t="shared" si="0"/>
        <v>3</v>
      </c>
      <c r="O31" s="42">
        <v>97</v>
      </c>
      <c r="P31" s="53"/>
      <c r="Q31" s="43">
        <v>14</v>
      </c>
      <c r="R31" s="44">
        <f t="shared" si="1"/>
        <v>3</v>
      </c>
      <c r="S31" s="45">
        <v>1</v>
      </c>
      <c r="T31" s="45">
        <f t="shared" si="2"/>
        <v>3</v>
      </c>
      <c r="V31" s="46"/>
      <c r="W31" s="58" t="s">
        <v>195</v>
      </c>
      <c r="X31" s="73">
        <v>2.7</v>
      </c>
      <c r="Y31" s="44">
        <f t="shared" si="3"/>
        <v>2</v>
      </c>
      <c r="Z31" s="45">
        <v>1</v>
      </c>
      <c r="AA31" s="45">
        <f t="shared" si="4"/>
        <v>2</v>
      </c>
      <c r="AB31" s="45">
        <v>1</v>
      </c>
      <c r="AD31" s="49" t="s">
        <v>196</v>
      </c>
      <c r="AE31" s="50" t="s">
        <v>88</v>
      </c>
      <c r="AF31" s="50">
        <v>0</v>
      </c>
      <c r="AG31" s="50">
        <v>3</v>
      </c>
      <c r="AH31" s="50">
        <v>2</v>
      </c>
      <c r="AI31" s="50">
        <f t="shared" si="5"/>
        <v>6</v>
      </c>
      <c r="AJ31" s="50">
        <v>1</v>
      </c>
      <c r="AK31" s="51" t="s">
        <v>89</v>
      </c>
      <c r="AL31" s="61">
        <v>5200</v>
      </c>
      <c r="AM31" s="53" t="s">
        <v>88</v>
      </c>
      <c r="AN31" s="42">
        <v>0</v>
      </c>
      <c r="AO31" s="54">
        <f t="shared" si="6"/>
        <v>2</v>
      </c>
      <c r="AP31" s="53">
        <v>2</v>
      </c>
      <c r="AQ31" s="53">
        <f t="shared" si="7"/>
        <v>4</v>
      </c>
      <c r="AR31" s="53"/>
      <c r="AS31" s="55"/>
      <c r="AT31" s="53">
        <v>18.5</v>
      </c>
      <c r="AU31" s="42" t="s">
        <v>115</v>
      </c>
      <c r="AV31" s="44">
        <v>1</v>
      </c>
      <c r="AW31" s="44">
        <f t="shared" si="8"/>
        <v>2</v>
      </c>
      <c r="AX31" s="42">
        <v>1</v>
      </c>
      <c r="AY31" s="42">
        <f t="shared" si="9"/>
        <v>2</v>
      </c>
      <c r="AZ31" s="42" t="s">
        <v>197</v>
      </c>
      <c r="BA31" s="53" t="s">
        <v>647</v>
      </c>
      <c r="BB31" s="57" t="s">
        <v>602</v>
      </c>
      <c r="BC31" s="58" t="s">
        <v>603</v>
      </c>
      <c r="BD31" s="58" t="s">
        <v>604</v>
      </c>
      <c r="BE31" s="59">
        <v>2</v>
      </c>
      <c r="BF31" s="58">
        <v>2</v>
      </c>
      <c r="BG31" s="58">
        <f t="shared" si="10"/>
        <v>0.6020599913279624</v>
      </c>
      <c r="BH31" s="58" t="s">
        <v>605</v>
      </c>
      <c r="BI31" s="58" t="s">
        <v>611</v>
      </c>
      <c r="BJ31" s="60" t="s">
        <v>90</v>
      </c>
      <c r="BK31" s="61">
        <v>1</v>
      </c>
      <c r="BL31" s="62">
        <v>1</v>
      </c>
      <c r="BM31" s="62">
        <f t="shared" si="11"/>
        <v>0</v>
      </c>
      <c r="BN31" s="58" t="s">
        <v>607</v>
      </c>
      <c r="BO31" s="59"/>
      <c r="BP31" s="59">
        <v>8</v>
      </c>
      <c r="BQ31" s="63">
        <f t="shared" si="12"/>
        <v>3</v>
      </c>
      <c r="BR31" s="45">
        <v>1</v>
      </c>
      <c r="BS31" s="45">
        <f t="shared" si="13"/>
        <v>0.47712125471966244</v>
      </c>
      <c r="BU31" s="46"/>
      <c r="BV31" s="64">
        <v>1.375</v>
      </c>
      <c r="BW31" s="54">
        <f t="shared" si="14"/>
        <v>1</v>
      </c>
      <c r="BX31" s="45">
        <v>1</v>
      </c>
      <c r="BY31" s="45">
        <f t="shared" si="15"/>
        <v>0</v>
      </c>
      <c r="BZ31" s="61" t="s">
        <v>99</v>
      </c>
      <c r="CA31" s="46"/>
      <c r="CB31" s="65">
        <v>28093</v>
      </c>
      <c r="CC31" s="45">
        <v>3</v>
      </c>
      <c r="CD31" s="45">
        <v>2</v>
      </c>
      <c r="CE31" s="45">
        <f t="shared" si="16"/>
        <v>0.95424250943932487</v>
      </c>
      <c r="CG31" s="46"/>
      <c r="CH31" s="66" t="s">
        <v>106</v>
      </c>
      <c r="CI31" s="67">
        <v>3</v>
      </c>
      <c r="CJ31" s="68">
        <v>2</v>
      </c>
      <c r="CK31" s="68">
        <f t="shared" si="17"/>
        <v>0.95424250943932487</v>
      </c>
      <c r="CL31" s="68"/>
      <c r="CM31" s="69"/>
      <c r="CO31" s="70">
        <f t="shared" si="18"/>
        <v>1.8888888888888888</v>
      </c>
      <c r="CQ31" s="45">
        <f t="shared" si="19"/>
        <v>0.33196291832514163</v>
      </c>
      <c r="CR31" s="45">
        <f t="shared" si="20"/>
        <v>2.1476470922214639</v>
      </c>
      <c r="CT31" s="71">
        <f t="shared" si="21"/>
        <v>1.5973921714841817</v>
      </c>
    </row>
    <row r="32" spans="1:98" ht="16">
      <c r="A32" s="36">
        <v>30</v>
      </c>
      <c r="B32" s="37"/>
      <c r="C32" s="37"/>
      <c r="D32" s="37"/>
      <c r="E32" s="38" t="s">
        <v>289</v>
      </c>
      <c r="F32" s="38" t="s">
        <v>290</v>
      </c>
      <c r="G32" s="38" t="s">
        <v>291</v>
      </c>
      <c r="H32" s="38" t="s">
        <v>286</v>
      </c>
      <c r="I32" s="72">
        <v>4</v>
      </c>
      <c r="J32" s="53" t="s">
        <v>88</v>
      </c>
      <c r="K32" s="42">
        <v>0</v>
      </c>
      <c r="L32" s="42">
        <v>3</v>
      </c>
      <c r="M32" s="42">
        <v>1</v>
      </c>
      <c r="N32" s="42">
        <f t="shared" si="0"/>
        <v>3</v>
      </c>
      <c r="O32" s="42">
        <v>97</v>
      </c>
      <c r="P32" s="53"/>
      <c r="Q32" s="43">
        <v>25</v>
      </c>
      <c r="R32" s="44">
        <f t="shared" si="1"/>
        <v>3</v>
      </c>
      <c r="S32" s="45">
        <v>1</v>
      </c>
      <c r="T32" s="45">
        <f t="shared" si="2"/>
        <v>3</v>
      </c>
      <c r="V32" s="46"/>
      <c r="W32" s="58" t="s">
        <v>292</v>
      </c>
      <c r="X32" s="73">
        <v>3.5</v>
      </c>
      <c r="Y32" s="44">
        <f t="shared" si="3"/>
        <v>2</v>
      </c>
      <c r="Z32" s="45">
        <v>1</v>
      </c>
      <c r="AA32" s="45">
        <f t="shared" si="4"/>
        <v>2</v>
      </c>
      <c r="AB32" s="45">
        <v>1</v>
      </c>
      <c r="AD32" s="49" t="s">
        <v>293</v>
      </c>
      <c r="AE32" s="50" t="s">
        <v>88</v>
      </c>
      <c r="AF32" s="50">
        <v>0</v>
      </c>
      <c r="AG32" s="50">
        <v>3</v>
      </c>
      <c r="AH32" s="50">
        <v>2</v>
      </c>
      <c r="AI32" s="50">
        <f t="shared" si="5"/>
        <v>6</v>
      </c>
      <c r="AJ32" s="50">
        <v>1</v>
      </c>
      <c r="AK32" s="51" t="s">
        <v>294</v>
      </c>
      <c r="AL32" s="61">
        <v>14293</v>
      </c>
      <c r="AM32" s="53" t="s">
        <v>146</v>
      </c>
      <c r="AN32" s="42">
        <v>2</v>
      </c>
      <c r="AO32" s="54">
        <f t="shared" si="6"/>
        <v>2</v>
      </c>
      <c r="AP32" s="53">
        <v>2</v>
      </c>
      <c r="AQ32" s="53">
        <f t="shared" si="7"/>
        <v>4</v>
      </c>
      <c r="AR32" s="53"/>
      <c r="AS32" s="55"/>
      <c r="AT32" s="42">
        <v>40.799999999999997</v>
      </c>
      <c r="AU32" s="42" t="s">
        <v>88</v>
      </c>
      <c r="AV32" s="56">
        <v>0</v>
      </c>
      <c r="AW32" s="44">
        <f t="shared" si="8"/>
        <v>1</v>
      </c>
      <c r="AX32" s="42">
        <v>1</v>
      </c>
      <c r="AY32" s="42">
        <f t="shared" si="9"/>
        <v>1</v>
      </c>
      <c r="AZ32" s="42"/>
      <c r="BA32" s="42"/>
      <c r="BB32" s="57" t="s">
        <v>602</v>
      </c>
      <c r="BC32" s="58" t="s">
        <v>603</v>
      </c>
      <c r="BD32" s="58" t="s">
        <v>609</v>
      </c>
      <c r="BE32" s="59">
        <v>1</v>
      </c>
      <c r="BF32" s="58">
        <v>2</v>
      </c>
      <c r="BG32" s="58">
        <f t="shared" si="10"/>
        <v>0</v>
      </c>
      <c r="BH32" s="58" t="s">
        <v>605</v>
      </c>
      <c r="BI32" s="58" t="s">
        <v>610</v>
      </c>
      <c r="BJ32" s="81" t="s">
        <v>166</v>
      </c>
      <c r="BK32" s="61">
        <v>3</v>
      </c>
      <c r="BL32" s="62">
        <v>1</v>
      </c>
      <c r="BM32" s="62">
        <f t="shared" si="11"/>
        <v>0.47712125471966244</v>
      </c>
      <c r="BN32" s="58" t="s">
        <v>607</v>
      </c>
      <c r="BO32" s="59"/>
      <c r="BP32" s="59">
        <v>64.25</v>
      </c>
      <c r="BQ32" s="63">
        <f t="shared" si="12"/>
        <v>1</v>
      </c>
      <c r="BR32" s="45">
        <v>1</v>
      </c>
      <c r="BS32" s="45">
        <f t="shared" si="13"/>
        <v>0</v>
      </c>
      <c r="BU32" s="46"/>
      <c r="BV32" s="64">
        <v>1.3333333329999999</v>
      </c>
      <c r="BW32" s="54">
        <f t="shared" si="14"/>
        <v>1</v>
      </c>
      <c r="BX32" s="45">
        <v>1</v>
      </c>
      <c r="BY32" s="45">
        <f t="shared" si="15"/>
        <v>0</v>
      </c>
      <c r="BZ32" s="61" t="s">
        <v>91</v>
      </c>
      <c r="CA32" s="46"/>
      <c r="CB32" s="65">
        <v>27542</v>
      </c>
      <c r="CC32" s="45">
        <v>3</v>
      </c>
      <c r="CD32" s="45">
        <v>2</v>
      </c>
      <c r="CE32" s="45">
        <f t="shared" si="16"/>
        <v>0.95424250943932487</v>
      </c>
      <c r="CG32" s="46"/>
      <c r="CH32" s="66" t="s">
        <v>92</v>
      </c>
      <c r="CI32" s="67">
        <v>3</v>
      </c>
      <c r="CJ32" s="68">
        <v>2</v>
      </c>
      <c r="CK32" s="68">
        <f t="shared" si="17"/>
        <v>0.95424250943932487</v>
      </c>
      <c r="CL32" s="68"/>
      <c r="CM32" s="69"/>
      <c r="CO32" s="70">
        <f t="shared" si="18"/>
        <v>1.7777777777777777</v>
      </c>
      <c r="CQ32" s="45">
        <f t="shared" si="19"/>
        <v>0.26506736373314577</v>
      </c>
      <c r="CR32" s="45">
        <f t="shared" si="20"/>
        <v>1.841057547098748</v>
      </c>
      <c r="CT32" s="71">
        <f t="shared" si="21"/>
        <v>1.4836458330833509</v>
      </c>
    </row>
    <row r="33" spans="1:98" ht="16">
      <c r="A33" s="36">
        <v>31</v>
      </c>
      <c r="B33" s="37" t="s">
        <v>144</v>
      </c>
      <c r="C33" s="37"/>
      <c r="D33" s="37"/>
      <c r="E33" s="38" t="s">
        <v>648</v>
      </c>
      <c r="F33" s="38" t="s">
        <v>158</v>
      </c>
      <c r="G33" s="38" t="s">
        <v>649</v>
      </c>
      <c r="H33" s="38" t="s">
        <v>160</v>
      </c>
      <c r="I33" s="72">
        <v>11</v>
      </c>
      <c r="J33" s="53" t="s">
        <v>88</v>
      </c>
      <c r="K33" s="42">
        <v>0</v>
      </c>
      <c r="L33" s="42">
        <v>2</v>
      </c>
      <c r="M33" s="42">
        <v>1</v>
      </c>
      <c r="N33" s="42">
        <f t="shared" si="0"/>
        <v>2</v>
      </c>
      <c r="O33" s="42">
        <v>97</v>
      </c>
      <c r="P33" s="53"/>
      <c r="Q33" s="43">
        <v>15</v>
      </c>
      <c r="R33" s="44">
        <f t="shared" si="1"/>
        <v>3</v>
      </c>
      <c r="S33" s="45">
        <v>1</v>
      </c>
      <c r="T33" s="45">
        <f t="shared" si="2"/>
        <v>3</v>
      </c>
      <c r="V33" s="46"/>
      <c r="W33" s="58" t="s">
        <v>298</v>
      </c>
      <c r="X33" s="73">
        <v>2.8</v>
      </c>
      <c r="Y33" s="44">
        <f t="shared" si="3"/>
        <v>2</v>
      </c>
      <c r="Z33" s="45">
        <v>1</v>
      </c>
      <c r="AA33" s="45">
        <f t="shared" si="4"/>
        <v>2</v>
      </c>
      <c r="AB33" s="45">
        <v>1</v>
      </c>
      <c r="AD33" s="49" t="s">
        <v>163</v>
      </c>
      <c r="AE33" s="50" t="s">
        <v>146</v>
      </c>
      <c r="AF33" s="50">
        <v>2</v>
      </c>
      <c r="AG33" s="50">
        <v>3</v>
      </c>
      <c r="AH33" s="50">
        <v>2</v>
      </c>
      <c r="AI33" s="50">
        <f t="shared" si="5"/>
        <v>6</v>
      </c>
      <c r="AJ33" s="50" t="s">
        <v>633</v>
      </c>
      <c r="AK33" s="51" t="s">
        <v>165</v>
      </c>
      <c r="AL33" s="61">
        <v>63875</v>
      </c>
      <c r="AM33" s="53" t="s">
        <v>88</v>
      </c>
      <c r="AN33" s="42">
        <v>0</v>
      </c>
      <c r="AO33" s="54">
        <f t="shared" si="6"/>
        <v>3</v>
      </c>
      <c r="AP33" s="53">
        <v>2</v>
      </c>
      <c r="AQ33" s="53">
        <f t="shared" si="7"/>
        <v>6</v>
      </c>
      <c r="AR33" s="53"/>
      <c r="AS33" s="55"/>
      <c r="AT33" s="42">
        <v>38</v>
      </c>
      <c r="AU33" s="42" t="s">
        <v>88</v>
      </c>
      <c r="AV33" s="56">
        <v>0</v>
      </c>
      <c r="AW33" s="44">
        <f t="shared" si="8"/>
        <v>1</v>
      </c>
      <c r="AX33" s="42">
        <v>1</v>
      </c>
      <c r="AY33" s="42">
        <f t="shared" si="9"/>
        <v>1</v>
      </c>
      <c r="AZ33" s="42"/>
      <c r="BA33" s="42"/>
      <c r="BB33" s="57" t="s">
        <v>602</v>
      </c>
      <c r="BC33" s="58" t="s">
        <v>603</v>
      </c>
      <c r="BD33" s="58" t="s">
        <v>609</v>
      </c>
      <c r="BE33" s="59">
        <v>1</v>
      </c>
      <c r="BF33" s="58">
        <v>2</v>
      </c>
      <c r="BG33" s="58">
        <f t="shared" si="10"/>
        <v>0</v>
      </c>
      <c r="BH33" s="58" t="s">
        <v>605</v>
      </c>
      <c r="BI33" s="58" t="s">
        <v>610</v>
      </c>
      <c r="BJ33" s="81" t="s">
        <v>90</v>
      </c>
      <c r="BK33" s="61">
        <v>1</v>
      </c>
      <c r="BL33" s="62">
        <v>1</v>
      </c>
      <c r="BM33" s="62">
        <f t="shared" si="11"/>
        <v>0</v>
      </c>
      <c r="BN33" s="58" t="s">
        <v>607</v>
      </c>
      <c r="BO33" s="59"/>
      <c r="BP33" s="59">
        <v>37.5</v>
      </c>
      <c r="BQ33" s="63">
        <f t="shared" si="12"/>
        <v>1</v>
      </c>
      <c r="BR33" s="45">
        <v>1</v>
      </c>
      <c r="BS33" s="45">
        <f t="shared" si="13"/>
        <v>0</v>
      </c>
      <c r="BU33" s="46"/>
      <c r="BV33" s="64">
        <v>2</v>
      </c>
      <c r="BW33" s="54">
        <f t="shared" si="14"/>
        <v>1</v>
      </c>
      <c r="BX33" s="45">
        <v>1</v>
      </c>
      <c r="BY33" s="45">
        <f t="shared" si="15"/>
        <v>0</v>
      </c>
      <c r="BZ33" s="61" t="s">
        <v>91</v>
      </c>
      <c r="CA33" s="46"/>
      <c r="CB33" s="65">
        <v>27360</v>
      </c>
      <c r="CC33" s="45">
        <v>3</v>
      </c>
      <c r="CD33" s="45">
        <v>2</v>
      </c>
      <c r="CE33" s="45">
        <f t="shared" si="16"/>
        <v>0.95424250943932487</v>
      </c>
      <c r="CG33" s="46"/>
      <c r="CH33" s="66" t="s">
        <v>92</v>
      </c>
      <c r="CI33" s="67">
        <v>3</v>
      </c>
      <c r="CJ33" s="68">
        <v>2</v>
      </c>
      <c r="CK33" s="68">
        <f t="shared" si="17"/>
        <v>0.95424250943932487</v>
      </c>
      <c r="CL33" s="68"/>
      <c r="CM33" s="69"/>
      <c r="CO33" s="70">
        <f t="shared" si="18"/>
        <v>2</v>
      </c>
      <c r="CQ33" s="45">
        <f t="shared" si="19"/>
        <v>0.21205389098651664</v>
      </c>
      <c r="CR33" s="45">
        <f t="shared" si="20"/>
        <v>1.6294982222188463</v>
      </c>
      <c r="CT33" s="71">
        <f t="shared" si="21"/>
        <v>1.1816378513642358</v>
      </c>
    </row>
    <row r="34" spans="1:98" ht="16">
      <c r="A34" s="36">
        <v>32</v>
      </c>
      <c r="B34" s="37" t="s">
        <v>144</v>
      </c>
      <c r="C34" s="37"/>
      <c r="D34" s="37"/>
      <c r="E34" s="38" t="s">
        <v>303</v>
      </c>
      <c r="F34" s="38" t="s">
        <v>158</v>
      </c>
      <c r="G34" s="38" t="s">
        <v>304</v>
      </c>
      <c r="H34" s="38" t="s">
        <v>160</v>
      </c>
      <c r="I34" s="72">
        <v>11.33</v>
      </c>
      <c r="J34" s="53" t="s">
        <v>88</v>
      </c>
      <c r="K34" s="42">
        <v>0</v>
      </c>
      <c r="L34" s="42">
        <v>2</v>
      </c>
      <c r="M34" s="42">
        <v>1</v>
      </c>
      <c r="N34" s="42">
        <f t="shared" si="0"/>
        <v>2</v>
      </c>
      <c r="O34" s="42" t="s">
        <v>625</v>
      </c>
      <c r="P34" s="53"/>
      <c r="Q34" s="43">
        <v>15</v>
      </c>
      <c r="R34" s="44">
        <f t="shared" si="1"/>
        <v>3</v>
      </c>
      <c r="S34" s="45">
        <v>1</v>
      </c>
      <c r="T34" s="45">
        <f t="shared" si="2"/>
        <v>3</v>
      </c>
      <c r="V34" s="46"/>
      <c r="W34" s="58" t="s">
        <v>305</v>
      </c>
      <c r="X34" s="73">
        <v>3</v>
      </c>
      <c r="Y34" s="44">
        <f t="shared" si="3"/>
        <v>2</v>
      </c>
      <c r="Z34" s="45">
        <v>1</v>
      </c>
      <c r="AA34" s="45">
        <f t="shared" si="4"/>
        <v>2</v>
      </c>
      <c r="AB34" s="45">
        <v>1</v>
      </c>
      <c r="AD34" s="49" t="s">
        <v>306</v>
      </c>
      <c r="AE34" s="50" t="s">
        <v>88</v>
      </c>
      <c r="AF34" s="50">
        <v>0</v>
      </c>
      <c r="AG34" s="50">
        <v>3</v>
      </c>
      <c r="AH34" s="50">
        <v>2</v>
      </c>
      <c r="AI34" s="50">
        <f t="shared" si="5"/>
        <v>6</v>
      </c>
      <c r="AJ34" s="50">
        <v>1</v>
      </c>
      <c r="AK34" s="51" t="s">
        <v>165</v>
      </c>
      <c r="AL34" s="61">
        <f>365*175</f>
        <v>63875</v>
      </c>
      <c r="AM34" s="53" t="s">
        <v>88</v>
      </c>
      <c r="AN34" s="42">
        <v>0</v>
      </c>
      <c r="AO34" s="54">
        <f t="shared" si="6"/>
        <v>3</v>
      </c>
      <c r="AP34" s="53">
        <v>2</v>
      </c>
      <c r="AQ34" s="53">
        <f t="shared" si="7"/>
        <v>6</v>
      </c>
      <c r="AR34" s="53"/>
      <c r="AS34" s="55"/>
      <c r="AT34" s="42">
        <v>32</v>
      </c>
      <c r="AU34" s="42" t="s">
        <v>88</v>
      </c>
      <c r="AV34" s="56">
        <v>0</v>
      </c>
      <c r="AW34" s="44">
        <f t="shared" si="8"/>
        <v>1</v>
      </c>
      <c r="AX34" s="42">
        <v>1</v>
      </c>
      <c r="AY34" s="42">
        <f t="shared" si="9"/>
        <v>1</v>
      </c>
      <c r="AZ34" s="42"/>
      <c r="BA34" s="42"/>
      <c r="BB34" s="57" t="s">
        <v>602</v>
      </c>
      <c r="BC34" s="58" t="s">
        <v>603</v>
      </c>
      <c r="BD34" s="58" t="s">
        <v>609</v>
      </c>
      <c r="BE34" s="59">
        <v>1</v>
      </c>
      <c r="BF34" s="58">
        <v>2</v>
      </c>
      <c r="BG34" s="58">
        <f t="shared" si="10"/>
        <v>0</v>
      </c>
      <c r="BH34" s="58" t="s">
        <v>605</v>
      </c>
      <c r="BI34" s="58" t="s">
        <v>610</v>
      </c>
      <c r="BJ34" s="81" t="s">
        <v>166</v>
      </c>
      <c r="BK34" s="61">
        <v>3</v>
      </c>
      <c r="BL34" s="62">
        <v>1</v>
      </c>
      <c r="BM34" s="62">
        <f t="shared" si="11"/>
        <v>0.47712125471966244</v>
      </c>
      <c r="BN34" s="58" t="s">
        <v>607</v>
      </c>
      <c r="BO34" s="59"/>
      <c r="BP34" s="59">
        <v>13</v>
      </c>
      <c r="BQ34" s="63">
        <f t="shared" si="12"/>
        <v>2</v>
      </c>
      <c r="BR34" s="45">
        <v>1</v>
      </c>
      <c r="BS34" s="45">
        <f t="shared" si="13"/>
        <v>0.3010299956639812</v>
      </c>
      <c r="BU34" s="46"/>
      <c r="BV34" s="64">
        <v>2.25</v>
      </c>
      <c r="BW34" s="54">
        <f t="shared" si="14"/>
        <v>1</v>
      </c>
      <c r="BX34" s="45">
        <v>1</v>
      </c>
      <c r="BY34" s="45">
        <f t="shared" si="15"/>
        <v>0</v>
      </c>
      <c r="BZ34" s="61" t="s">
        <v>99</v>
      </c>
      <c r="CA34" s="46"/>
      <c r="CB34" s="65">
        <v>26890</v>
      </c>
      <c r="CC34" s="45">
        <v>3</v>
      </c>
      <c r="CD34" s="45">
        <v>2</v>
      </c>
      <c r="CE34" s="45">
        <f t="shared" si="16"/>
        <v>0.95424250943932487</v>
      </c>
      <c r="CG34" s="46"/>
      <c r="CH34" s="66" t="s">
        <v>92</v>
      </c>
      <c r="CI34" s="67">
        <v>3</v>
      </c>
      <c r="CJ34" s="68">
        <v>2</v>
      </c>
      <c r="CK34" s="68">
        <f t="shared" si="17"/>
        <v>0.95424250943932487</v>
      </c>
      <c r="CL34" s="68"/>
      <c r="CM34" s="69"/>
      <c r="CO34" s="70">
        <f t="shared" si="18"/>
        <v>2</v>
      </c>
      <c r="CQ34" s="45">
        <f t="shared" si="19"/>
        <v>0.29851514102914373</v>
      </c>
      <c r="CR34" s="45">
        <f t="shared" si="20"/>
        <v>1.9884521336051839</v>
      </c>
      <c r="CT34" s="71">
        <f t="shared" si="21"/>
        <v>1.4060716981820807</v>
      </c>
    </row>
    <row r="35" spans="1:98" ht="16">
      <c r="A35" s="36">
        <v>33</v>
      </c>
      <c r="B35" s="37"/>
      <c r="C35" s="37"/>
      <c r="D35" s="37"/>
      <c r="E35" s="38" t="s">
        <v>217</v>
      </c>
      <c r="F35" s="38" t="s">
        <v>218</v>
      </c>
      <c r="G35" s="38" t="s">
        <v>219</v>
      </c>
      <c r="H35" s="38" t="s">
        <v>83</v>
      </c>
      <c r="I35" s="72">
        <v>2.5</v>
      </c>
      <c r="J35" s="53" t="s">
        <v>88</v>
      </c>
      <c r="K35" s="42">
        <v>0</v>
      </c>
      <c r="L35" s="42">
        <v>3</v>
      </c>
      <c r="M35" s="42">
        <v>1</v>
      </c>
      <c r="N35" s="42">
        <f t="shared" si="0"/>
        <v>3</v>
      </c>
      <c r="O35" s="42">
        <v>97</v>
      </c>
      <c r="P35" s="53"/>
      <c r="Q35" s="43">
        <v>16.875</v>
      </c>
      <c r="R35" s="44">
        <f t="shared" si="1"/>
        <v>3</v>
      </c>
      <c r="S35" s="45">
        <v>1</v>
      </c>
      <c r="T35" s="45">
        <f t="shared" si="2"/>
        <v>3</v>
      </c>
      <c r="V35" s="46"/>
      <c r="W35" s="58" t="s">
        <v>185</v>
      </c>
      <c r="X35" s="73">
        <v>3.4</v>
      </c>
      <c r="Y35" s="44">
        <f t="shared" si="3"/>
        <v>2</v>
      </c>
      <c r="Z35" s="45">
        <v>1</v>
      </c>
      <c r="AA35" s="45">
        <f t="shared" si="4"/>
        <v>2</v>
      </c>
      <c r="AB35" s="45">
        <v>1</v>
      </c>
      <c r="AD35" s="49" t="s">
        <v>87</v>
      </c>
      <c r="AE35" s="50" t="s">
        <v>88</v>
      </c>
      <c r="AF35" s="50">
        <v>0</v>
      </c>
      <c r="AG35" s="50">
        <v>3</v>
      </c>
      <c r="AH35" s="50">
        <v>2</v>
      </c>
      <c r="AI35" s="50">
        <f t="shared" si="5"/>
        <v>6</v>
      </c>
      <c r="AJ35" s="50">
        <v>1</v>
      </c>
      <c r="AK35" s="51" t="s">
        <v>89</v>
      </c>
      <c r="AL35" s="52">
        <v>57661</v>
      </c>
      <c r="AM35" s="53" t="s">
        <v>146</v>
      </c>
      <c r="AN35" s="42">
        <v>2</v>
      </c>
      <c r="AO35" s="54">
        <f t="shared" si="6"/>
        <v>3</v>
      </c>
      <c r="AP35" s="53">
        <v>2</v>
      </c>
      <c r="AQ35" s="53">
        <f t="shared" si="7"/>
        <v>6</v>
      </c>
      <c r="AR35" s="53"/>
      <c r="AS35" s="55"/>
      <c r="AT35" s="42">
        <v>15.5</v>
      </c>
      <c r="AU35" s="42" t="s">
        <v>88</v>
      </c>
      <c r="AV35" s="56">
        <v>0</v>
      </c>
      <c r="AW35" s="44">
        <f t="shared" si="8"/>
        <v>2</v>
      </c>
      <c r="AX35" s="42">
        <v>1</v>
      </c>
      <c r="AY35" s="42">
        <f t="shared" si="9"/>
        <v>2</v>
      </c>
      <c r="AZ35" s="42"/>
      <c r="BA35" s="42"/>
      <c r="BB35" s="57" t="s">
        <v>602</v>
      </c>
      <c r="BC35" s="58" t="s">
        <v>603</v>
      </c>
      <c r="BD35" s="58" t="s">
        <v>604</v>
      </c>
      <c r="BE35" s="59">
        <v>2</v>
      </c>
      <c r="BF35" s="58">
        <v>2</v>
      </c>
      <c r="BG35" s="58">
        <f t="shared" si="10"/>
        <v>0.6020599913279624</v>
      </c>
      <c r="BH35" s="58" t="s">
        <v>605</v>
      </c>
      <c r="BI35" s="58" t="s">
        <v>611</v>
      </c>
      <c r="BJ35" s="60" t="s">
        <v>90</v>
      </c>
      <c r="BK35" s="61">
        <v>1</v>
      </c>
      <c r="BL35" s="62">
        <v>1</v>
      </c>
      <c r="BM35" s="62">
        <f t="shared" si="11"/>
        <v>0</v>
      </c>
      <c r="BN35" s="58" t="s">
        <v>607</v>
      </c>
      <c r="BO35" s="59"/>
      <c r="BP35" s="59">
        <v>6.5</v>
      </c>
      <c r="BQ35" s="63">
        <f t="shared" si="12"/>
        <v>3</v>
      </c>
      <c r="BR35" s="45">
        <v>1</v>
      </c>
      <c r="BS35" s="45">
        <f t="shared" si="13"/>
        <v>0.47712125471966244</v>
      </c>
      <c r="BU35" s="46"/>
      <c r="BV35" s="64">
        <v>1.5</v>
      </c>
      <c r="BW35" s="54">
        <f t="shared" si="14"/>
        <v>1</v>
      </c>
      <c r="BX35" s="45">
        <v>1</v>
      </c>
      <c r="BY35" s="45">
        <f t="shared" si="15"/>
        <v>0</v>
      </c>
      <c r="BZ35" s="61" t="s">
        <v>99</v>
      </c>
      <c r="CA35" s="46"/>
      <c r="CB35" s="65">
        <v>26490</v>
      </c>
      <c r="CC35" s="45">
        <v>3</v>
      </c>
      <c r="CD35" s="45">
        <v>2</v>
      </c>
      <c r="CE35" s="45">
        <f t="shared" si="16"/>
        <v>0.95424250943932487</v>
      </c>
      <c r="CG35" s="46"/>
      <c r="CH35" s="66">
        <v>2</v>
      </c>
      <c r="CI35" s="67">
        <v>3</v>
      </c>
      <c r="CJ35" s="68">
        <v>2</v>
      </c>
      <c r="CK35" s="68">
        <f t="shared" si="17"/>
        <v>0.95424250943932487</v>
      </c>
      <c r="CL35" s="68"/>
      <c r="CM35" s="69"/>
      <c r="CO35" s="70">
        <f t="shared" si="18"/>
        <v>2.1111111111111112</v>
      </c>
      <c r="CQ35" s="45">
        <f t="shared" si="19"/>
        <v>0.33196291832514163</v>
      </c>
      <c r="CR35" s="45">
        <f t="shared" si="20"/>
        <v>2.1476470922214639</v>
      </c>
      <c r="CT35" s="71">
        <f t="shared" si="21"/>
        <v>1.4516257455262029</v>
      </c>
    </row>
    <row r="36" spans="1:98" ht="16">
      <c r="A36" s="36">
        <v>34</v>
      </c>
      <c r="B36" s="37" t="s">
        <v>144</v>
      </c>
      <c r="C36" s="37"/>
      <c r="D36" s="37"/>
      <c r="E36" s="38" t="s">
        <v>420</v>
      </c>
      <c r="F36" s="38" t="s">
        <v>124</v>
      </c>
      <c r="G36" s="38" t="s">
        <v>421</v>
      </c>
      <c r="H36" s="38" t="s">
        <v>83</v>
      </c>
      <c r="I36" s="72">
        <v>3.5</v>
      </c>
      <c r="J36" s="53" t="s">
        <v>88</v>
      </c>
      <c r="K36" s="42">
        <v>0</v>
      </c>
      <c r="L36" s="42">
        <v>3</v>
      </c>
      <c r="M36" s="42">
        <v>1</v>
      </c>
      <c r="N36" s="42">
        <f t="shared" si="0"/>
        <v>3</v>
      </c>
      <c r="O36" s="42">
        <v>97</v>
      </c>
      <c r="P36" s="53"/>
      <c r="Q36" s="43">
        <v>11</v>
      </c>
      <c r="R36" s="44">
        <f t="shared" si="1"/>
        <v>3</v>
      </c>
      <c r="S36" s="45">
        <v>1</v>
      </c>
      <c r="T36" s="45">
        <f t="shared" si="2"/>
        <v>3</v>
      </c>
      <c r="V36" s="46"/>
      <c r="W36" s="58" t="s">
        <v>422</v>
      </c>
      <c r="X36" s="73">
        <v>2.7</v>
      </c>
      <c r="Y36" s="44">
        <f t="shared" si="3"/>
        <v>2</v>
      </c>
      <c r="Z36" s="45">
        <v>1</v>
      </c>
      <c r="AA36" s="45">
        <f t="shared" si="4"/>
        <v>2</v>
      </c>
      <c r="AB36" s="45">
        <v>1</v>
      </c>
      <c r="AD36" s="49" t="s">
        <v>423</v>
      </c>
      <c r="AE36" s="50" t="s">
        <v>88</v>
      </c>
      <c r="AF36" s="50">
        <v>0</v>
      </c>
      <c r="AG36" s="50">
        <v>3</v>
      </c>
      <c r="AH36" s="50">
        <v>2</v>
      </c>
      <c r="AI36" s="50">
        <f t="shared" si="5"/>
        <v>6</v>
      </c>
      <c r="AJ36" s="50">
        <v>1</v>
      </c>
      <c r="AK36" s="51" t="s">
        <v>89</v>
      </c>
      <c r="AL36" s="52">
        <v>12775</v>
      </c>
      <c r="AM36" s="53" t="s">
        <v>88</v>
      </c>
      <c r="AN36" s="42">
        <v>0</v>
      </c>
      <c r="AO36" s="54">
        <f t="shared" si="6"/>
        <v>2</v>
      </c>
      <c r="AP36" s="53">
        <v>2</v>
      </c>
      <c r="AQ36" s="53">
        <f t="shared" si="7"/>
        <v>4</v>
      </c>
      <c r="AR36" s="53"/>
      <c r="AS36" s="55"/>
      <c r="AT36" s="42">
        <v>10.8</v>
      </c>
      <c r="AU36" s="42" t="s">
        <v>88</v>
      </c>
      <c r="AV36" s="56">
        <v>0</v>
      </c>
      <c r="AW36" s="44">
        <f t="shared" si="8"/>
        <v>3</v>
      </c>
      <c r="AX36" s="42">
        <v>1</v>
      </c>
      <c r="AY36" s="42">
        <f t="shared" si="9"/>
        <v>3</v>
      </c>
      <c r="AZ36" s="42"/>
      <c r="BA36" s="42"/>
      <c r="BB36" s="57" t="s">
        <v>642</v>
      </c>
      <c r="BC36" s="58" t="s">
        <v>643</v>
      </c>
      <c r="BD36" s="58" t="s">
        <v>604</v>
      </c>
      <c r="BE36" s="59">
        <v>3</v>
      </c>
      <c r="BF36" s="58">
        <v>2</v>
      </c>
      <c r="BG36" s="58">
        <f t="shared" si="10"/>
        <v>0.95424250943932487</v>
      </c>
      <c r="BH36" s="58" t="s">
        <v>605</v>
      </c>
      <c r="BI36" s="58" t="s">
        <v>650</v>
      </c>
      <c r="BJ36" s="60" t="s">
        <v>90</v>
      </c>
      <c r="BK36" s="61">
        <v>1</v>
      </c>
      <c r="BL36" s="62">
        <v>1</v>
      </c>
      <c r="BM36" s="62">
        <f t="shared" si="11"/>
        <v>0</v>
      </c>
      <c r="BN36" s="58" t="s">
        <v>607</v>
      </c>
      <c r="BO36" s="59"/>
      <c r="BP36" s="59">
        <v>8</v>
      </c>
      <c r="BQ36" s="63">
        <f t="shared" si="12"/>
        <v>3</v>
      </c>
      <c r="BR36" s="45">
        <v>1</v>
      </c>
      <c r="BS36" s="45">
        <f t="shared" si="13"/>
        <v>0.47712125471966244</v>
      </c>
      <c r="BU36" s="46"/>
      <c r="BV36" s="64">
        <v>1.3333333329999999</v>
      </c>
      <c r="BW36" s="54">
        <f t="shared" si="14"/>
        <v>1</v>
      </c>
      <c r="BX36" s="45">
        <v>1</v>
      </c>
      <c r="BY36" s="45">
        <f t="shared" si="15"/>
        <v>0</v>
      </c>
      <c r="BZ36" s="61" t="s">
        <v>91</v>
      </c>
      <c r="CA36" s="46"/>
      <c r="CB36" s="65">
        <v>26323</v>
      </c>
      <c r="CC36" s="45">
        <v>3</v>
      </c>
      <c r="CD36" s="45">
        <v>2</v>
      </c>
      <c r="CE36" s="45">
        <f t="shared" si="16"/>
        <v>0.95424250943932487</v>
      </c>
      <c r="CG36" s="46"/>
      <c r="CH36" s="66" t="s">
        <v>106</v>
      </c>
      <c r="CI36" s="67">
        <v>3</v>
      </c>
      <c r="CJ36" s="68">
        <v>2</v>
      </c>
      <c r="CK36" s="68">
        <f t="shared" si="17"/>
        <v>0.95424250943932487</v>
      </c>
      <c r="CL36" s="68"/>
      <c r="CM36" s="69"/>
      <c r="CO36" s="70">
        <f t="shared" si="18"/>
        <v>2</v>
      </c>
      <c r="CQ36" s="45">
        <f t="shared" si="19"/>
        <v>0.37109430922640407</v>
      </c>
      <c r="CR36" s="45">
        <f t="shared" si="20"/>
        <v>2.3501431108118171</v>
      </c>
      <c r="CT36" s="71">
        <f t="shared" si="21"/>
        <v>1.6801447615228311</v>
      </c>
    </row>
    <row r="37" spans="1:98" ht="16">
      <c r="A37" s="36">
        <v>35</v>
      </c>
      <c r="B37" s="37"/>
      <c r="C37" s="37"/>
      <c r="D37" s="37"/>
      <c r="E37" s="38" t="s">
        <v>229</v>
      </c>
      <c r="F37" s="38" t="s">
        <v>101</v>
      </c>
      <c r="G37" s="38" t="s">
        <v>230</v>
      </c>
      <c r="H37" s="38" t="s">
        <v>83</v>
      </c>
      <c r="I37" s="72">
        <v>10</v>
      </c>
      <c r="J37" s="53" t="s">
        <v>88</v>
      </c>
      <c r="K37" s="42">
        <v>0</v>
      </c>
      <c r="L37" s="42">
        <v>2</v>
      </c>
      <c r="M37" s="42">
        <v>1</v>
      </c>
      <c r="N37" s="42">
        <f t="shared" si="0"/>
        <v>2</v>
      </c>
      <c r="O37" s="42">
        <v>97</v>
      </c>
      <c r="P37" s="53"/>
      <c r="Q37" s="43">
        <v>8.75</v>
      </c>
      <c r="R37" s="44">
        <f t="shared" si="1"/>
        <v>3</v>
      </c>
      <c r="S37" s="45">
        <v>1</v>
      </c>
      <c r="T37" s="45">
        <f t="shared" si="2"/>
        <v>3</v>
      </c>
      <c r="V37" s="46"/>
      <c r="W37" s="58" t="s">
        <v>231</v>
      </c>
      <c r="X37" s="73">
        <v>3.1</v>
      </c>
      <c r="Y37" s="44">
        <f t="shared" si="3"/>
        <v>2</v>
      </c>
      <c r="Z37" s="45">
        <v>1</v>
      </c>
      <c r="AA37" s="45">
        <f t="shared" si="4"/>
        <v>2</v>
      </c>
      <c r="AB37" s="45">
        <v>1</v>
      </c>
      <c r="AD37" s="49" t="s">
        <v>232</v>
      </c>
      <c r="AE37" s="50" t="s">
        <v>88</v>
      </c>
      <c r="AF37" s="50">
        <v>0</v>
      </c>
      <c r="AG37" s="50">
        <v>3</v>
      </c>
      <c r="AH37" s="50">
        <v>2</v>
      </c>
      <c r="AI37" s="50">
        <f t="shared" si="5"/>
        <v>6</v>
      </c>
      <c r="AJ37" s="50">
        <v>1</v>
      </c>
      <c r="AK37" s="51" t="s">
        <v>89</v>
      </c>
      <c r="AL37" s="61">
        <v>248641</v>
      </c>
      <c r="AM37" s="53" t="s">
        <v>115</v>
      </c>
      <c r="AN37" s="42">
        <v>1</v>
      </c>
      <c r="AO37" s="54">
        <f t="shared" si="6"/>
        <v>3</v>
      </c>
      <c r="AP37" s="53">
        <v>2</v>
      </c>
      <c r="AQ37" s="53">
        <f t="shared" si="7"/>
        <v>6</v>
      </c>
      <c r="AR37" s="53"/>
      <c r="AS37" s="55"/>
      <c r="AT37" s="42">
        <v>22.7</v>
      </c>
      <c r="AU37" s="42" t="s">
        <v>88</v>
      </c>
      <c r="AV37" s="56">
        <v>0</v>
      </c>
      <c r="AW37" s="44">
        <f t="shared" si="8"/>
        <v>2</v>
      </c>
      <c r="AX37" s="42">
        <v>1</v>
      </c>
      <c r="AY37" s="42">
        <f t="shared" si="9"/>
        <v>2</v>
      </c>
      <c r="AZ37" s="42"/>
      <c r="BA37" s="42"/>
      <c r="BB37" s="57" t="s">
        <v>602</v>
      </c>
      <c r="BC37" s="58" t="s">
        <v>603</v>
      </c>
      <c r="BD37" s="58" t="s">
        <v>604</v>
      </c>
      <c r="BE37" s="59">
        <v>2</v>
      </c>
      <c r="BF37" s="58">
        <v>2</v>
      </c>
      <c r="BG37" s="58">
        <f t="shared" si="10"/>
        <v>0.6020599913279624</v>
      </c>
      <c r="BH37" s="58" t="s">
        <v>605</v>
      </c>
      <c r="BI37" s="58" t="s">
        <v>611</v>
      </c>
      <c r="BJ37" s="60" t="s">
        <v>90</v>
      </c>
      <c r="BK37" s="61">
        <v>1</v>
      </c>
      <c r="BL37" s="62">
        <v>1</v>
      </c>
      <c r="BM37" s="62">
        <f t="shared" si="11"/>
        <v>0</v>
      </c>
      <c r="BN37" s="58" t="s">
        <v>607</v>
      </c>
      <c r="BO37" s="59"/>
      <c r="BP37" s="59">
        <v>25.5</v>
      </c>
      <c r="BQ37" s="63">
        <f t="shared" si="12"/>
        <v>2</v>
      </c>
      <c r="BR37" s="45">
        <v>1</v>
      </c>
      <c r="BS37" s="45">
        <f t="shared" si="13"/>
        <v>0.3010299956639812</v>
      </c>
      <c r="BU37" s="46"/>
      <c r="BV37" s="64">
        <v>1.25</v>
      </c>
      <c r="BW37" s="54">
        <f t="shared" si="14"/>
        <v>1</v>
      </c>
      <c r="BX37" s="45">
        <v>1</v>
      </c>
      <c r="BY37" s="45">
        <f t="shared" si="15"/>
        <v>0</v>
      </c>
      <c r="BZ37" s="61" t="s">
        <v>99</v>
      </c>
      <c r="CA37" s="46"/>
      <c r="CB37" s="65">
        <v>25936</v>
      </c>
      <c r="CC37" s="45">
        <v>3</v>
      </c>
      <c r="CD37" s="45">
        <v>2</v>
      </c>
      <c r="CE37" s="45">
        <f t="shared" si="16"/>
        <v>0.95424250943932487</v>
      </c>
      <c r="CG37" s="46"/>
      <c r="CH37" s="66" t="s">
        <v>106</v>
      </c>
      <c r="CI37" s="67">
        <v>3</v>
      </c>
      <c r="CJ37" s="68">
        <v>2</v>
      </c>
      <c r="CK37" s="68">
        <f t="shared" si="17"/>
        <v>0.95424250943932487</v>
      </c>
      <c r="CL37" s="68"/>
      <c r="CM37" s="69"/>
      <c r="CO37" s="70">
        <f t="shared" si="18"/>
        <v>2.1111111111111112</v>
      </c>
      <c r="CQ37" s="45">
        <f t="shared" si="19"/>
        <v>0.31239722287451038</v>
      </c>
      <c r="CR37" s="45">
        <f t="shared" si="20"/>
        <v>2.0530391109397983</v>
      </c>
      <c r="CT37" s="71">
        <f t="shared" si="21"/>
        <v>1.3780474686885804</v>
      </c>
    </row>
    <row r="38" spans="1:98" ht="16">
      <c r="A38" s="36">
        <v>36</v>
      </c>
      <c r="B38" s="37"/>
      <c r="C38" s="37"/>
      <c r="D38" s="37"/>
      <c r="E38" s="38" t="s">
        <v>221</v>
      </c>
      <c r="F38" s="38" t="s">
        <v>222</v>
      </c>
      <c r="G38" s="38" t="s">
        <v>223</v>
      </c>
      <c r="H38" s="38" t="s">
        <v>224</v>
      </c>
      <c r="I38" s="72">
        <v>6</v>
      </c>
      <c r="J38" s="53" t="s">
        <v>115</v>
      </c>
      <c r="K38" s="42">
        <v>1</v>
      </c>
      <c r="L38" s="42">
        <v>2</v>
      </c>
      <c r="M38" s="42">
        <v>1</v>
      </c>
      <c r="N38" s="42">
        <f t="shared" si="0"/>
        <v>2</v>
      </c>
      <c r="O38" s="214" t="s">
        <v>651</v>
      </c>
      <c r="P38" s="53" t="s">
        <v>652</v>
      </c>
      <c r="Q38" s="43">
        <v>5.9</v>
      </c>
      <c r="R38" s="44">
        <f t="shared" si="1"/>
        <v>3</v>
      </c>
      <c r="S38" s="45">
        <v>1</v>
      </c>
      <c r="T38" s="45">
        <f t="shared" si="2"/>
        <v>3</v>
      </c>
      <c r="V38" s="46"/>
      <c r="W38" s="58" t="s">
        <v>225</v>
      </c>
      <c r="X38" s="73">
        <v>3.5</v>
      </c>
      <c r="Y38" s="44">
        <f t="shared" si="3"/>
        <v>2</v>
      </c>
      <c r="Z38" s="45">
        <v>1</v>
      </c>
      <c r="AA38" s="45">
        <f t="shared" si="4"/>
        <v>2</v>
      </c>
      <c r="AB38" s="45">
        <v>1</v>
      </c>
      <c r="AD38" s="49" t="s">
        <v>89</v>
      </c>
      <c r="AE38" s="50" t="s">
        <v>88</v>
      </c>
      <c r="AF38" s="50">
        <v>0</v>
      </c>
      <c r="AG38" s="50">
        <v>3</v>
      </c>
      <c r="AH38" s="50">
        <v>2</v>
      </c>
      <c r="AI38" s="50">
        <f t="shared" si="5"/>
        <v>6</v>
      </c>
      <c r="AJ38" s="50" t="s">
        <v>633</v>
      </c>
      <c r="AK38" s="51" t="s">
        <v>89</v>
      </c>
      <c r="AL38" s="59">
        <v>48960</v>
      </c>
      <c r="AM38" s="53" t="s">
        <v>146</v>
      </c>
      <c r="AN38" s="42">
        <v>2</v>
      </c>
      <c r="AO38" s="54">
        <f t="shared" si="6"/>
        <v>3</v>
      </c>
      <c r="AP38" s="53">
        <v>2</v>
      </c>
      <c r="AQ38" s="53">
        <f t="shared" si="7"/>
        <v>6</v>
      </c>
      <c r="AR38" s="53"/>
      <c r="AS38" s="55"/>
      <c r="AT38" s="42">
        <v>61</v>
      </c>
      <c r="AU38" s="42" t="s">
        <v>115</v>
      </c>
      <c r="AV38" s="44">
        <v>1</v>
      </c>
      <c r="AW38" s="44">
        <f t="shared" si="8"/>
        <v>1</v>
      </c>
      <c r="AX38" s="42">
        <v>1</v>
      </c>
      <c r="AY38" s="42">
        <f t="shared" si="9"/>
        <v>1</v>
      </c>
      <c r="AZ38" s="42" t="s">
        <v>227</v>
      </c>
      <c r="BA38" s="53" t="s">
        <v>228</v>
      </c>
      <c r="BB38" s="57" t="s">
        <v>602</v>
      </c>
      <c r="BC38" s="58" t="s">
        <v>603</v>
      </c>
      <c r="BD38" s="58" t="s">
        <v>609</v>
      </c>
      <c r="BE38" s="59">
        <v>1</v>
      </c>
      <c r="BF38" s="58">
        <v>2</v>
      </c>
      <c r="BG38" s="58">
        <f t="shared" si="10"/>
        <v>0</v>
      </c>
      <c r="BH38" s="58" t="s">
        <v>605</v>
      </c>
      <c r="BI38" s="58" t="s">
        <v>610</v>
      </c>
      <c r="BJ38" s="60" t="s">
        <v>90</v>
      </c>
      <c r="BK38" s="61">
        <v>1</v>
      </c>
      <c r="BL38" s="62">
        <v>1</v>
      </c>
      <c r="BM38" s="62">
        <f t="shared" si="11"/>
        <v>0</v>
      </c>
      <c r="BN38" s="58" t="s">
        <v>607</v>
      </c>
      <c r="BO38" s="59"/>
      <c r="BP38" s="59">
        <v>34</v>
      </c>
      <c r="BQ38" s="63">
        <f t="shared" si="12"/>
        <v>1</v>
      </c>
      <c r="BR38" s="45">
        <v>1</v>
      </c>
      <c r="BS38" s="45">
        <f t="shared" si="13"/>
        <v>0</v>
      </c>
      <c r="BU38" s="46"/>
      <c r="BV38" s="64">
        <v>1.5</v>
      </c>
      <c r="BW38" s="54">
        <f t="shared" si="14"/>
        <v>1</v>
      </c>
      <c r="BX38" s="45">
        <v>1</v>
      </c>
      <c r="BY38" s="45">
        <f t="shared" si="15"/>
        <v>0</v>
      </c>
      <c r="BZ38" s="61" t="s">
        <v>99</v>
      </c>
      <c r="CA38" s="46"/>
      <c r="CB38" s="65">
        <v>25192</v>
      </c>
      <c r="CC38" s="45">
        <v>3</v>
      </c>
      <c r="CD38" s="45">
        <v>2</v>
      </c>
      <c r="CE38" s="45">
        <f t="shared" si="16"/>
        <v>0.95424250943932487</v>
      </c>
      <c r="CG38" s="46"/>
      <c r="CH38" s="66" t="s">
        <v>92</v>
      </c>
      <c r="CI38" s="67">
        <v>3</v>
      </c>
      <c r="CJ38" s="68">
        <v>2</v>
      </c>
      <c r="CK38" s="68">
        <f t="shared" si="17"/>
        <v>0.95424250943932487</v>
      </c>
      <c r="CL38" s="78"/>
      <c r="CM38" s="79"/>
      <c r="CO38" s="70">
        <f t="shared" si="18"/>
        <v>2</v>
      </c>
      <c r="CQ38" s="45">
        <f t="shared" si="19"/>
        <v>0.21205389098651664</v>
      </c>
      <c r="CR38" s="45">
        <f t="shared" si="20"/>
        <v>1.6294982222188463</v>
      </c>
      <c r="CT38" s="71">
        <f t="shared" si="21"/>
        <v>1.1816378513642358</v>
      </c>
    </row>
    <row r="39" spans="1:98" ht="16">
      <c r="A39" s="36">
        <v>37</v>
      </c>
      <c r="B39" s="37"/>
      <c r="C39" s="37"/>
      <c r="D39" s="37"/>
      <c r="E39" s="38" t="s">
        <v>233</v>
      </c>
      <c r="F39" s="38" t="s">
        <v>218</v>
      </c>
      <c r="G39" s="38" t="s">
        <v>234</v>
      </c>
      <c r="H39" s="38" t="s">
        <v>83</v>
      </c>
      <c r="I39" s="72">
        <v>6</v>
      </c>
      <c r="J39" s="53" t="s">
        <v>88</v>
      </c>
      <c r="K39" s="42">
        <v>0</v>
      </c>
      <c r="L39" s="42">
        <v>2</v>
      </c>
      <c r="M39" s="42">
        <v>1</v>
      </c>
      <c r="N39" s="42">
        <f t="shared" si="0"/>
        <v>2</v>
      </c>
      <c r="O39" s="214" t="s">
        <v>653</v>
      </c>
      <c r="P39" s="53"/>
      <c r="Q39" s="43">
        <v>13</v>
      </c>
      <c r="R39" s="44">
        <f t="shared" si="1"/>
        <v>3</v>
      </c>
      <c r="S39" s="45">
        <v>1</v>
      </c>
      <c r="T39" s="45">
        <f t="shared" si="2"/>
        <v>3</v>
      </c>
      <c r="V39" s="46"/>
      <c r="W39" s="58" t="s">
        <v>235</v>
      </c>
      <c r="X39" s="73">
        <v>3</v>
      </c>
      <c r="Y39" s="44">
        <f t="shared" si="3"/>
        <v>2</v>
      </c>
      <c r="Z39" s="45">
        <v>1</v>
      </c>
      <c r="AA39" s="45">
        <f t="shared" si="4"/>
        <v>2</v>
      </c>
      <c r="AB39" s="45">
        <v>1</v>
      </c>
      <c r="AD39" s="49" t="s">
        <v>87</v>
      </c>
      <c r="AE39" s="50" t="s">
        <v>88</v>
      </c>
      <c r="AF39" s="50">
        <v>0</v>
      </c>
      <c r="AG39" s="50">
        <v>3</v>
      </c>
      <c r="AH39" s="50">
        <v>2</v>
      </c>
      <c r="AI39" s="50">
        <f t="shared" si="5"/>
        <v>6</v>
      </c>
      <c r="AJ39" s="50">
        <v>1</v>
      </c>
      <c r="AK39" s="51" t="s">
        <v>89</v>
      </c>
      <c r="AL39" s="52">
        <v>57661</v>
      </c>
      <c r="AM39" s="53" t="s">
        <v>146</v>
      </c>
      <c r="AN39" s="42">
        <v>2</v>
      </c>
      <c r="AO39" s="54">
        <f t="shared" si="6"/>
        <v>3</v>
      </c>
      <c r="AP39" s="53">
        <v>2</v>
      </c>
      <c r="AQ39" s="53">
        <f t="shared" si="7"/>
        <v>6</v>
      </c>
      <c r="AR39" s="53"/>
      <c r="AS39" s="55"/>
      <c r="AT39" s="42">
        <v>18.8</v>
      </c>
      <c r="AU39" s="42" t="s">
        <v>88</v>
      </c>
      <c r="AV39" s="56">
        <v>0</v>
      </c>
      <c r="AW39" s="44">
        <f t="shared" si="8"/>
        <v>2</v>
      </c>
      <c r="AX39" s="42">
        <v>1</v>
      </c>
      <c r="AY39" s="42">
        <f t="shared" si="9"/>
        <v>2</v>
      </c>
      <c r="AZ39" s="42"/>
      <c r="BA39" s="42"/>
      <c r="BB39" s="57" t="s">
        <v>602</v>
      </c>
      <c r="BC39" s="58" t="s">
        <v>603</v>
      </c>
      <c r="BD39" s="58" t="s">
        <v>609</v>
      </c>
      <c r="BE39" s="59">
        <v>1</v>
      </c>
      <c r="BF39" s="58">
        <v>2</v>
      </c>
      <c r="BG39" s="58">
        <f t="shared" si="10"/>
        <v>0</v>
      </c>
      <c r="BH39" s="58" t="s">
        <v>605</v>
      </c>
      <c r="BI39" s="58" t="s">
        <v>610</v>
      </c>
      <c r="BJ39" s="60" t="s">
        <v>90</v>
      </c>
      <c r="BK39" s="61">
        <v>1</v>
      </c>
      <c r="BL39" s="62">
        <v>1</v>
      </c>
      <c r="BM39" s="62">
        <f t="shared" si="11"/>
        <v>0</v>
      </c>
      <c r="BN39" s="58" t="s">
        <v>607</v>
      </c>
      <c r="BO39" s="59"/>
      <c r="BP39" s="59">
        <v>12.5</v>
      </c>
      <c r="BQ39" s="63">
        <f t="shared" si="12"/>
        <v>2</v>
      </c>
      <c r="BR39" s="45">
        <v>1</v>
      </c>
      <c r="BS39" s="45">
        <f t="shared" si="13"/>
        <v>0.3010299956639812</v>
      </c>
      <c r="BU39" s="46"/>
      <c r="BV39" s="64">
        <v>1.5</v>
      </c>
      <c r="BW39" s="54">
        <f t="shared" si="14"/>
        <v>1</v>
      </c>
      <c r="BX39" s="45">
        <v>1</v>
      </c>
      <c r="BY39" s="45">
        <f t="shared" si="15"/>
        <v>0</v>
      </c>
      <c r="BZ39" s="61" t="s">
        <v>99</v>
      </c>
      <c r="CA39" s="46"/>
      <c r="CB39" s="65">
        <v>24928</v>
      </c>
      <c r="CC39" s="45">
        <v>3</v>
      </c>
      <c r="CD39" s="45">
        <v>2</v>
      </c>
      <c r="CE39" s="45">
        <f t="shared" si="16"/>
        <v>0.95424250943932487</v>
      </c>
      <c r="CG39" s="46"/>
      <c r="CH39" s="66">
        <v>2</v>
      </c>
      <c r="CI39" s="67">
        <v>3</v>
      </c>
      <c r="CJ39" s="68">
        <v>2</v>
      </c>
      <c r="CK39" s="68">
        <f t="shared" si="17"/>
        <v>0.95424250943932487</v>
      </c>
      <c r="CL39" s="68"/>
      <c r="CM39" s="69"/>
      <c r="CO39" s="70">
        <f t="shared" si="18"/>
        <v>2.1111111111111112</v>
      </c>
      <c r="CQ39" s="45">
        <f t="shared" si="19"/>
        <v>0.24550166828251452</v>
      </c>
      <c r="CR39" s="45">
        <f t="shared" si="20"/>
        <v>1.7599554244151643</v>
      </c>
      <c r="CT39" s="71">
        <f t="shared" si="21"/>
        <v>1.1694681286329081</v>
      </c>
    </row>
    <row r="40" spans="1:98" ht="16">
      <c r="A40" s="36">
        <v>38</v>
      </c>
      <c r="B40" s="37"/>
      <c r="C40" s="37"/>
      <c r="D40" s="37"/>
      <c r="E40" s="38" t="s">
        <v>654</v>
      </c>
      <c r="F40" s="38" t="s">
        <v>272</v>
      </c>
      <c r="G40" s="38" t="s">
        <v>655</v>
      </c>
      <c r="H40" s="38" t="s">
        <v>83</v>
      </c>
      <c r="I40" s="72">
        <v>3.5</v>
      </c>
      <c r="J40" s="53" t="s">
        <v>88</v>
      </c>
      <c r="K40" s="42">
        <v>0</v>
      </c>
      <c r="L40" s="42">
        <v>3</v>
      </c>
      <c r="M40" s="42">
        <v>1</v>
      </c>
      <c r="N40" s="42">
        <f t="shared" si="0"/>
        <v>3</v>
      </c>
      <c r="O40" s="42">
        <v>97</v>
      </c>
      <c r="P40" s="53"/>
      <c r="Q40" s="43">
        <v>22.93333333</v>
      </c>
      <c r="R40" s="44">
        <f t="shared" si="1"/>
        <v>3</v>
      </c>
      <c r="S40" s="45">
        <v>1</v>
      </c>
      <c r="T40" s="45">
        <f t="shared" si="2"/>
        <v>3</v>
      </c>
      <c r="V40" s="46"/>
      <c r="W40" s="58" t="s">
        <v>656</v>
      </c>
      <c r="X40" s="73">
        <v>3.8</v>
      </c>
      <c r="Y40" s="44">
        <f t="shared" si="3"/>
        <v>1</v>
      </c>
      <c r="Z40" s="45">
        <v>1</v>
      </c>
      <c r="AA40" s="45">
        <f t="shared" si="4"/>
        <v>1</v>
      </c>
      <c r="AB40" s="45">
        <v>1</v>
      </c>
      <c r="AD40" s="49" t="s">
        <v>87</v>
      </c>
      <c r="AE40" s="50" t="s">
        <v>88</v>
      </c>
      <c r="AF40" s="50">
        <v>0</v>
      </c>
      <c r="AG40" s="50">
        <v>3</v>
      </c>
      <c r="AH40" s="50">
        <v>2</v>
      </c>
      <c r="AI40" s="50">
        <f t="shared" si="5"/>
        <v>6</v>
      </c>
      <c r="AJ40" s="50">
        <v>1</v>
      </c>
      <c r="AK40" s="51" t="s">
        <v>89</v>
      </c>
      <c r="AL40" s="61">
        <v>27000</v>
      </c>
      <c r="AM40" s="53" t="s">
        <v>88</v>
      </c>
      <c r="AN40" s="42">
        <v>0</v>
      </c>
      <c r="AO40" s="54">
        <f t="shared" si="6"/>
        <v>3</v>
      </c>
      <c r="AP40" s="53">
        <v>2</v>
      </c>
      <c r="AQ40" s="53">
        <f t="shared" si="7"/>
        <v>6</v>
      </c>
      <c r="AR40" s="53"/>
      <c r="AS40" s="55"/>
      <c r="AT40" s="42">
        <v>23.5</v>
      </c>
      <c r="AU40" s="42" t="s">
        <v>88</v>
      </c>
      <c r="AV40" s="56">
        <v>0</v>
      </c>
      <c r="AW40" s="44">
        <f t="shared" si="8"/>
        <v>2</v>
      </c>
      <c r="AX40" s="42">
        <v>1</v>
      </c>
      <c r="AY40" s="42">
        <f t="shared" si="9"/>
        <v>2</v>
      </c>
      <c r="AZ40" s="42"/>
      <c r="BA40" s="42"/>
      <c r="BB40" s="57" t="s">
        <v>602</v>
      </c>
      <c r="BC40" s="58" t="s">
        <v>603</v>
      </c>
      <c r="BD40" s="58" t="s">
        <v>604</v>
      </c>
      <c r="BE40" s="59">
        <v>2</v>
      </c>
      <c r="BF40" s="58">
        <v>2</v>
      </c>
      <c r="BG40" s="58">
        <f t="shared" si="10"/>
        <v>0.6020599913279624</v>
      </c>
      <c r="BH40" s="58" t="s">
        <v>605</v>
      </c>
      <c r="BI40" s="58" t="s">
        <v>657</v>
      </c>
      <c r="BJ40" s="60" t="s">
        <v>90</v>
      </c>
      <c r="BK40" s="61">
        <v>1</v>
      </c>
      <c r="BL40" s="62">
        <v>1</v>
      </c>
      <c r="BM40" s="62">
        <f t="shared" si="11"/>
        <v>0</v>
      </c>
      <c r="BN40" s="58" t="s">
        <v>607</v>
      </c>
      <c r="BO40" s="59"/>
      <c r="BP40" s="59">
        <v>13.75</v>
      </c>
      <c r="BQ40" s="63">
        <f t="shared" si="12"/>
        <v>2</v>
      </c>
      <c r="BR40" s="45">
        <v>1</v>
      </c>
      <c r="BS40" s="45">
        <f t="shared" si="13"/>
        <v>0.3010299956639812</v>
      </c>
      <c r="BU40" s="46"/>
      <c r="BV40" s="64">
        <v>2.25</v>
      </c>
      <c r="BW40" s="54">
        <f t="shared" si="14"/>
        <v>1</v>
      </c>
      <c r="BX40" s="45">
        <v>1</v>
      </c>
      <c r="BY40" s="45">
        <f t="shared" si="15"/>
        <v>0</v>
      </c>
      <c r="BZ40" s="61" t="s">
        <v>273</v>
      </c>
      <c r="CA40" s="46"/>
      <c r="CB40" s="65">
        <v>24056</v>
      </c>
      <c r="CC40" s="45">
        <v>3</v>
      </c>
      <c r="CD40" s="45">
        <v>2</v>
      </c>
      <c r="CE40" s="45">
        <f t="shared" si="16"/>
        <v>0.95424250943932487</v>
      </c>
      <c r="CG40" s="46"/>
      <c r="CH40" s="66">
        <v>2</v>
      </c>
      <c r="CI40" s="67">
        <v>3</v>
      </c>
      <c r="CJ40" s="68">
        <v>2</v>
      </c>
      <c r="CK40" s="68">
        <f t="shared" si="17"/>
        <v>0.95424250943932487</v>
      </c>
      <c r="CL40" s="68"/>
      <c r="CM40" s="69"/>
      <c r="CO40" s="70">
        <f t="shared" si="18"/>
        <v>2</v>
      </c>
      <c r="CQ40" s="45">
        <f t="shared" si="19"/>
        <v>0.31239722287451038</v>
      </c>
      <c r="CR40" s="45">
        <f t="shared" si="20"/>
        <v>2.0530391109397983</v>
      </c>
      <c r="CT40" s="71">
        <f t="shared" si="21"/>
        <v>1.4522022480250061</v>
      </c>
    </row>
    <row r="41" spans="1:98" ht="16">
      <c r="A41" s="36">
        <v>39</v>
      </c>
      <c r="B41" s="37"/>
      <c r="C41" s="37"/>
      <c r="D41" s="37"/>
      <c r="E41" s="38" t="s">
        <v>236</v>
      </c>
      <c r="F41" s="38" t="s">
        <v>237</v>
      </c>
      <c r="G41" s="38" t="s">
        <v>238</v>
      </c>
      <c r="H41" s="38" t="s">
        <v>177</v>
      </c>
      <c r="I41" s="72">
        <v>9</v>
      </c>
      <c r="J41" s="53" t="s">
        <v>88</v>
      </c>
      <c r="K41" s="42">
        <v>0</v>
      </c>
      <c r="L41" s="42">
        <v>2</v>
      </c>
      <c r="M41" s="42">
        <v>1</v>
      </c>
      <c r="N41" s="42">
        <f t="shared" si="0"/>
        <v>2</v>
      </c>
      <c r="O41" s="42">
        <v>97</v>
      </c>
      <c r="P41" s="53"/>
      <c r="Q41" s="43">
        <v>21</v>
      </c>
      <c r="R41" s="44">
        <f t="shared" si="1"/>
        <v>3</v>
      </c>
      <c r="S41" s="45">
        <v>1</v>
      </c>
      <c r="T41" s="45">
        <f t="shared" si="2"/>
        <v>3</v>
      </c>
      <c r="V41" s="46"/>
      <c r="W41" s="58" t="s">
        <v>239</v>
      </c>
      <c r="X41" s="73">
        <v>2.2999999999999998</v>
      </c>
      <c r="Y41" s="44">
        <f t="shared" si="3"/>
        <v>3</v>
      </c>
      <c r="Z41" s="45">
        <v>1</v>
      </c>
      <c r="AA41" s="45">
        <f t="shared" si="4"/>
        <v>3</v>
      </c>
      <c r="AB41" s="45">
        <v>1</v>
      </c>
      <c r="AD41" s="49" t="s">
        <v>163</v>
      </c>
      <c r="AE41" s="50" t="s">
        <v>146</v>
      </c>
      <c r="AF41" s="50">
        <v>2</v>
      </c>
      <c r="AG41" s="50">
        <v>3</v>
      </c>
      <c r="AH41" s="50">
        <v>2</v>
      </c>
      <c r="AI41" s="50">
        <f t="shared" si="5"/>
        <v>6</v>
      </c>
      <c r="AJ41" s="50" t="s">
        <v>645</v>
      </c>
      <c r="AK41" s="51" t="s">
        <v>240</v>
      </c>
      <c r="AL41" s="80">
        <v>38487</v>
      </c>
      <c r="AM41" s="53" t="s">
        <v>146</v>
      </c>
      <c r="AN41" s="42">
        <v>2</v>
      </c>
      <c r="AO41" s="54">
        <f t="shared" si="6"/>
        <v>3</v>
      </c>
      <c r="AP41" s="53">
        <v>2</v>
      </c>
      <c r="AQ41" s="53">
        <f t="shared" si="7"/>
        <v>6</v>
      </c>
      <c r="AR41" s="53"/>
      <c r="AS41" s="55"/>
      <c r="AT41" s="53">
        <v>53.1</v>
      </c>
      <c r="AU41" s="42" t="s">
        <v>115</v>
      </c>
      <c r="AV41" s="44">
        <v>1</v>
      </c>
      <c r="AW41" s="44">
        <f t="shared" si="8"/>
        <v>1</v>
      </c>
      <c r="AX41" s="42">
        <v>1</v>
      </c>
      <c r="AY41" s="42">
        <f t="shared" si="9"/>
        <v>1</v>
      </c>
      <c r="AZ41" s="42" t="s">
        <v>187</v>
      </c>
      <c r="BA41" s="53" t="s">
        <v>658</v>
      </c>
      <c r="BB41" s="57" t="s">
        <v>642</v>
      </c>
      <c r="BC41" s="58" t="s">
        <v>643</v>
      </c>
      <c r="BD41" s="58" t="s">
        <v>609</v>
      </c>
      <c r="BE41" s="58">
        <v>2</v>
      </c>
      <c r="BF41" s="58">
        <v>2</v>
      </c>
      <c r="BG41" s="58">
        <f t="shared" si="10"/>
        <v>0.6020599913279624</v>
      </c>
      <c r="BH41" s="58" t="s">
        <v>605</v>
      </c>
      <c r="BI41" s="58" t="s">
        <v>644</v>
      </c>
      <c r="BJ41" s="81" t="s">
        <v>166</v>
      </c>
      <c r="BK41" s="61">
        <v>3</v>
      </c>
      <c r="BL41" s="62">
        <v>1</v>
      </c>
      <c r="BM41" s="62">
        <f t="shared" si="11"/>
        <v>0.47712125471966244</v>
      </c>
      <c r="BN41" s="58" t="s">
        <v>607</v>
      </c>
      <c r="BO41" s="59"/>
      <c r="BP41" s="59">
        <v>12.5</v>
      </c>
      <c r="BQ41" s="63">
        <f t="shared" si="12"/>
        <v>2</v>
      </c>
      <c r="BR41" s="45">
        <v>1</v>
      </c>
      <c r="BS41" s="45">
        <f t="shared" si="13"/>
        <v>0.3010299956639812</v>
      </c>
      <c r="BU41" s="46"/>
      <c r="BV41" s="64">
        <v>2.6666666669999999</v>
      </c>
      <c r="BW41" s="54">
        <f t="shared" si="14"/>
        <v>2</v>
      </c>
      <c r="BX41" s="45">
        <v>1</v>
      </c>
      <c r="BY41" s="45">
        <f t="shared" si="15"/>
        <v>0.3010299956639812</v>
      </c>
      <c r="BZ41" s="61" t="s">
        <v>91</v>
      </c>
      <c r="CA41" s="46"/>
      <c r="CB41" s="65">
        <v>23989</v>
      </c>
      <c r="CC41" s="45">
        <v>3</v>
      </c>
      <c r="CD41" s="45">
        <v>2</v>
      </c>
      <c r="CE41" s="45">
        <f t="shared" si="16"/>
        <v>0.95424250943932487</v>
      </c>
      <c r="CG41" s="46"/>
      <c r="CH41" s="66" t="s">
        <v>216</v>
      </c>
      <c r="CI41" s="67">
        <v>3</v>
      </c>
      <c r="CJ41" s="68">
        <v>2</v>
      </c>
      <c r="CK41" s="68">
        <f t="shared" si="17"/>
        <v>0.95424250943932487</v>
      </c>
      <c r="CL41" s="68"/>
      <c r="CM41" s="69"/>
      <c r="CO41" s="70">
        <f t="shared" si="18"/>
        <v>2.1111111111111112</v>
      </c>
      <c r="CQ41" s="45">
        <f t="shared" si="19"/>
        <v>0.39885847291713744</v>
      </c>
      <c r="CR41" s="45">
        <f t="shared" si="20"/>
        <v>2.5052926998375438</v>
      </c>
      <c r="CT41" s="71">
        <f t="shared" si="21"/>
        <v>1.7481503279107107</v>
      </c>
    </row>
    <row r="42" spans="1:98" ht="16">
      <c r="A42" s="36">
        <v>40</v>
      </c>
      <c r="B42" s="37"/>
      <c r="C42" s="37"/>
      <c r="D42" s="37"/>
      <c r="E42" s="38" t="s">
        <v>242</v>
      </c>
      <c r="F42" s="38" t="s">
        <v>243</v>
      </c>
      <c r="G42" s="38" t="s">
        <v>244</v>
      </c>
      <c r="H42" s="38" t="s">
        <v>245</v>
      </c>
      <c r="I42" s="72">
        <v>11</v>
      </c>
      <c r="J42" s="53" t="s">
        <v>88</v>
      </c>
      <c r="K42" s="42">
        <v>0</v>
      </c>
      <c r="L42" s="42">
        <v>2</v>
      </c>
      <c r="M42" s="42">
        <v>1</v>
      </c>
      <c r="N42" s="42">
        <f t="shared" si="0"/>
        <v>2</v>
      </c>
      <c r="O42" s="214" t="s">
        <v>659</v>
      </c>
      <c r="P42" s="53" t="s">
        <v>652</v>
      </c>
      <c r="Q42" s="43">
        <v>34</v>
      </c>
      <c r="R42" s="44">
        <f t="shared" si="1"/>
        <v>2</v>
      </c>
      <c r="S42" s="45">
        <v>1</v>
      </c>
      <c r="T42" s="45">
        <f t="shared" si="2"/>
        <v>2</v>
      </c>
      <c r="V42" s="46"/>
      <c r="W42" s="58" t="s">
        <v>246</v>
      </c>
      <c r="X42" s="73">
        <v>3.5</v>
      </c>
      <c r="Y42" s="44">
        <f t="shared" si="3"/>
        <v>2</v>
      </c>
      <c r="Z42" s="45">
        <v>1</v>
      </c>
      <c r="AA42" s="45">
        <f t="shared" si="4"/>
        <v>2</v>
      </c>
      <c r="AB42" s="45">
        <v>1</v>
      </c>
      <c r="AD42" s="49" t="s">
        <v>247</v>
      </c>
      <c r="AE42" s="50" t="s">
        <v>88</v>
      </c>
      <c r="AF42" s="50">
        <v>0</v>
      </c>
      <c r="AG42" s="50">
        <v>3</v>
      </c>
      <c r="AH42" s="50">
        <v>2</v>
      </c>
      <c r="AI42" s="50">
        <f t="shared" si="5"/>
        <v>6</v>
      </c>
      <c r="AJ42" s="84" t="s">
        <v>660</v>
      </c>
      <c r="AK42" s="51"/>
      <c r="AL42" s="61">
        <v>1001</v>
      </c>
      <c r="AM42" s="53" t="s">
        <v>88</v>
      </c>
      <c r="AN42" s="42">
        <v>0</v>
      </c>
      <c r="AO42" s="54">
        <f t="shared" si="6"/>
        <v>2</v>
      </c>
      <c r="AP42" s="53">
        <v>2</v>
      </c>
      <c r="AQ42" s="53">
        <f t="shared" si="7"/>
        <v>4</v>
      </c>
      <c r="AR42" s="53"/>
      <c r="AS42" s="55" t="s">
        <v>661</v>
      </c>
      <c r="AT42" s="42">
        <v>0</v>
      </c>
      <c r="AU42" s="42" t="s">
        <v>88</v>
      </c>
      <c r="AV42" s="56">
        <v>0</v>
      </c>
      <c r="AW42" s="44">
        <f t="shared" si="8"/>
        <v>3</v>
      </c>
      <c r="AX42" s="42">
        <v>1</v>
      </c>
      <c r="AY42" s="42">
        <f t="shared" si="9"/>
        <v>3</v>
      </c>
      <c r="AZ42" s="42" t="s">
        <v>249</v>
      </c>
      <c r="BA42" s="53"/>
      <c r="BB42" s="57" t="s">
        <v>602</v>
      </c>
      <c r="BC42" s="58" t="s">
        <v>603</v>
      </c>
      <c r="BD42" s="58" t="s">
        <v>609</v>
      </c>
      <c r="BE42" s="59">
        <v>1</v>
      </c>
      <c r="BF42" s="58">
        <v>2</v>
      </c>
      <c r="BG42" s="58">
        <f t="shared" si="10"/>
        <v>0</v>
      </c>
      <c r="BH42" s="58" t="s">
        <v>605</v>
      </c>
      <c r="BI42" s="58" t="s">
        <v>610</v>
      </c>
      <c r="BJ42" s="60" t="s">
        <v>90</v>
      </c>
      <c r="BK42" s="61">
        <v>1</v>
      </c>
      <c r="BL42" s="62">
        <v>1</v>
      </c>
      <c r="BM42" s="62">
        <f t="shared" si="11"/>
        <v>0</v>
      </c>
      <c r="BN42" s="58" t="s">
        <v>607</v>
      </c>
      <c r="BO42" s="59"/>
      <c r="BP42" s="59">
        <v>16.5</v>
      </c>
      <c r="BQ42" s="63">
        <f t="shared" si="12"/>
        <v>2</v>
      </c>
      <c r="BR42" s="45">
        <v>1</v>
      </c>
      <c r="BS42" s="45">
        <f t="shared" si="13"/>
        <v>0.3010299956639812</v>
      </c>
      <c r="BU42" s="46"/>
      <c r="BV42" s="64">
        <v>1.75</v>
      </c>
      <c r="BW42" s="54">
        <f t="shared" si="14"/>
        <v>1</v>
      </c>
      <c r="BX42" s="45">
        <v>1</v>
      </c>
      <c r="BY42" s="45">
        <f t="shared" si="15"/>
        <v>0</v>
      </c>
      <c r="BZ42" s="61" t="s">
        <v>99</v>
      </c>
      <c r="CA42" s="46"/>
      <c r="CB42" s="65">
        <v>23707</v>
      </c>
      <c r="CC42" s="45">
        <v>3</v>
      </c>
      <c r="CD42" s="45">
        <v>2</v>
      </c>
      <c r="CE42" s="45">
        <f t="shared" si="16"/>
        <v>0.95424250943932487</v>
      </c>
      <c r="CG42" s="46"/>
      <c r="CH42" s="66" t="s">
        <v>250</v>
      </c>
      <c r="CI42" s="67">
        <v>3</v>
      </c>
      <c r="CJ42" s="68">
        <v>2</v>
      </c>
      <c r="CK42" s="68">
        <f t="shared" si="17"/>
        <v>0.95424250943932487</v>
      </c>
      <c r="CL42" s="68"/>
      <c r="CM42" s="69"/>
      <c r="CO42" s="70">
        <f t="shared" si="18"/>
        <v>1.8888888888888888</v>
      </c>
      <c r="CQ42" s="45">
        <f t="shared" si="19"/>
        <v>0.24550166828251452</v>
      </c>
      <c r="CR42" s="45">
        <f t="shared" si="20"/>
        <v>1.7599554244151643</v>
      </c>
      <c r="CT42" s="71">
        <f t="shared" si="21"/>
        <v>1.3461426924113953</v>
      </c>
    </row>
    <row r="43" spans="1:98" ht="16">
      <c r="A43" s="36">
        <v>41</v>
      </c>
      <c r="B43" s="37"/>
      <c r="C43" s="37"/>
      <c r="D43" s="37"/>
      <c r="E43" s="38" t="s">
        <v>662</v>
      </c>
      <c r="F43" s="38" t="s">
        <v>395</v>
      </c>
      <c r="G43" s="38" t="s">
        <v>663</v>
      </c>
      <c r="H43" s="38" t="s">
        <v>83</v>
      </c>
      <c r="I43" s="72">
        <v>0.4</v>
      </c>
      <c r="J43" s="53" t="s">
        <v>88</v>
      </c>
      <c r="K43" s="42">
        <v>0</v>
      </c>
      <c r="L43" s="42">
        <v>3</v>
      </c>
      <c r="M43" s="42">
        <v>1</v>
      </c>
      <c r="N43" s="42">
        <f t="shared" si="0"/>
        <v>3</v>
      </c>
      <c r="O43" s="53" t="s">
        <v>664</v>
      </c>
      <c r="P43" s="53" t="s">
        <v>665</v>
      </c>
      <c r="Q43" s="43">
        <v>8.75</v>
      </c>
      <c r="R43" s="44">
        <f t="shared" si="1"/>
        <v>3</v>
      </c>
      <c r="S43" s="45">
        <v>1</v>
      </c>
      <c r="T43" s="45">
        <f t="shared" si="2"/>
        <v>3</v>
      </c>
      <c r="V43" s="46"/>
      <c r="W43" s="58" t="s">
        <v>666</v>
      </c>
      <c r="X43" s="73">
        <v>3.2</v>
      </c>
      <c r="Y43" s="44">
        <f t="shared" si="3"/>
        <v>2</v>
      </c>
      <c r="Z43" s="45">
        <v>1</v>
      </c>
      <c r="AA43" s="45">
        <f t="shared" si="4"/>
        <v>2</v>
      </c>
      <c r="AB43" s="45">
        <v>1</v>
      </c>
      <c r="AD43" s="49" t="s">
        <v>87</v>
      </c>
      <c r="AE43" s="50" t="s">
        <v>88</v>
      </c>
      <c r="AF43" s="50">
        <v>0</v>
      </c>
      <c r="AG43" s="50">
        <v>3</v>
      </c>
      <c r="AH43" s="50">
        <v>2</v>
      </c>
      <c r="AI43" s="50">
        <f t="shared" si="5"/>
        <v>6</v>
      </c>
      <c r="AJ43" s="50">
        <v>1</v>
      </c>
      <c r="AK43" s="51" t="s">
        <v>89</v>
      </c>
      <c r="AL43" s="61">
        <v>3000</v>
      </c>
      <c r="AM43" s="53" t="s">
        <v>88</v>
      </c>
      <c r="AN43" s="42">
        <v>0</v>
      </c>
      <c r="AO43" s="54">
        <f t="shared" si="6"/>
        <v>2</v>
      </c>
      <c r="AP43" s="53">
        <v>2</v>
      </c>
      <c r="AQ43" s="53">
        <f t="shared" si="7"/>
        <v>4</v>
      </c>
      <c r="AR43" s="53"/>
      <c r="AS43" s="55"/>
      <c r="AT43" s="42">
        <v>17.8</v>
      </c>
      <c r="AU43" s="42" t="s">
        <v>88</v>
      </c>
      <c r="AV43" s="56">
        <v>0</v>
      </c>
      <c r="AW43" s="44">
        <f t="shared" si="8"/>
        <v>2</v>
      </c>
      <c r="AX43" s="42">
        <v>1</v>
      </c>
      <c r="AY43" s="42">
        <f t="shared" si="9"/>
        <v>2</v>
      </c>
      <c r="AZ43" s="42"/>
      <c r="BA43" s="42"/>
      <c r="BB43" s="57" t="s">
        <v>602</v>
      </c>
      <c r="BC43" s="58" t="s">
        <v>603</v>
      </c>
      <c r="BD43" s="58" t="s">
        <v>609</v>
      </c>
      <c r="BE43" s="59">
        <v>1</v>
      </c>
      <c r="BF43" s="58">
        <v>2</v>
      </c>
      <c r="BG43" s="58">
        <f t="shared" si="10"/>
        <v>0</v>
      </c>
      <c r="BH43" s="58" t="s">
        <v>605</v>
      </c>
      <c r="BI43" s="58" t="s">
        <v>610</v>
      </c>
      <c r="BJ43" s="60" t="s">
        <v>90</v>
      </c>
      <c r="BK43" s="61">
        <v>1</v>
      </c>
      <c r="BL43" s="62">
        <v>1</v>
      </c>
      <c r="BM43" s="62">
        <f t="shared" si="11"/>
        <v>0</v>
      </c>
      <c r="BN43" s="58" t="s">
        <v>607</v>
      </c>
      <c r="BO43" s="59"/>
      <c r="BP43" s="59">
        <v>8.5</v>
      </c>
      <c r="BQ43" s="63">
        <f t="shared" si="12"/>
        <v>3</v>
      </c>
      <c r="BR43" s="45">
        <v>1</v>
      </c>
      <c r="BS43" s="45">
        <f t="shared" si="13"/>
        <v>0.47712125471966244</v>
      </c>
      <c r="BU43" s="46"/>
      <c r="BV43" s="64">
        <v>1.25</v>
      </c>
      <c r="BW43" s="54">
        <f t="shared" si="14"/>
        <v>1</v>
      </c>
      <c r="BX43" s="45">
        <v>1</v>
      </c>
      <c r="BY43" s="45">
        <f t="shared" si="15"/>
        <v>0</v>
      </c>
      <c r="BZ43" s="61" t="s">
        <v>99</v>
      </c>
      <c r="CA43" s="46"/>
      <c r="CB43" s="65">
        <v>23292</v>
      </c>
      <c r="CC43" s="45">
        <v>3</v>
      </c>
      <c r="CD43" s="45">
        <v>2</v>
      </c>
      <c r="CE43" s="45">
        <f t="shared" si="16"/>
        <v>0.95424250943932487</v>
      </c>
      <c r="CG43" s="46"/>
      <c r="CH43" s="66" t="s">
        <v>92</v>
      </c>
      <c r="CI43" s="67">
        <v>3</v>
      </c>
      <c r="CJ43" s="68">
        <v>2</v>
      </c>
      <c r="CK43" s="68">
        <f t="shared" si="17"/>
        <v>0.95424250943932487</v>
      </c>
      <c r="CL43" s="78"/>
      <c r="CM43" s="79"/>
      <c r="CO43" s="70">
        <f t="shared" si="18"/>
        <v>1.8888888888888888</v>
      </c>
      <c r="CQ43" s="45">
        <f t="shared" si="19"/>
        <v>0.26506736373314577</v>
      </c>
      <c r="CR43" s="45">
        <f t="shared" si="20"/>
        <v>1.841057547098748</v>
      </c>
      <c r="CT43" s="71">
        <f t="shared" si="21"/>
        <v>1.3935371178287039</v>
      </c>
    </row>
    <row r="44" spans="1:98" ht="16">
      <c r="A44" s="36">
        <v>42</v>
      </c>
      <c r="B44" s="37"/>
      <c r="C44" s="37"/>
      <c r="D44" s="37"/>
      <c r="E44" s="38" t="s">
        <v>348</v>
      </c>
      <c r="F44" s="38" t="s">
        <v>349</v>
      </c>
      <c r="G44" s="38" t="s">
        <v>350</v>
      </c>
      <c r="H44" s="38" t="s">
        <v>318</v>
      </c>
      <c r="I44" s="72">
        <v>11.5</v>
      </c>
      <c r="J44" s="53" t="s">
        <v>88</v>
      </c>
      <c r="K44" s="42">
        <v>0</v>
      </c>
      <c r="L44" s="42">
        <v>2</v>
      </c>
      <c r="M44" s="42">
        <v>1</v>
      </c>
      <c r="N44" s="42">
        <f t="shared" si="0"/>
        <v>2</v>
      </c>
      <c r="O44" s="42">
        <v>97</v>
      </c>
      <c r="P44" s="53"/>
      <c r="Q44" s="43">
        <v>40.566666669999996</v>
      </c>
      <c r="R44" s="44">
        <f t="shared" si="1"/>
        <v>2</v>
      </c>
      <c r="S44" s="45">
        <v>1</v>
      </c>
      <c r="T44" s="45">
        <f t="shared" si="2"/>
        <v>2</v>
      </c>
      <c r="V44" s="46"/>
      <c r="W44" s="58" t="s">
        <v>351</v>
      </c>
      <c r="X44" s="73">
        <v>4.4000000000000004</v>
      </c>
      <c r="Y44" s="44">
        <f t="shared" si="3"/>
        <v>1</v>
      </c>
      <c r="Z44" s="45">
        <v>1</v>
      </c>
      <c r="AA44" s="45">
        <f t="shared" si="4"/>
        <v>1</v>
      </c>
      <c r="AB44" s="45">
        <v>1</v>
      </c>
      <c r="AD44" s="49" t="s">
        <v>163</v>
      </c>
      <c r="AE44" s="50" t="s">
        <v>146</v>
      </c>
      <c r="AF44" s="50">
        <v>2</v>
      </c>
      <c r="AG44" s="50">
        <v>3</v>
      </c>
      <c r="AH44" s="50">
        <v>2</v>
      </c>
      <c r="AI44" s="50">
        <f t="shared" si="5"/>
        <v>6</v>
      </c>
      <c r="AJ44" s="50" t="s">
        <v>645</v>
      </c>
      <c r="AK44" s="51"/>
      <c r="AL44" s="61">
        <v>75547</v>
      </c>
      <c r="AM44" s="53" t="s">
        <v>88</v>
      </c>
      <c r="AN44" s="42">
        <v>0</v>
      </c>
      <c r="AO44" s="54">
        <f t="shared" si="6"/>
        <v>3</v>
      </c>
      <c r="AP44" s="53">
        <v>2</v>
      </c>
      <c r="AQ44" s="53">
        <f t="shared" si="7"/>
        <v>6</v>
      </c>
      <c r="AR44" s="53"/>
      <c r="AS44" s="55"/>
      <c r="AT44" s="42">
        <v>26.8</v>
      </c>
      <c r="AU44" s="42" t="s">
        <v>88</v>
      </c>
      <c r="AV44" s="56">
        <v>0</v>
      </c>
      <c r="AW44" s="44">
        <f t="shared" si="8"/>
        <v>2</v>
      </c>
      <c r="AX44" s="42">
        <v>1</v>
      </c>
      <c r="AY44" s="42">
        <f t="shared" si="9"/>
        <v>2</v>
      </c>
      <c r="AZ44" s="42"/>
      <c r="BA44" s="42"/>
      <c r="BB44" s="57" t="s">
        <v>602</v>
      </c>
      <c r="BC44" s="58" t="s">
        <v>603</v>
      </c>
      <c r="BD44" s="58" t="s">
        <v>609</v>
      </c>
      <c r="BE44" s="59">
        <v>1</v>
      </c>
      <c r="BF44" s="58">
        <v>2</v>
      </c>
      <c r="BG44" s="58">
        <f t="shared" si="10"/>
        <v>0</v>
      </c>
      <c r="BH44" s="58" t="s">
        <v>605</v>
      </c>
      <c r="BI44" s="58" t="s">
        <v>610</v>
      </c>
      <c r="BJ44" s="60" t="s">
        <v>90</v>
      </c>
      <c r="BK44" s="61">
        <v>1</v>
      </c>
      <c r="BL44" s="62">
        <v>1</v>
      </c>
      <c r="BM44" s="62">
        <f t="shared" si="11"/>
        <v>0</v>
      </c>
      <c r="BN44" s="58" t="s">
        <v>607</v>
      </c>
      <c r="BO44" s="59"/>
      <c r="BP44" s="59">
        <v>26.75</v>
      </c>
      <c r="BQ44" s="63">
        <f t="shared" si="12"/>
        <v>2</v>
      </c>
      <c r="BR44" s="45">
        <v>1</v>
      </c>
      <c r="BS44" s="45">
        <f t="shared" si="13"/>
        <v>0.3010299956639812</v>
      </c>
      <c r="BU44" s="46"/>
      <c r="BV44" s="64">
        <v>2.125</v>
      </c>
      <c r="BW44" s="54">
        <f t="shared" si="14"/>
        <v>1</v>
      </c>
      <c r="BX44" s="45">
        <v>1</v>
      </c>
      <c r="BY44" s="45">
        <f t="shared" si="15"/>
        <v>0</v>
      </c>
      <c r="BZ44" s="61" t="s">
        <v>99</v>
      </c>
      <c r="CA44" s="46"/>
      <c r="CB44" s="65">
        <v>23255</v>
      </c>
      <c r="CC44" s="45">
        <v>3</v>
      </c>
      <c r="CD44" s="45">
        <v>2</v>
      </c>
      <c r="CE44" s="45">
        <f t="shared" si="16"/>
        <v>0.95424250943932487</v>
      </c>
      <c r="CG44" s="46"/>
      <c r="CH44" s="66" t="s">
        <v>106</v>
      </c>
      <c r="CI44" s="67">
        <v>3</v>
      </c>
      <c r="CJ44" s="68">
        <v>2</v>
      </c>
      <c r="CK44" s="68">
        <f t="shared" si="17"/>
        <v>0.95424250943932487</v>
      </c>
      <c r="CL44" s="78"/>
      <c r="CM44" s="79" t="s">
        <v>144</v>
      </c>
      <c r="CO44" s="70">
        <f t="shared" si="18"/>
        <v>1.8888888888888888</v>
      </c>
      <c r="CQ44" s="45">
        <f t="shared" si="19"/>
        <v>0.24550166828251452</v>
      </c>
      <c r="CR44" s="45">
        <f t="shared" si="20"/>
        <v>1.7599554244151643</v>
      </c>
      <c r="CT44" s="71">
        <f t="shared" si="21"/>
        <v>1.3461426924113953</v>
      </c>
    </row>
    <row r="45" spans="1:98" ht="16">
      <c r="A45" s="36">
        <v>43</v>
      </c>
      <c r="B45" s="37"/>
      <c r="C45" s="37"/>
      <c r="D45" s="37"/>
      <c r="E45" s="38" t="s">
        <v>359</v>
      </c>
      <c r="F45" s="38" t="s">
        <v>360</v>
      </c>
      <c r="G45" s="38" t="s">
        <v>361</v>
      </c>
      <c r="H45" s="38" t="s">
        <v>152</v>
      </c>
      <c r="I45" s="72">
        <v>10</v>
      </c>
      <c r="J45" s="53" t="s">
        <v>88</v>
      </c>
      <c r="K45" s="42">
        <v>0</v>
      </c>
      <c r="L45" s="42">
        <v>2</v>
      </c>
      <c r="M45" s="42">
        <v>1</v>
      </c>
      <c r="N45" s="42">
        <f t="shared" si="0"/>
        <v>2</v>
      </c>
      <c r="O45" s="214" t="s">
        <v>667</v>
      </c>
      <c r="P45" s="53" t="s">
        <v>665</v>
      </c>
      <c r="Q45" s="43">
        <v>12</v>
      </c>
      <c r="R45" s="44">
        <f t="shared" si="1"/>
        <v>3</v>
      </c>
      <c r="S45" s="45">
        <v>1</v>
      </c>
      <c r="T45" s="45">
        <f t="shared" si="2"/>
        <v>3</v>
      </c>
      <c r="V45" s="46"/>
      <c r="W45" s="58" t="s">
        <v>337</v>
      </c>
      <c r="X45" s="73">
        <v>3.4</v>
      </c>
      <c r="Y45" s="44">
        <f t="shared" si="3"/>
        <v>2</v>
      </c>
      <c r="Z45" s="45">
        <v>1</v>
      </c>
      <c r="AA45" s="45">
        <f t="shared" si="4"/>
        <v>2</v>
      </c>
      <c r="AB45" s="45">
        <v>1</v>
      </c>
      <c r="AD45" s="49" t="s">
        <v>362</v>
      </c>
      <c r="AE45" s="50" t="s">
        <v>88</v>
      </c>
      <c r="AF45" s="50">
        <v>0</v>
      </c>
      <c r="AG45" s="50">
        <v>2</v>
      </c>
      <c r="AH45" s="50">
        <v>2</v>
      </c>
      <c r="AI45" s="50">
        <f t="shared" si="5"/>
        <v>4</v>
      </c>
      <c r="AJ45" s="50">
        <v>1</v>
      </c>
      <c r="AK45" s="51" t="s">
        <v>156</v>
      </c>
      <c r="AL45" s="61">
        <v>517850</v>
      </c>
      <c r="AM45" s="53" t="s">
        <v>115</v>
      </c>
      <c r="AN45" s="42">
        <v>1</v>
      </c>
      <c r="AO45" s="54">
        <f t="shared" si="6"/>
        <v>3</v>
      </c>
      <c r="AP45" s="53">
        <v>2</v>
      </c>
      <c r="AQ45" s="53">
        <f t="shared" si="7"/>
        <v>6</v>
      </c>
      <c r="AR45" s="53"/>
      <c r="AS45" s="55"/>
      <c r="AT45" s="42">
        <v>26.1</v>
      </c>
      <c r="AU45" s="42" t="s">
        <v>88</v>
      </c>
      <c r="AV45" s="56">
        <v>0</v>
      </c>
      <c r="AW45" s="44">
        <f t="shared" si="8"/>
        <v>2</v>
      </c>
      <c r="AX45" s="42">
        <v>1</v>
      </c>
      <c r="AY45" s="42">
        <f t="shared" si="9"/>
        <v>2</v>
      </c>
      <c r="AZ45" s="42"/>
      <c r="BA45" s="42"/>
      <c r="BB45" s="57" t="s">
        <v>602</v>
      </c>
      <c r="BC45" s="58" t="s">
        <v>603</v>
      </c>
      <c r="BD45" s="58" t="s">
        <v>609</v>
      </c>
      <c r="BE45" s="59">
        <v>1</v>
      </c>
      <c r="BF45" s="58">
        <v>2</v>
      </c>
      <c r="BG45" s="58">
        <f t="shared" si="10"/>
        <v>0</v>
      </c>
      <c r="BH45" s="58" t="s">
        <v>605</v>
      </c>
      <c r="BI45" s="58" t="s">
        <v>610</v>
      </c>
      <c r="BJ45" s="60" t="s">
        <v>90</v>
      </c>
      <c r="BK45" s="61">
        <v>1</v>
      </c>
      <c r="BL45" s="62">
        <v>1</v>
      </c>
      <c r="BM45" s="62">
        <f t="shared" si="11"/>
        <v>0</v>
      </c>
      <c r="BN45" s="58" t="s">
        <v>607</v>
      </c>
      <c r="BO45" s="59"/>
      <c r="BP45" s="59">
        <v>25.5</v>
      </c>
      <c r="BQ45" s="63">
        <f t="shared" si="12"/>
        <v>2</v>
      </c>
      <c r="BR45" s="45">
        <v>1</v>
      </c>
      <c r="BS45" s="45">
        <f t="shared" si="13"/>
        <v>0.3010299956639812</v>
      </c>
      <c r="BU45" s="46"/>
      <c r="BV45" s="64">
        <v>1.8333333329999999</v>
      </c>
      <c r="BW45" s="54">
        <f t="shared" si="14"/>
        <v>1</v>
      </c>
      <c r="BX45" s="45">
        <v>1</v>
      </c>
      <c r="BY45" s="45">
        <f t="shared" si="15"/>
        <v>0</v>
      </c>
      <c r="BZ45" s="61" t="s">
        <v>91</v>
      </c>
      <c r="CA45" s="46"/>
      <c r="CB45" s="65">
        <v>23174</v>
      </c>
      <c r="CC45" s="45">
        <v>3</v>
      </c>
      <c r="CD45" s="45">
        <v>2</v>
      </c>
      <c r="CE45" s="45">
        <f t="shared" si="16"/>
        <v>0.95424250943932487</v>
      </c>
      <c r="CG45" s="46"/>
      <c r="CH45" s="66" t="s">
        <v>92</v>
      </c>
      <c r="CI45" s="67">
        <v>3</v>
      </c>
      <c r="CJ45" s="68">
        <v>2</v>
      </c>
      <c r="CK45" s="68">
        <f t="shared" si="17"/>
        <v>0.95424250943932487</v>
      </c>
      <c r="CL45" s="68"/>
      <c r="CM45" s="69"/>
      <c r="CO45" s="70">
        <f t="shared" si="18"/>
        <v>1.8888888888888888</v>
      </c>
      <c r="CQ45" s="45">
        <f t="shared" si="19"/>
        <v>0.24550166828251452</v>
      </c>
      <c r="CR45" s="45">
        <f t="shared" si="20"/>
        <v>1.7599554244151643</v>
      </c>
      <c r="CT45" s="71">
        <f t="shared" si="21"/>
        <v>1.3461426924113953</v>
      </c>
    </row>
    <row r="46" spans="1:98" ht="16">
      <c r="A46" s="36">
        <v>44</v>
      </c>
      <c r="B46" s="37" t="s">
        <v>144</v>
      </c>
      <c r="C46" s="37"/>
      <c r="D46" s="37"/>
      <c r="E46" s="38" t="s">
        <v>296</v>
      </c>
      <c r="F46" s="38" t="s">
        <v>124</v>
      </c>
      <c r="G46" s="38" t="s">
        <v>297</v>
      </c>
      <c r="H46" s="38" t="s">
        <v>83</v>
      </c>
      <c r="I46" s="72">
        <v>3.5</v>
      </c>
      <c r="J46" s="53" t="s">
        <v>88</v>
      </c>
      <c r="K46" s="42">
        <v>0</v>
      </c>
      <c r="L46" s="42">
        <v>3</v>
      </c>
      <c r="M46" s="42">
        <v>1</v>
      </c>
      <c r="N46" s="42">
        <f t="shared" si="0"/>
        <v>3</v>
      </c>
      <c r="O46" s="53"/>
      <c r="P46" s="53"/>
      <c r="Q46" s="43">
        <v>17</v>
      </c>
      <c r="R46" s="44">
        <f t="shared" si="1"/>
        <v>3</v>
      </c>
      <c r="S46" s="45">
        <v>1</v>
      </c>
      <c r="T46" s="45">
        <f t="shared" si="2"/>
        <v>3</v>
      </c>
      <c r="V46" s="46"/>
      <c r="W46" s="58" t="s">
        <v>298</v>
      </c>
      <c r="X46" s="73">
        <v>2.8</v>
      </c>
      <c r="Y46" s="44">
        <f t="shared" si="3"/>
        <v>2</v>
      </c>
      <c r="Z46" s="45">
        <v>1</v>
      </c>
      <c r="AA46" s="45">
        <f t="shared" si="4"/>
        <v>2</v>
      </c>
      <c r="AB46" s="45">
        <v>1</v>
      </c>
      <c r="AD46" s="49" t="s">
        <v>87</v>
      </c>
      <c r="AE46" s="50" t="s">
        <v>88</v>
      </c>
      <c r="AF46" s="50">
        <v>0</v>
      </c>
      <c r="AG46" s="50">
        <v>3</v>
      </c>
      <c r="AH46" s="50">
        <v>2</v>
      </c>
      <c r="AI46" s="50">
        <f t="shared" si="5"/>
        <v>6</v>
      </c>
      <c r="AJ46" s="50">
        <v>1</v>
      </c>
      <c r="AK46" s="51" t="s">
        <v>89</v>
      </c>
      <c r="AL46" s="61">
        <v>6792</v>
      </c>
      <c r="AM46" s="53" t="s">
        <v>88</v>
      </c>
      <c r="AN46" s="42">
        <v>0</v>
      </c>
      <c r="AO46" s="54">
        <f t="shared" si="6"/>
        <v>2</v>
      </c>
      <c r="AP46" s="53">
        <v>2</v>
      </c>
      <c r="AQ46" s="53">
        <f t="shared" si="7"/>
        <v>4</v>
      </c>
      <c r="AR46" s="53"/>
      <c r="AS46" s="55"/>
      <c r="AT46" s="42">
        <v>9.1999999999999993</v>
      </c>
      <c r="AU46" s="42" t="s">
        <v>88</v>
      </c>
      <c r="AV46" s="56">
        <v>0</v>
      </c>
      <c r="AW46" s="44">
        <f t="shared" si="8"/>
        <v>3</v>
      </c>
      <c r="AX46" s="42">
        <v>1</v>
      </c>
      <c r="AY46" s="42">
        <f t="shared" si="9"/>
        <v>3</v>
      </c>
      <c r="AZ46" s="42"/>
      <c r="BA46" s="42"/>
      <c r="BB46" s="57" t="s">
        <v>602</v>
      </c>
      <c r="BC46" s="58" t="s">
        <v>603</v>
      </c>
      <c r="BD46" s="58" t="s">
        <v>604</v>
      </c>
      <c r="BE46" s="59">
        <v>2</v>
      </c>
      <c r="BF46" s="58">
        <v>2</v>
      </c>
      <c r="BG46" s="58">
        <f t="shared" si="10"/>
        <v>0.6020599913279624</v>
      </c>
      <c r="BH46" s="58" t="s">
        <v>605</v>
      </c>
      <c r="BI46" s="58" t="s">
        <v>606</v>
      </c>
      <c r="BJ46" s="60" t="s">
        <v>90</v>
      </c>
      <c r="BK46" s="61">
        <v>1</v>
      </c>
      <c r="BL46" s="62">
        <v>1</v>
      </c>
      <c r="BM46" s="62">
        <f t="shared" si="11"/>
        <v>0</v>
      </c>
      <c r="BN46" s="58" t="s">
        <v>607</v>
      </c>
      <c r="BO46" s="59"/>
      <c r="BP46" s="59">
        <v>9.5</v>
      </c>
      <c r="BQ46" s="63">
        <f t="shared" si="12"/>
        <v>3</v>
      </c>
      <c r="BR46" s="45">
        <v>1</v>
      </c>
      <c r="BS46" s="45">
        <f t="shared" si="13"/>
        <v>0.47712125471966244</v>
      </c>
      <c r="BU46" s="46"/>
      <c r="BV46" s="64">
        <v>1.6666666670000001</v>
      </c>
      <c r="BW46" s="54">
        <f t="shared" si="14"/>
        <v>1</v>
      </c>
      <c r="BX46" s="45">
        <v>1</v>
      </c>
      <c r="BY46" s="45">
        <f t="shared" si="15"/>
        <v>0</v>
      </c>
      <c r="BZ46" s="61" t="s">
        <v>91</v>
      </c>
      <c r="CA46" s="46"/>
      <c r="CB46" s="65">
        <v>22529</v>
      </c>
      <c r="CC46" s="45">
        <v>3</v>
      </c>
      <c r="CD46" s="45">
        <v>2</v>
      </c>
      <c r="CE46" s="45">
        <f t="shared" si="16"/>
        <v>0.95424250943932487</v>
      </c>
      <c r="CG46" s="46"/>
      <c r="CH46" s="66" t="s">
        <v>106</v>
      </c>
      <c r="CI46" s="67">
        <v>3</v>
      </c>
      <c r="CJ46" s="68">
        <v>2</v>
      </c>
      <c r="CK46" s="68">
        <f t="shared" si="17"/>
        <v>0.95424250943932487</v>
      </c>
      <c r="CL46" s="68"/>
      <c r="CM46" s="69"/>
      <c r="CO46" s="70">
        <f t="shared" si="18"/>
        <v>2</v>
      </c>
      <c r="CQ46" s="45">
        <f t="shared" si="19"/>
        <v>0.33196291832514163</v>
      </c>
      <c r="CR46" s="45">
        <f t="shared" si="20"/>
        <v>2.1476470922214639</v>
      </c>
      <c r="CT46" s="71">
        <f t="shared" si="21"/>
        <v>1.5222003311930994</v>
      </c>
    </row>
    <row r="47" spans="1:98" ht="16">
      <c r="A47" s="36">
        <v>45</v>
      </c>
      <c r="B47" s="37"/>
      <c r="C47" s="37"/>
      <c r="D47" s="37"/>
      <c r="E47" s="38" t="s">
        <v>267</v>
      </c>
      <c r="F47" s="38" t="s">
        <v>268</v>
      </c>
      <c r="G47" s="38" t="s">
        <v>269</v>
      </c>
      <c r="H47" s="38" t="s">
        <v>184</v>
      </c>
      <c r="I47" s="72">
        <v>4</v>
      </c>
      <c r="J47" s="53" t="s">
        <v>88</v>
      </c>
      <c r="K47" s="42">
        <v>0</v>
      </c>
      <c r="L47" s="42">
        <v>3</v>
      </c>
      <c r="M47" s="42">
        <v>1</v>
      </c>
      <c r="N47" s="42">
        <f t="shared" si="0"/>
        <v>3</v>
      </c>
      <c r="O47" s="53"/>
      <c r="P47" s="53"/>
      <c r="Q47" s="43">
        <v>3.55</v>
      </c>
      <c r="R47" s="44">
        <f t="shared" si="1"/>
        <v>3</v>
      </c>
      <c r="S47" s="45">
        <v>1</v>
      </c>
      <c r="T47" s="45">
        <f t="shared" si="2"/>
        <v>3</v>
      </c>
      <c r="V47" s="46"/>
      <c r="W47" s="58" t="s">
        <v>200</v>
      </c>
      <c r="X47" s="73">
        <v>3.2</v>
      </c>
      <c r="Y47" s="44">
        <f t="shared" si="3"/>
        <v>2</v>
      </c>
      <c r="Z47" s="45">
        <v>1</v>
      </c>
      <c r="AA47" s="45">
        <f t="shared" si="4"/>
        <v>2</v>
      </c>
      <c r="AB47" s="45">
        <v>1</v>
      </c>
      <c r="AD47" s="49" t="s">
        <v>163</v>
      </c>
      <c r="AE47" s="50" t="s">
        <v>146</v>
      </c>
      <c r="AF47" s="50">
        <v>2</v>
      </c>
      <c r="AG47" s="50">
        <v>3</v>
      </c>
      <c r="AH47" s="50">
        <v>2</v>
      </c>
      <c r="AI47" s="50">
        <f t="shared" si="5"/>
        <v>6</v>
      </c>
      <c r="AJ47" s="50">
        <v>1</v>
      </c>
      <c r="AK47" s="51" t="s">
        <v>186</v>
      </c>
      <c r="AL47" s="61">
        <v>53528</v>
      </c>
      <c r="AM47" s="53" t="s">
        <v>115</v>
      </c>
      <c r="AN47" s="42">
        <v>1</v>
      </c>
      <c r="AO47" s="54">
        <f t="shared" si="6"/>
        <v>3</v>
      </c>
      <c r="AP47" s="53">
        <v>2</v>
      </c>
      <c r="AQ47" s="53">
        <f t="shared" si="7"/>
        <v>6</v>
      </c>
      <c r="AR47" s="53"/>
      <c r="AS47" s="55" t="s">
        <v>668</v>
      </c>
      <c r="AT47" s="53">
        <v>36.65</v>
      </c>
      <c r="AU47" s="42" t="s">
        <v>146</v>
      </c>
      <c r="AV47" s="44">
        <v>2</v>
      </c>
      <c r="AW47" s="44">
        <f t="shared" si="8"/>
        <v>1</v>
      </c>
      <c r="AX47" s="42">
        <v>1</v>
      </c>
      <c r="AY47" s="42">
        <f t="shared" si="9"/>
        <v>1</v>
      </c>
      <c r="AZ47" s="42" t="s">
        <v>270</v>
      </c>
      <c r="BA47" s="53" t="s">
        <v>669</v>
      </c>
      <c r="BB47" s="57" t="s">
        <v>602</v>
      </c>
      <c r="BC47" s="58" t="s">
        <v>603</v>
      </c>
      <c r="BD47" s="58" t="s">
        <v>604</v>
      </c>
      <c r="BE47" s="59">
        <v>2</v>
      </c>
      <c r="BF47" s="58">
        <v>2</v>
      </c>
      <c r="BG47" s="58">
        <f t="shared" si="10"/>
        <v>0.6020599913279624</v>
      </c>
      <c r="BH47" s="58" t="s">
        <v>605</v>
      </c>
      <c r="BI47" s="58" t="s">
        <v>606</v>
      </c>
      <c r="BJ47" s="60" t="s">
        <v>90</v>
      </c>
      <c r="BK47" s="61">
        <v>1</v>
      </c>
      <c r="BL47" s="62">
        <v>1</v>
      </c>
      <c r="BM47" s="62">
        <f t="shared" si="11"/>
        <v>0</v>
      </c>
      <c r="BN47" s="58" t="s">
        <v>607</v>
      </c>
      <c r="BO47" s="59"/>
      <c r="BP47" s="59">
        <v>7.5</v>
      </c>
      <c r="BQ47" s="63">
        <f t="shared" si="12"/>
        <v>3</v>
      </c>
      <c r="BR47" s="45">
        <v>1</v>
      </c>
      <c r="BS47" s="45">
        <f t="shared" si="13"/>
        <v>0.47712125471966244</v>
      </c>
      <c r="BU47" s="46"/>
      <c r="BV47" s="64">
        <v>1.5</v>
      </c>
      <c r="BW47" s="54">
        <f t="shared" si="14"/>
        <v>1</v>
      </c>
      <c r="BX47" s="45">
        <v>1</v>
      </c>
      <c r="BY47" s="45">
        <f t="shared" si="15"/>
        <v>0</v>
      </c>
      <c r="BZ47" s="61" t="s">
        <v>99</v>
      </c>
      <c r="CA47" s="46"/>
      <c r="CB47" s="65">
        <v>21476</v>
      </c>
      <c r="CC47" s="45">
        <v>3</v>
      </c>
      <c r="CD47" s="45">
        <v>2</v>
      </c>
      <c r="CE47" s="45">
        <f t="shared" si="16"/>
        <v>0.95424250943932487</v>
      </c>
      <c r="CG47" s="46"/>
      <c r="CH47" s="66" t="s">
        <v>92</v>
      </c>
      <c r="CI47" s="67">
        <v>3</v>
      </c>
      <c r="CJ47" s="68">
        <v>2</v>
      </c>
      <c r="CK47" s="68">
        <f t="shared" si="17"/>
        <v>0.95424250943932487</v>
      </c>
      <c r="CL47" s="68"/>
      <c r="CM47" s="69"/>
      <c r="CO47" s="70">
        <f t="shared" si="18"/>
        <v>2</v>
      </c>
      <c r="CQ47" s="45">
        <f t="shared" si="19"/>
        <v>0.33196291832514163</v>
      </c>
      <c r="CR47" s="45">
        <f t="shared" si="20"/>
        <v>2.1476470922214639</v>
      </c>
      <c r="CT47" s="71">
        <f t="shared" si="21"/>
        <v>1.5222003311930994</v>
      </c>
    </row>
    <row r="48" spans="1:98" ht="16">
      <c r="A48" s="36">
        <v>46</v>
      </c>
      <c r="B48" s="37"/>
      <c r="C48" s="37"/>
      <c r="D48" s="37"/>
      <c r="E48" s="38" t="s">
        <v>515</v>
      </c>
      <c r="F48" s="38" t="s">
        <v>268</v>
      </c>
      <c r="G48" s="38" t="s">
        <v>516</v>
      </c>
      <c r="H48" s="38" t="s">
        <v>184</v>
      </c>
      <c r="I48" s="72">
        <v>6.5</v>
      </c>
      <c r="J48" s="53" t="s">
        <v>88</v>
      </c>
      <c r="K48" s="42">
        <v>0</v>
      </c>
      <c r="L48" s="42">
        <v>2</v>
      </c>
      <c r="M48" s="42">
        <v>1</v>
      </c>
      <c r="N48" s="42">
        <f t="shared" si="0"/>
        <v>2</v>
      </c>
      <c r="O48" s="53"/>
      <c r="P48" s="53"/>
      <c r="Q48" s="43">
        <v>3.5</v>
      </c>
      <c r="R48" s="44">
        <f t="shared" si="1"/>
        <v>3</v>
      </c>
      <c r="S48" s="45">
        <v>1</v>
      </c>
      <c r="T48" s="45">
        <f t="shared" si="2"/>
        <v>3</v>
      </c>
      <c r="V48" s="46"/>
      <c r="W48" s="58" t="s">
        <v>200</v>
      </c>
      <c r="X48" s="73">
        <v>3.2</v>
      </c>
      <c r="Y48" s="44">
        <f t="shared" si="3"/>
        <v>2</v>
      </c>
      <c r="Z48" s="45">
        <v>1</v>
      </c>
      <c r="AA48" s="45">
        <f t="shared" si="4"/>
        <v>2</v>
      </c>
      <c r="AB48" s="45">
        <v>1</v>
      </c>
      <c r="AD48" s="49" t="s">
        <v>163</v>
      </c>
      <c r="AE48" s="50" t="s">
        <v>146</v>
      </c>
      <c r="AF48" s="50">
        <v>2</v>
      </c>
      <c r="AG48" s="50">
        <v>3</v>
      </c>
      <c r="AH48" s="50">
        <v>2</v>
      </c>
      <c r="AI48" s="50">
        <f t="shared" si="5"/>
        <v>6</v>
      </c>
      <c r="AJ48" s="50">
        <v>1</v>
      </c>
      <c r="AK48" s="51" t="s">
        <v>186</v>
      </c>
      <c r="AL48" s="61">
        <v>47575</v>
      </c>
      <c r="AM48" s="53" t="s">
        <v>88</v>
      </c>
      <c r="AN48" s="42">
        <v>0</v>
      </c>
      <c r="AO48" s="54">
        <f t="shared" si="6"/>
        <v>3</v>
      </c>
      <c r="AP48" s="53">
        <v>2</v>
      </c>
      <c r="AQ48" s="53">
        <f t="shared" si="7"/>
        <v>6</v>
      </c>
      <c r="AR48" s="53"/>
      <c r="AS48" s="55"/>
      <c r="AT48" s="53">
        <v>36.65</v>
      </c>
      <c r="AU48" s="42" t="s">
        <v>146</v>
      </c>
      <c r="AV48" s="44">
        <v>2</v>
      </c>
      <c r="AW48" s="44">
        <f t="shared" si="8"/>
        <v>1</v>
      </c>
      <c r="AX48" s="42">
        <v>1</v>
      </c>
      <c r="AY48" s="42">
        <f t="shared" si="9"/>
        <v>1</v>
      </c>
      <c r="AZ48" s="42" t="s">
        <v>270</v>
      </c>
      <c r="BA48" s="53" t="s">
        <v>669</v>
      </c>
      <c r="BB48" s="57" t="s">
        <v>602</v>
      </c>
      <c r="BC48" s="58" t="s">
        <v>603</v>
      </c>
      <c r="BD48" s="58" t="s">
        <v>604</v>
      </c>
      <c r="BE48" s="59">
        <v>2</v>
      </c>
      <c r="BF48" s="58">
        <v>2</v>
      </c>
      <c r="BG48" s="58">
        <f t="shared" si="10"/>
        <v>0.6020599913279624</v>
      </c>
      <c r="BH48" s="58" t="s">
        <v>605</v>
      </c>
      <c r="BI48" s="58" t="s">
        <v>606</v>
      </c>
      <c r="BJ48" s="60" t="s">
        <v>90</v>
      </c>
      <c r="BK48" s="61">
        <v>1</v>
      </c>
      <c r="BL48" s="62">
        <v>1</v>
      </c>
      <c r="BM48" s="62">
        <f t="shared" si="11"/>
        <v>0</v>
      </c>
      <c r="BN48" s="58" t="s">
        <v>607</v>
      </c>
      <c r="BO48" s="59"/>
      <c r="BP48" s="59">
        <v>8</v>
      </c>
      <c r="BQ48" s="63">
        <f t="shared" si="12"/>
        <v>3</v>
      </c>
      <c r="BR48" s="45">
        <v>1</v>
      </c>
      <c r="BS48" s="45">
        <f t="shared" si="13"/>
        <v>0.47712125471966244</v>
      </c>
      <c r="BU48" s="46"/>
      <c r="BV48" s="64">
        <v>1.3333333329999999</v>
      </c>
      <c r="BW48" s="54">
        <f t="shared" si="14"/>
        <v>1</v>
      </c>
      <c r="BX48" s="45">
        <v>1</v>
      </c>
      <c r="BY48" s="45">
        <f t="shared" si="15"/>
        <v>0</v>
      </c>
      <c r="BZ48" s="61" t="s">
        <v>91</v>
      </c>
      <c r="CA48" s="46"/>
      <c r="CB48" s="65">
        <v>21300</v>
      </c>
      <c r="CC48" s="45">
        <v>3</v>
      </c>
      <c r="CD48" s="45">
        <v>2</v>
      </c>
      <c r="CE48" s="45">
        <f t="shared" si="16"/>
        <v>0.95424250943932487</v>
      </c>
      <c r="CG48" s="46"/>
      <c r="CH48" s="66" t="s">
        <v>92</v>
      </c>
      <c r="CI48" s="67">
        <v>3</v>
      </c>
      <c r="CJ48" s="68">
        <v>2</v>
      </c>
      <c r="CK48" s="68">
        <f t="shared" si="17"/>
        <v>0.95424250943932487</v>
      </c>
      <c r="CL48" s="68"/>
      <c r="CM48" s="69"/>
      <c r="CO48" s="70">
        <f t="shared" si="18"/>
        <v>2</v>
      </c>
      <c r="CQ48" s="45">
        <f t="shared" si="19"/>
        <v>0.33196291832514163</v>
      </c>
      <c r="CR48" s="45">
        <f t="shared" si="20"/>
        <v>2.1476470922214639</v>
      </c>
      <c r="CT48" s="71">
        <f t="shared" si="21"/>
        <v>1.5222003311930994</v>
      </c>
    </row>
    <row r="49" spans="1:98" ht="16">
      <c r="A49" s="36">
        <v>47</v>
      </c>
      <c r="B49" s="37"/>
      <c r="C49" s="37"/>
      <c r="D49" s="37"/>
      <c r="E49" s="38" t="s">
        <v>315</v>
      </c>
      <c r="F49" s="38" t="s">
        <v>316</v>
      </c>
      <c r="G49" s="38" t="s">
        <v>317</v>
      </c>
      <c r="H49" s="38" t="s">
        <v>318</v>
      </c>
      <c r="I49" s="72">
        <v>10</v>
      </c>
      <c r="J49" s="53" t="s">
        <v>88</v>
      </c>
      <c r="K49" s="42">
        <v>0</v>
      </c>
      <c r="L49" s="42">
        <v>2</v>
      </c>
      <c r="M49" s="42">
        <v>1</v>
      </c>
      <c r="N49" s="42">
        <f t="shared" si="0"/>
        <v>2</v>
      </c>
      <c r="O49" s="214" t="s">
        <v>670</v>
      </c>
      <c r="P49" s="53" t="s">
        <v>671</v>
      </c>
      <c r="Q49" s="43">
        <v>21.5</v>
      </c>
      <c r="R49" s="44">
        <f t="shared" si="1"/>
        <v>3</v>
      </c>
      <c r="S49" s="45">
        <v>1</v>
      </c>
      <c r="T49" s="45">
        <f t="shared" si="2"/>
        <v>3</v>
      </c>
      <c r="V49" s="46"/>
      <c r="W49" s="58" t="s">
        <v>319</v>
      </c>
      <c r="X49" s="73">
        <v>4</v>
      </c>
      <c r="Y49" s="44">
        <f t="shared" si="3"/>
        <v>1</v>
      </c>
      <c r="Z49" s="45">
        <v>1</v>
      </c>
      <c r="AA49" s="45">
        <f t="shared" si="4"/>
        <v>1</v>
      </c>
      <c r="AB49" s="45">
        <v>1</v>
      </c>
      <c r="AD49" s="49" t="s">
        <v>320</v>
      </c>
      <c r="AE49" s="50" t="s">
        <v>88</v>
      </c>
      <c r="AF49" s="50">
        <v>0</v>
      </c>
      <c r="AG49" s="50">
        <v>3</v>
      </c>
      <c r="AH49" s="50">
        <v>2</v>
      </c>
      <c r="AI49" s="50">
        <f t="shared" si="5"/>
        <v>6</v>
      </c>
      <c r="AJ49" s="50">
        <v>1</v>
      </c>
      <c r="AK49" s="51" t="s">
        <v>135</v>
      </c>
      <c r="AL49" s="61">
        <v>12000</v>
      </c>
      <c r="AM49" s="53" t="s">
        <v>88</v>
      </c>
      <c r="AN49" s="42">
        <v>0</v>
      </c>
      <c r="AO49" s="54">
        <f t="shared" si="6"/>
        <v>2</v>
      </c>
      <c r="AP49" s="53">
        <v>2</v>
      </c>
      <c r="AQ49" s="53">
        <f t="shared" si="7"/>
        <v>4</v>
      </c>
      <c r="AR49" s="53"/>
      <c r="AS49" s="55"/>
      <c r="AT49" s="53">
        <v>26.8</v>
      </c>
      <c r="AU49" s="42" t="s">
        <v>115</v>
      </c>
      <c r="AV49" s="44">
        <v>1</v>
      </c>
      <c r="AW49" s="44">
        <f t="shared" si="8"/>
        <v>2</v>
      </c>
      <c r="AX49" s="42">
        <v>1</v>
      </c>
      <c r="AY49" s="42">
        <f t="shared" si="9"/>
        <v>2</v>
      </c>
      <c r="AZ49" s="42"/>
      <c r="BA49" s="77" t="s">
        <v>672</v>
      </c>
      <c r="BB49" s="57" t="s">
        <v>602</v>
      </c>
      <c r="BC49" s="58" t="s">
        <v>603</v>
      </c>
      <c r="BD49" s="58" t="s">
        <v>609</v>
      </c>
      <c r="BE49" s="59">
        <v>1</v>
      </c>
      <c r="BF49" s="58">
        <v>2</v>
      </c>
      <c r="BG49" s="58">
        <f t="shared" si="10"/>
        <v>0</v>
      </c>
      <c r="BH49" s="58" t="s">
        <v>605</v>
      </c>
      <c r="BI49" s="58" t="s">
        <v>610</v>
      </c>
      <c r="BJ49" s="60" t="s">
        <v>90</v>
      </c>
      <c r="BK49" s="61">
        <v>1</v>
      </c>
      <c r="BL49" s="62">
        <v>1</v>
      </c>
      <c r="BM49" s="62">
        <f t="shared" si="11"/>
        <v>0</v>
      </c>
      <c r="BN49" s="58" t="s">
        <v>607</v>
      </c>
      <c r="BO49" s="59"/>
      <c r="BP49" s="59">
        <v>39.5</v>
      </c>
      <c r="BQ49" s="63">
        <f t="shared" si="12"/>
        <v>1</v>
      </c>
      <c r="BR49" s="45">
        <v>1</v>
      </c>
      <c r="BS49" s="45">
        <f t="shared" si="13"/>
        <v>0</v>
      </c>
      <c r="BU49" s="46"/>
      <c r="BV49" s="64">
        <v>2.125</v>
      </c>
      <c r="BW49" s="54">
        <f t="shared" si="14"/>
        <v>1</v>
      </c>
      <c r="BX49" s="45">
        <v>1</v>
      </c>
      <c r="BY49" s="45">
        <f t="shared" si="15"/>
        <v>0</v>
      </c>
      <c r="BZ49" s="61" t="s">
        <v>91</v>
      </c>
      <c r="CA49" s="46"/>
      <c r="CB49" s="65">
        <v>20380</v>
      </c>
      <c r="CC49" s="45">
        <v>3</v>
      </c>
      <c r="CD49" s="45">
        <v>2</v>
      </c>
      <c r="CE49" s="45">
        <f t="shared" si="16"/>
        <v>0.95424250943932487</v>
      </c>
      <c r="CG49" s="46"/>
      <c r="CH49" s="66" t="s">
        <v>92</v>
      </c>
      <c r="CI49" s="67">
        <v>3</v>
      </c>
      <c r="CJ49" s="68">
        <v>2</v>
      </c>
      <c r="CK49" s="68">
        <f t="shared" si="17"/>
        <v>0.95424250943932487</v>
      </c>
      <c r="CL49" s="68"/>
      <c r="CM49" s="69"/>
      <c r="CO49" s="70">
        <f t="shared" si="18"/>
        <v>1.7777777777777777</v>
      </c>
      <c r="CQ49" s="45">
        <f t="shared" si="19"/>
        <v>0.21205389098651664</v>
      </c>
      <c r="CR49" s="45">
        <f t="shared" si="20"/>
        <v>1.6294982222188463</v>
      </c>
      <c r="CT49" s="71">
        <f t="shared" si="21"/>
        <v>1.374807321871147</v>
      </c>
    </row>
    <row r="50" spans="1:98" ht="16">
      <c r="A50" s="36">
        <v>48</v>
      </c>
      <c r="B50" s="37"/>
      <c r="C50" s="37"/>
      <c r="D50" s="37"/>
      <c r="E50" s="38" t="s">
        <v>274</v>
      </c>
      <c r="F50" s="38" t="s">
        <v>275</v>
      </c>
      <c r="G50" s="38" t="s">
        <v>276</v>
      </c>
      <c r="H50" s="38" t="s">
        <v>277</v>
      </c>
      <c r="I50" s="72">
        <v>7.5</v>
      </c>
      <c r="J50" s="53" t="s">
        <v>88</v>
      </c>
      <c r="K50" s="42">
        <v>0</v>
      </c>
      <c r="L50" s="42">
        <v>2</v>
      </c>
      <c r="M50" s="42">
        <v>1</v>
      </c>
      <c r="N50" s="42">
        <f t="shared" si="0"/>
        <v>2</v>
      </c>
      <c r="O50" s="53"/>
      <c r="P50" s="53"/>
      <c r="Q50" s="43">
        <v>50</v>
      </c>
      <c r="R50" s="44">
        <f t="shared" si="1"/>
        <v>2</v>
      </c>
      <c r="S50" s="45">
        <v>1</v>
      </c>
      <c r="T50" s="45">
        <f t="shared" si="2"/>
        <v>2</v>
      </c>
      <c r="V50" s="46"/>
      <c r="W50" s="58" t="s">
        <v>278</v>
      </c>
      <c r="X50" s="73">
        <v>3.2</v>
      </c>
      <c r="Y50" s="44">
        <f t="shared" si="3"/>
        <v>2</v>
      </c>
      <c r="Z50" s="45">
        <v>1</v>
      </c>
      <c r="AA50" s="45">
        <f t="shared" si="4"/>
        <v>2</v>
      </c>
      <c r="AB50" s="45">
        <v>1</v>
      </c>
      <c r="AD50" s="49" t="s">
        <v>279</v>
      </c>
      <c r="AE50" s="50" t="s">
        <v>88</v>
      </c>
      <c r="AF50" s="50">
        <v>0</v>
      </c>
      <c r="AG50" s="50">
        <v>3</v>
      </c>
      <c r="AH50" s="50">
        <v>2</v>
      </c>
      <c r="AI50" s="50">
        <f t="shared" si="5"/>
        <v>6</v>
      </c>
      <c r="AJ50" s="50">
        <v>1</v>
      </c>
      <c r="AK50" s="51" t="s">
        <v>114</v>
      </c>
      <c r="AL50" s="61">
        <v>164442</v>
      </c>
      <c r="AM50" s="53" t="s">
        <v>88</v>
      </c>
      <c r="AN50" s="42">
        <v>0</v>
      </c>
      <c r="AO50" s="54">
        <f t="shared" si="6"/>
        <v>3</v>
      </c>
      <c r="AP50" s="53">
        <v>2</v>
      </c>
      <c r="AQ50" s="53">
        <f t="shared" si="7"/>
        <v>6</v>
      </c>
      <c r="AR50" s="53"/>
      <c r="AS50" s="55"/>
      <c r="AT50" s="42">
        <v>51.3</v>
      </c>
      <c r="AU50" s="42" t="s">
        <v>146</v>
      </c>
      <c r="AV50" s="44">
        <v>2</v>
      </c>
      <c r="AW50" s="44">
        <f t="shared" si="8"/>
        <v>1</v>
      </c>
      <c r="AX50" s="42">
        <v>1</v>
      </c>
      <c r="AY50" s="42">
        <f t="shared" si="9"/>
        <v>1</v>
      </c>
      <c r="AZ50" s="42" t="s">
        <v>280</v>
      </c>
      <c r="BA50" s="53" t="s">
        <v>673</v>
      </c>
      <c r="BB50" s="57" t="s">
        <v>602</v>
      </c>
      <c r="BC50" s="58" t="s">
        <v>603</v>
      </c>
      <c r="BD50" s="58" t="s">
        <v>609</v>
      </c>
      <c r="BE50" s="59">
        <v>1</v>
      </c>
      <c r="BF50" s="58">
        <v>2</v>
      </c>
      <c r="BG50" s="58">
        <f t="shared" si="10"/>
        <v>0</v>
      </c>
      <c r="BH50" s="58" t="s">
        <v>605</v>
      </c>
      <c r="BI50" s="58" t="s">
        <v>610</v>
      </c>
      <c r="BJ50" s="60" t="s">
        <v>90</v>
      </c>
      <c r="BK50" s="61">
        <v>1</v>
      </c>
      <c r="BL50" s="62">
        <v>1</v>
      </c>
      <c r="BM50" s="62">
        <f t="shared" si="11"/>
        <v>0</v>
      </c>
      <c r="BN50" s="58" t="s">
        <v>607</v>
      </c>
      <c r="BO50" s="59"/>
      <c r="BP50" s="59">
        <v>22.5</v>
      </c>
      <c r="BQ50" s="63">
        <f t="shared" si="12"/>
        <v>2</v>
      </c>
      <c r="BR50" s="45">
        <v>1</v>
      </c>
      <c r="BS50" s="45">
        <f t="shared" si="13"/>
        <v>0.3010299956639812</v>
      </c>
      <c r="BU50" s="46"/>
      <c r="BV50" s="64">
        <v>1.375</v>
      </c>
      <c r="BW50" s="54">
        <f t="shared" si="14"/>
        <v>1</v>
      </c>
      <c r="BX50" s="45">
        <v>1</v>
      </c>
      <c r="BY50" s="45">
        <f t="shared" si="15"/>
        <v>0</v>
      </c>
      <c r="BZ50" s="61" t="s">
        <v>91</v>
      </c>
      <c r="CA50" s="46"/>
      <c r="CB50" s="65">
        <v>20171</v>
      </c>
      <c r="CC50" s="45">
        <v>3</v>
      </c>
      <c r="CD50" s="45">
        <v>2</v>
      </c>
      <c r="CE50" s="45">
        <f t="shared" si="16"/>
        <v>0.95424250943932487</v>
      </c>
      <c r="CG50" s="46"/>
      <c r="CH50" s="66" t="s">
        <v>216</v>
      </c>
      <c r="CI50" s="85">
        <v>3</v>
      </c>
      <c r="CJ50" s="68">
        <v>2</v>
      </c>
      <c r="CK50" s="68">
        <f t="shared" si="17"/>
        <v>0.95424250943932487</v>
      </c>
      <c r="CL50" s="68"/>
      <c r="CM50" s="69"/>
      <c r="CO50" s="70">
        <f t="shared" si="18"/>
        <v>1.8888888888888888</v>
      </c>
      <c r="CQ50" s="45">
        <f t="shared" si="19"/>
        <v>0.24550166828251452</v>
      </c>
      <c r="CR50" s="45">
        <f t="shared" si="20"/>
        <v>1.7599554244151643</v>
      </c>
      <c r="CT50" s="71">
        <f t="shared" si="21"/>
        <v>1.3461426924113953</v>
      </c>
    </row>
    <row r="51" spans="1:98" ht="16">
      <c r="A51" s="36">
        <v>49</v>
      </c>
      <c r="B51" s="37"/>
      <c r="C51" s="37"/>
      <c r="D51" s="37"/>
      <c r="E51" s="38" t="s">
        <v>469</v>
      </c>
      <c r="F51" s="38" t="s">
        <v>218</v>
      </c>
      <c r="G51" s="38" t="s">
        <v>470</v>
      </c>
      <c r="H51" s="38" t="s">
        <v>83</v>
      </c>
      <c r="I51" s="72">
        <v>6</v>
      </c>
      <c r="J51" s="53" t="s">
        <v>88</v>
      </c>
      <c r="K51" s="42">
        <v>0</v>
      </c>
      <c r="L51" s="42">
        <v>2</v>
      </c>
      <c r="M51" s="42">
        <v>1</v>
      </c>
      <c r="N51" s="42">
        <f t="shared" si="0"/>
        <v>2</v>
      </c>
      <c r="O51" s="214" t="s">
        <v>674</v>
      </c>
      <c r="P51" s="53" t="s">
        <v>665</v>
      </c>
      <c r="Q51" s="43">
        <v>15.33333333</v>
      </c>
      <c r="R51" s="44">
        <f t="shared" si="1"/>
        <v>3</v>
      </c>
      <c r="S51" s="45">
        <v>1</v>
      </c>
      <c r="T51" s="45">
        <f t="shared" si="2"/>
        <v>3</v>
      </c>
      <c r="V51" s="46"/>
      <c r="W51" s="58" t="s">
        <v>258</v>
      </c>
      <c r="X51" s="73">
        <v>2.7</v>
      </c>
      <c r="Y51" s="44">
        <f t="shared" si="3"/>
        <v>2</v>
      </c>
      <c r="Z51" s="45">
        <v>1</v>
      </c>
      <c r="AA51" s="45">
        <f t="shared" si="4"/>
        <v>2</v>
      </c>
      <c r="AB51" s="45">
        <v>1</v>
      </c>
      <c r="AD51" s="49" t="s">
        <v>87</v>
      </c>
      <c r="AE51" s="50" t="s">
        <v>88</v>
      </c>
      <c r="AF51" s="50">
        <v>0</v>
      </c>
      <c r="AG51" s="50">
        <v>3</v>
      </c>
      <c r="AH51" s="50">
        <v>2</v>
      </c>
      <c r="AI51" s="50">
        <f t="shared" si="5"/>
        <v>6</v>
      </c>
      <c r="AJ51" s="50">
        <v>1</v>
      </c>
      <c r="AK51" s="51" t="s">
        <v>89</v>
      </c>
      <c r="AL51" s="61">
        <v>20000</v>
      </c>
      <c r="AM51" s="53" t="s">
        <v>88</v>
      </c>
      <c r="AN51" s="42">
        <v>0</v>
      </c>
      <c r="AO51" s="54">
        <f t="shared" si="6"/>
        <v>3</v>
      </c>
      <c r="AP51" s="53">
        <v>2</v>
      </c>
      <c r="AQ51" s="53">
        <f t="shared" si="7"/>
        <v>6</v>
      </c>
      <c r="AR51" s="53"/>
      <c r="AS51" s="55"/>
      <c r="AT51" s="42">
        <v>15.45</v>
      </c>
      <c r="AU51" s="42" t="s">
        <v>115</v>
      </c>
      <c r="AV51" s="44">
        <v>1</v>
      </c>
      <c r="AW51" s="44">
        <f t="shared" si="8"/>
        <v>2</v>
      </c>
      <c r="AX51" s="42">
        <v>1</v>
      </c>
      <c r="AY51" s="42">
        <f t="shared" si="9"/>
        <v>2</v>
      </c>
      <c r="AZ51" s="42" t="s">
        <v>471</v>
      </c>
      <c r="BA51" s="53" t="s">
        <v>675</v>
      </c>
      <c r="BB51" s="57" t="s">
        <v>602</v>
      </c>
      <c r="BC51" s="58" t="s">
        <v>603</v>
      </c>
      <c r="BD51" s="58" t="s">
        <v>609</v>
      </c>
      <c r="BE51" s="59">
        <v>1</v>
      </c>
      <c r="BF51" s="58">
        <v>2</v>
      </c>
      <c r="BG51" s="58">
        <f t="shared" si="10"/>
        <v>0</v>
      </c>
      <c r="BH51" s="58" t="s">
        <v>605</v>
      </c>
      <c r="BI51" s="58" t="s">
        <v>610</v>
      </c>
      <c r="BJ51" s="60" t="s">
        <v>90</v>
      </c>
      <c r="BK51" s="61">
        <v>1</v>
      </c>
      <c r="BL51" s="62">
        <v>1</v>
      </c>
      <c r="BM51" s="62">
        <f t="shared" si="11"/>
        <v>0</v>
      </c>
      <c r="BN51" s="58" t="s">
        <v>607</v>
      </c>
      <c r="BO51" s="86"/>
      <c r="BP51" s="86">
        <v>2</v>
      </c>
      <c r="BQ51" s="63">
        <f t="shared" si="12"/>
        <v>3</v>
      </c>
      <c r="BR51" s="45">
        <v>1</v>
      </c>
      <c r="BS51" s="45">
        <f t="shared" si="13"/>
        <v>0.47712125471966244</v>
      </c>
      <c r="BU51" s="46"/>
      <c r="BV51" s="64">
        <v>1.6666666670000001</v>
      </c>
      <c r="BW51" s="54">
        <f t="shared" si="14"/>
        <v>1</v>
      </c>
      <c r="BX51" s="45">
        <v>1</v>
      </c>
      <c r="BY51" s="45">
        <f t="shared" si="15"/>
        <v>0</v>
      </c>
      <c r="BZ51" s="61" t="s">
        <v>273</v>
      </c>
      <c r="CA51" s="46"/>
      <c r="CB51" s="65">
        <v>19579</v>
      </c>
      <c r="CC51" s="45">
        <v>3</v>
      </c>
      <c r="CD51" s="45">
        <v>2</v>
      </c>
      <c r="CE51" s="45">
        <f t="shared" si="16"/>
        <v>0.95424250943932487</v>
      </c>
      <c r="CG51" s="46"/>
      <c r="CH51" s="66">
        <v>2</v>
      </c>
      <c r="CI51" s="67">
        <v>3</v>
      </c>
      <c r="CJ51" s="68">
        <v>2</v>
      </c>
      <c r="CK51" s="68">
        <f t="shared" si="17"/>
        <v>0.95424250943932487</v>
      </c>
      <c r="CL51" s="68"/>
      <c r="CM51" s="69"/>
      <c r="CO51" s="70">
        <f t="shared" si="18"/>
        <v>2.1111111111111112</v>
      </c>
      <c r="CQ51" s="45">
        <f t="shared" si="19"/>
        <v>0.26506736373314577</v>
      </c>
      <c r="CR51" s="45">
        <f t="shared" si="20"/>
        <v>1.841057547098748</v>
      </c>
      <c r="CT51" s="71">
        <f t="shared" si="21"/>
        <v>1.2237243375539633</v>
      </c>
    </row>
    <row r="52" spans="1:98" ht="16">
      <c r="A52" s="36">
        <v>50</v>
      </c>
      <c r="B52" s="37"/>
      <c r="C52" s="37"/>
      <c r="D52" s="37"/>
      <c r="E52" s="38" t="s">
        <v>676</v>
      </c>
      <c r="F52" s="38" t="s">
        <v>124</v>
      </c>
      <c r="G52" s="38" t="s">
        <v>677</v>
      </c>
      <c r="H52" s="38" t="s">
        <v>83</v>
      </c>
      <c r="I52" s="72">
        <v>12</v>
      </c>
      <c r="J52" s="53" t="s">
        <v>88</v>
      </c>
      <c r="K52" s="42">
        <v>0</v>
      </c>
      <c r="L52" s="42">
        <v>2</v>
      </c>
      <c r="M52" s="42">
        <v>1</v>
      </c>
      <c r="N52" s="42">
        <f t="shared" si="0"/>
        <v>2</v>
      </c>
      <c r="O52" s="214" t="s">
        <v>678</v>
      </c>
      <c r="P52" s="53" t="s">
        <v>652</v>
      </c>
      <c r="Q52" s="43">
        <v>15.33333333</v>
      </c>
      <c r="R52" s="44">
        <f t="shared" si="1"/>
        <v>3</v>
      </c>
      <c r="S52" s="45">
        <v>1</v>
      </c>
      <c r="T52" s="45">
        <f t="shared" si="2"/>
        <v>3</v>
      </c>
      <c r="V52" s="46"/>
      <c r="W52" s="58" t="s">
        <v>679</v>
      </c>
      <c r="X52" s="73">
        <v>2.7</v>
      </c>
      <c r="Y52" s="44">
        <f t="shared" si="3"/>
        <v>2</v>
      </c>
      <c r="Z52" s="45">
        <v>1</v>
      </c>
      <c r="AA52" s="45">
        <f t="shared" si="4"/>
        <v>2</v>
      </c>
      <c r="AB52" s="45">
        <v>1</v>
      </c>
      <c r="AD52" s="49" t="s">
        <v>680</v>
      </c>
      <c r="AE52" s="50" t="s">
        <v>88</v>
      </c>
      <c r="AF52" s="50">
        <v>0</v>
      </c>
      <c r="AG52" s="50">
        <v>3</v>
      </c>
      <c r="AH52" s="50">
        <v>2</v>
      </c>
      <c r="AI52" s="50">
        <f t="shared" si="5"/>
        <v>6</v>
      </c>
      <c r="AJ52" s="50">
        <v>1</v>
      </c>
      <c r="AK52" s="51" t="s">
        <v>89</v>
      </c>
      <c r="AL52" s="52">
        <v>12730</v>
      </c>
      <c r="AM52" s="53" t="s">
        <v>115</v>
      </c>
      <c r="AN52" s="42">
        <v>1</v>
      </c>
      <c r="AO52" s="54">
        <f t="shared" si="6"/>
        <v>2</v>
      </c>
      <c r="AP52" s="53">
        <v>2</v>
      </c>
      <c r="AQ52" s="53">
        <f t="shared" si="7"/>
        <v>4</v>
      </c>
      <c r="AR52" s="53"/>
      <c r="AS52" s="55"/>
      <c r="AT52" s="42">
        <v>17</v>
      </c>
      <c r="AU52" s="42" t="s">
        <v>115</v>
      </c>
      <c r="AV52" s="44">
        <v>1</v>
      </c>
      <c r="AW52" s="44">
        <f t="shared" si="8"/>
        <v>2</v>
      </c>
      <c r="AX52" s="42">
        <v>1</v>
      </c>
      <c r="AY52" s="42">
        <f t="shared" si="9"/>
        <v>2</v>
      </c>
      <c r="AZ52" s="42" t="s">
        <v>197</v>
      </c>
      <c r="BA52" s="53" t="s">
        <v>681</v>
      </c>
      <c r="BB52" s="57" t="s">
        <v>602</v>
      </c>
      <c r="BC52" s="58" t="s">
        <v>603</v>
      </c>
      <c r="BD52" s="58" t="s">
        <v>604</v>
      </c>
      <c r="BE52" s="59">
        <v>2</v>
      </c>
      <c r="BF52" s="58">
        <v>2</v>
      </c>
      <c r="BG52" s="58">
        <f t="shared" si="10"/>
        <v>0.6020599913279624</v>
      </c>
      <c r="BH52" s="58" t="s">
        <v>605</v>
      </c>
      <c r="BI52" s="58" t="s">
        <v>606</v>
      </c>
      <c r="BJ52" s="60" t="s">
        <v>90</v>
      </c>
      <c r="BK52" s="61">
        <v>1</v>
      </c>
      <c r="BL52" s="62">
        <v>1</v>
      </c>
      <c r="BM52" s="62">
        <f t="shared" si="11"/>
        <v>0</v>
      </c>
      <c r="BN52" s="58" t="s">
        <v>607</v>
      </c>
      <c r="BO52" s="59"/>
      <c r="BP52" s="59">
        <v>17</v>
      </c>
      <c r="BQ52" s="63">
        <f t="shared" si="12"/>
        <v>2</v>
      </c>
      <c r="BR52" s="45">
        <v>1</v>
      </c>
      <c r="BS52" s="45">
        <f t="shared" si="13"/>
        <v>0.3010299956639812</v>
      </c>
      <c r="BU52" s="46"/>
      <c r="BV52" s="64">
        <v>1.5</v>
      </c>
      <c r="BW52" s="54">
        <f t="shared" si="14"/>
        <v>1</v>
      </c>
      <c r="BX52" s="45">
        <v>1</v>
      </c>
      <c r="BY52" s="45">
        <f t="shared" si="15"/>
        <v>0</v>
      </c>
      <c r="BZ52" s="61" t="s">
        <v>91</v>
      </c>
      <c r="CA52" s="46"/>
      <c r="CB52" s="65">
        <v>18057</v>
      </c>
      <c r="CC52" s="45">
        <v>3</v>
      </c>
      <c r="CD52" s="45">
        <v>2</v>
      </c>
      <c r="CE52" s="45">
        <f t="shared" si="16"/>
        <v>0.95424250943932487</v>
      </c>
      <c r="CG52" s="46"/>
      <c r="CH52" s="66" t="s">
        <v>106</v>
      </c>
      <c r="CI52" s="67">
        <v>3</v>
      </c>
      <c r="CJ52" s="68">
        <v>2</v>
      </c>
      <c r="CK52" s="68">
        <f t="shared" si="17"/>
        <v>0.95424250943932487</v>
      </c>
      <c r="CL52" s="68"/>
      <c r="CM52" s="69"/>
      <c r="CO52" s="70">
        <f t="shared" si="18"/>
        <v>1.8888888888888888</v>
      </c>
      <c r="CQ52" s="45">
        <f t="shared" si="19"/>
        <v>0.31239722287451038</v>
      </c>
      <c r="CR52" s="45">
        <f t="shared" si="20"/>
        <v>2.0530391109397983</v>
      </c>
      <c r="CT52" s="71">
        <f t="shared" si="21"/>
        <v>1.5308361344061125</v>
      </c>
    </row>
    <row r="53" spans="1:98" ht="16">
      <c r="A53" s="36">
        <v>51</v>
      </c>
      <c r="B53" s="37"/>
      <c r="C53" s="37"/>
      <c r="D53" s="37"/>
      <c r="E53" s="38" t="s">
        <v>682</v>
      </c>
      <c r="F53" s="38" t="s">
        <v>222</v>
      </c>
      <c r="G53" s="38" t="s">
        <v>683</v>
      </c>
      <c r="H53" s="38" t="s">
        <v>224</v>
      </c>
      <c r="I53" s="72">
        <v>3.5</v>
      </c>
      <c r="J53" s="53" t="s">
        <v>88</v>
      </c>
      <c r="K53" s="42">
        <v>0</v>
      </c>
      <c r="L53" s="42">
        <v>3</v>
      </c>
      <c r="M53" s="42">
        <v>1</v>
      </c>
      <c r="N53" s="42">
        <f t="shared" si="0"/>
        <v>3</v>
      </c>
      <c r="O53" s="53"/>
      <c r="P53" s="53"/>
      <c r="Q53" s="43">
        <v>7</v>
      </c>
      <c r="R53" s="44">
        <f t="shared" si="1"/>
        <v>3</v>
      </c>
      <c r="S53" s="45">
        <v>1</v>
      </c>
      <c r="T53" s="45">
        <f t="shared" si="2"/>
        <v>3</v>
      </c>
      <c r="V53" s="46"/>
      <c r="W53" s="58" t="s">
        <v>225</v>
      </c>
      <c r="X53" s="73">
        <v>3.5</v>
      </c>
      <c r="Y53" s="44">
        <f t="shared" si="3"/>
        <v>2</v>
      </c>
      <c r="Z53" s="45">
        <v>1</v>
      </c>
      <c r="AA53" s="45">
        <f t="shared" si="4"/>
        <v>2</v>
      </c>
      <c r="AB53" s="45">
        <v>1</v>
      </c>
      <c r="AD53" s="49" t="s">
        <v>89</v>
      </c>
      <c r="AE53" s="50" t="s">
        <v>146</v>
      </c>
      <c r="AF53" s="50">
        <v>2</v>
      </c>
      <c r="AG53" s="50">
        <v>3</v>
      </c>
      <c r="AH53" s="50">
        <v>2</v>
      </c>
      <c r="AI53" s="50">
        <f t="shared" si="5"/>
        <v>6</v>
      </c>
      <c r="AJ53" s="50" t="s">
        <v>633</v>
      </c>
      <c r="AK53" s="51" t="s">
        <v>89</v>
      </c>
      <c r="AL53" s="59">
        <v>48960</v>
      </c>
      <c r="AM53" s="53" t="s">
        <v>146</v>
      </c>
      <c r="AN53" s="42">
        <v>2</v>
      </c>
      <c r="AO53" s="54">
        <f t="shared" si="6"/>
        <v>3</v>
      </c>
      <c r="AP53" s="53">
        <v>2</v>
      </c>
      <c r="AQ53" s="53">
        <f t="shared" si="7"/>
        <v>6</v>
      </c>
      <c r="AR53" s="53"/>
      <c r="AS53" s="55"/>
      <c r="AT53" s="42">
        <v>61</v>
      </c>
      <c r="AU53" s="42" t="s">
        <v>115</v>
      </c>
      <c r="AV53" s="44">
        <v>1</v>
      </c>
      <c r="AW53" s="44">
        <f t="shared" si="8"/>
        <v>1</v>
      </c>
      <c r="AX53" s="42">
        <v>1</v>
      </c>
      <c r="AY53" s="42">
        <f t="shared" si="9"/>
        <v>1</v>
      </c>
      <c r="AZ53" s="42" t="s">
        <v>227</v>
      </c>
      <c r="BA53" s="53" t="s">
        <v>228</v>
      </c>
      <c r="BB53" s="57" t="s">
        <v>602</v>
      </c>
      <c r="BC53" s="58" t="s">
        <v>603</v>
      </c>
      <c r="BD53" s="58" t="s">
        <v>609</v>
      </c>
      <c r="BE53" s="59">
        <v>1</v>
      </c>
      <c r="BF53" s="58">
        <v>2</v>
      </c>
      <c r="BG53" s="58">
        <f t="shared" si="10"/>
        <v>0</v>
      </c>
      <c r="BH53" s="58" t="s">
        <v>605</v>
      </c>
      <c r="BI53" s="58" t="s">
        <v>610</v>
      </c>
      <c r="BJ53" s="60" t="s">
        <v>90</v>
      </c>
      <c r="BK53" s="61">
        <v>1</v>
      </c>
      <c r="BL53" s="62">
        <v>1</v>
      </c>
      <c r="BM53" s="62">
        <f t="shared" si="11"/>
        <v>0</v>
      </c>
      <c r="BN53" s="58" t="s">
        <v>607</v>
      </c>
      <c r="BO53" s="59"/>
      <c r="BP53" s="59">
        <v>35.5</v>
      </c>
      <c r="BQ53" s="63">
        <f t="shared" si="12"/>
        <v>1</v>
      </c>
      <c r="BR53" s="45">
        <v>1</v>
      </c>
      <c r="BS53" s="45">
        <f t="shared" si="13"/>
        <v>0</v>
      </c>
      <c r="BU53" s="46"/>
      <c r="BV53" s="64">
        <v>1.6666666670000001</v>
      </c>
      <c r="BW53" s="54">
        <f t="shared" si="14"/>
        <v>1</v>
      </c>
      <c r="BX53" s="45">
        <v>1</v>
      </c>
      <c r="BY53" s="45">
        <f t="shared" si="15"/>
        <v>0</v>
      </c>
      <c r="BZ53" s="61" t="s">
        <v>99</v>
      </c>
      <c r="CA53" s="46"/>
      <c r="CB53" s="65">
        <v>17831</v>
      </c>
      <c r="CC53" s="45">
        <v>3</v>
      </c>
      <c r="CD53" s="45">
        <v>2</v>
      </c>
      <c r="CE53" s="45">
        <f t="shared" si="16"/>
        <v>0.95424250943932487</v>
      </c>
      <c r="CG53" s="46"/>
      <c r="CH53" s="66" t="s">
        <v>92</v>
      </c>
      <c r="CI53" s="67">
        <v>3</v>
      </c>
      <c r="CJ53" s="68">
        <v>2</v>
      </c>
      <c r="CK53" s="68">
        <f t="shared" si="17"/>
        <v>0.95424250943932487</v>
      </c>
      <c r="CL53" s="78"/>
      <c r="CM53" s="79"/>
      <c r="CO53" s="70">
        <f t="shared" si="18"/>
        <v>2</v>
      </c>
      <c r="CQ53" s="45">
        <f t="shared" si="19"/>
        <v>0.21205389098651664</v>
      </c>
      <c r="CR53" s="45">
        <f t="shared" si="20"/>
        <v>1.6294982222188463</v>
      </c>
      <c r="CT53" s="71">
        <f t="shared" si="21"/>
        <v>1.1816378513642358</v>
      </c>
    </row>
    <row r="54" spans="1:98" ht="16">
      <c r="A54" s="36">
        <v>52</v>
      </c>
      <c r="B54" s="37"/>
      <c r="C54" s="37"/>
      <c r="D54" s="37"/>
      <c r="E54" s="38" t="s">
        <v>684</v>
      </c>
      <c r="F54" s="38" t="s">
        <v>130</v>
      </c>
      <c r="G54" s="38" t="s">
        <v>685</v>
      </c>
      <c r="H54" s="38" t="s">
        <v>132</v>
      </c>
      <c r="I54" s="72">
        <v>3.5</v>
      </c>
      <c r="J54" s="53" t="s">
        <v>88</v>
      </c>
      <c r="K54" s="42">
        <v>0</v>
      </c>
      <c r="L54" s="42">
        <v>3</v>
      </c>
      <c r="M54" s="42">
        <v>1</v>
      </c>
      <c r="N54" s="42">
        <f t="shared" si="0"/>
        <v>3</v>
      </c>
      <c r="O54" s="53"/>
      <c r="P54" s="53"/>
      <c r="Q54" s="43">
        <v>7</v>
      </c>
      <c r="R54" s="44">
        <f t="shared" si="1"/>
        <v>3</v>
      </c>
      <c r="S54" s="45">
        <v>1</v>
      </c>
      <c r="T54" s="45">
        <f t="shared" si="2"/>
        <v>3</v>
      </c>
      <c r="V54" s="46"/>
      <c r="W54" s="58" t="s">
        <v>287</v>
      </c>
      <c r="X54" s="73">
        <v>3.5</v>
      </c>
      <c r="Y54" s="44">
        <f t="shared" si="3"/>
        <v>2</v>
      </c>
      <c r="Z54" s="45">
        <v>1</v>
      </c>
      <c r="AA54" s="45">
        <f t="shared" si="4"/>
        <v>2</v>
      </c>
      <c r="AB54" s="45">
        <v>1</v>
      </c>
      <c r="AD54" s="49" t="s">
        <v>163</v>
      </c>
      <c r="AE54" s="50" t="s">
        <v>146</v>
      </c>
      <c r="AF54" s="50">
        <v>2</v>
      </c>
      <c r="AG54" s="50">
        <v>3</v>
      </c>
      <c r="AH54" s="50">
        <v>2</v>
      </c>
      <c r="AI54" s="50">
        <f t="shared" si="5"/>
        <v>6</v>
      </c>
      <c r="AJ54" s="50" t="s">
        <v>645</v>
      </c>
      <c r="AK54" s="51" t="s">
        <v>201</v>
      </c>
      <c r="AL54" s="61">
        <v>5200</v>
      </c>
      <c r="AM54" s="53" t="s">
        <v>88</v>
      </c>
      <c r="AN54" s="42">
        <v>0</v>
      </c>
      <c r="AO54" s="54">
        <f t="shared" si="6"/>
        <v>2</v>
      </c>
      <c r="AP54" s="53">
        <v>2</v>
      </c>
      <c r="AQ54" s="53">
        <f t="shared" si="7"/>
        <v>4</v>
      </c>
      <c r="AR54" s="53"/>
      <c r="AS54" s="55"/>
      <c r="AT54" s="42">
        <v>36</v>
      </c>
      <c r="AU54" s="42" t="s">
        <v>115</v>
      </c>
      <c r="AV54" s="44">
        <v>1</v>
      </c>
      <c r="AW54" s="44">
        <f t="shared" si="8"/>
        <v>1</v>
      </c>
      <c r="AX54" s="42">
        <v>1</v>
      </c>
      <c r="AY54" s="42">
        <f t="shared" si="9"/>
        <v>1</v>
      </c>
      <c r="AZ54" s="42" t="s">
        <v>203</v>
      </c>
      <c r="BA54" s="53" t="s">
        <v>129</v>
      </c>
      <c r="BB54" s="57" t="s">
        <v>642</v>
      </c>
      <c r="BC54" s="58" t="s">
        <v>643</v>
      </c>
      <c r="BD54" s="58" t="s">
        <v>609</v>
      </c>
      <c r="BE54" s="59">
        <v>2</v>
      </c>
      <c r="BF54" s="58">
        <v>2</v>
      </c>
      <c r="BG54" s="58">
        <f t="shared" si="10"/>
        <v>0.6020599913279624</v>
      </c>
      <c r="BH54" s="58" t="s">
        <v>605</v>
      </c>
      <c r="BI54" s="58" t="s">
        <v>644</v>
      </c>
      <c r="BJ54" s="60" t="s">
        <v>90</v>
      </c>
      <c r="BK54" s="61">
        <v>1</v>
      </c>
      <c r="BL54" s="62">
        <v>1</v>
      </c>
      <c r="BM54" s="62">
        <f t="shared" si="11"/>
        <v>0</v>
      </c>
      <c r="BN54" s="58" t="s">
        <v>607</v>
      </c>
      <c r="BO54" s="59"/>
      <c r="BP54" s="59">
        <v>6</v>
      </c>
      <c r="BQ54" s="63">
        <f t="shared" si="12"/>
        <v>3</v>
      </c>
      <c r="BR54" s="45">
        <v>1</v>
      </c>
      <c r="BS54" s="45">
        <f t="shared" si="13"/>
        <v>0.47712125471966244</v>
      </c>
      <c r="BU54" s="46"/>
      <c r="BV54" s="64">
        <v>2.75</v>
      </c>
      <c r="BW54" s="54">
        <f t="shared" si="14"/>
        <v>2</v>
      </c>
      <c r="BX54" s="45">
        <v>1</v>
      </c>
      <c r="BY54" s="45">
        <f t="shared" si="15"/>
        <v>0.3010299956639812</v>
      </c>
      <c r="BZ54" s="61" t="s">
        <v>91</v>
      </c>
      <c r="CA54" s="46"/>
      <c r="CB54" s="65">
        <v>17626</v>
      </c>
      <c r="CC54" s="45">
        <v>3</v>
      </c>
      <c r="CD54" s="45">
        <v>2</v>
      </c>
      <c r="CE54" s="45">
        <f t="shared" si="16"/>
        <v>0.95424250943932487</v>
      </c>
      <c r="CG54" s="46"/>
      <c r="CH54" s="66" t="s">
        <v>137</v>
      </c>
      <c r="CI54" s="67">
        <v>2</v>
      </c>
      <c r="CJ54" s="68">
        <v>2</v>
      </c>
      <c r="CK54" s="68">
        <f t="shared" si="17"/>
        <v>0.6020599913279624</v>
      </c>
      <c r="CL54" s="68"/>
      <c r="CM54" s="69"/>
      <c r="CO54" s="70">
        <f t="shared" si="18"/>
        <v>1.7777777777777777</v>
      </c>
      <c r="CQ54" s="45">
        <f t="shared" si="19"/>
        <v>0.32627930471987709</v>
      </c>
      <c r="CR54" s="45">
        <f t="shared" si="20"/>
        <v>2.1197239399504602</v>
      </c>
      <c r="CT54" s="71">
        <f t="shared" si="21"/>
        <v>1.6575912832155002</v>
      </c>
    </row>
    <row r="55" spans="1:98" ht="16" hidden="1">
      <c r="A55" s="36">
        <v>53</v>
      </c>
      <c r="B55" s="37"/>
      <c r="C55" s="37" t="s">
        <v>144</v>
      </c>
      <c r="D55" s="37" t="s">
        <v>686</v>
      </c>
      <c r="E55" s="38" t="s">
        <v>687</v>
      </c>
      <c r="F55" s="38" t="s">
        <v>130</v>
      </c>
      <c r="G55" s="38" t="s">
        <v>688</v>
      </c>
      <c r="H55" s="38" t="s">
        <v>132</v>
      </c>
      <c r="I55" s="87"/>
      <c r="J55" s="53"/>
      <c r="K55" s="53"/>
      <c r="L55" s="53"/>
      <c r="M55" s="42">
        <v>1</v>
      </c>
      <c r="N55" s="42">
        <f t="shared" si="0"/>
        <v>0</v>
      </c>
      <c r="O55" s="53"/>
      <c r="P55" s="53"/>
      <c r="Q55" s="43"/>
      <c r="R55" s="44" t="str">
        <f>IF(Q55="","***",IF(Q55&lt;5,3,IF(Q55&lt;15,2,1)))</f>
        <v>***</v>
      </c>
      <c r="S55" s="45">
        <v>1</v>
      </c>
      <c r="T55" s="45" t="e">
        <f t="shared" si="2"/>
        <v>#VALUE!</v>
      </c>
      <c r="V55" s="46"/>
      <c r="W55" s="58"/>
      <c r="X55" s="88"/>
      <c r="Y55" s="44" t="str">
        <f t="shared" si="3"/>
        <v>***</v>
      </c>
      <c r="Z55" s="45">
        <v>1</v>
      </c>
      <c r="AA55" s="45" t="e">
        <f t="shared" si="4"/>
        <v>#VALUE!</v>
      </c>
      <c r="AB55" s="45">
        <v>1</v>
      </c>
      <c r="AD55" s="49" t="s">
        <v>163</v>
      </c>
      <c r="AE55" s="50" t="s">
        <v>146</v>
      </c>
      <c r="AF55" s="50">
        <v>2</v>
      </c>
      <c r="AG55" s="50">
        <v>3</v>
      </c>
      <c r="AH55" s="50">
        <v>2</v>
      </c>
      <c r="AI55" s="50">
        <f t="shared" si="5"/>
        <v>6</v>
      </c>
      <c r="AJ55" s="50" t="s">
        <v>645</v>
      </c>
      <c r="AK55" s="51" t="s">
        <v>201</v>
      </c>
      <c r="AL55" s="61"/>
      <c r="AM55" s="53"/>
      <c r="AN55" s="42"/>
      <c r="AO55" s="42"/>
      <c r="AP55" s="53">
        <v>2</v>
      </c>
      <c r="AQ55" s="53">
        <f t="shared" si="7"/>
        <v>0</v>
      </c>
      <c r="AR55" s="53"/>
      <c r="AS55" s="55"/>
      <c r="AT55" s="89"/>
      <c r="AU55" s="89"/>
      <c r="AV55" s="44"/>
      <c r="AW55" s="44" t="str">
        <f t="shared" si="8"/>
        <v>***</v>
      </c>
      <c r="AX55" s="42">
        <v>1</v>
      </c>
      <c r="AY55" s="42" t="e">
        <f t="shared" si="9"/>
        <v>#VALUE!</v>
      </c>
      <c r="AZ55" s="89"/>
      <c r="BA55" s="89"/>
      <c r="BB55" s="57"/>
      <c r="BC55" s="58"/>
      <c r="BD55" s="58"/>
      <c r="BE55" s="58"/>
      <c r="BF55" s="58">
        <v>2</v>
      </c>
      <c r="BG55" s="58" t="e">
        <f t="shared" si="10"/>
        <v>#NUM!</v>
      </c>
      <c r="BH55" s="58" t="s">
        <v>605</v>
      </c>
      <c r="BI55" s="58"/>
      <c r="BJ55" s="60" t="s">
        <v>90</v>
      </c>
      <c r="BK55" s="61">
        <v>1</v>
      </c>
      <c r="BL55" s="62">
        <v>1</v>
      </c>
      <c r="BM55" s="62">
        <f t="shared" si="11"/>
        <v>0</v>
      </c>
      <c r="BN55" s="58" t="s">
        <v>607</v>
      </c>
      <c r="BO55" s="59"/>
      <c r="BP55" s="59"/>
      <c r="BQ55" s="90"/>
      <c r="BR55" s="45">
        <v>1</v>
      </c>
      <c r="BS55" s="45" t="e">
        <f t="shared" si="13"/>
        <v>#NUM!</v>
      </c>
      <c r="BU55" s="46"/>
      <c r="BV55" s="64"/>
      <c r="BW55" s="45"/>
      <c r="BX55" s="45">
        <v>1</v>
      </c>
      <c r="BY55" s="45" t="e">
        <f>BX55*LOG(BV55)</f>
        <v>#NUM!</v>
      </c>
      <c r="BZ55" s="61"/>
      <c r="CA55" s="46"/>
      <c r="CB55" s="65">
        <v>17347</v>
      </c>
      <c r="CC55" s="45">
        <v>3</v>
      </c>
      <c r="CD55" s="45">
        <v>2</v>
      </c>
      <c r="CE55" s="45">
        <f t="shared" si="16"/>
        <v>0.95424250943932487</v>
      </c>
      <c r="CG55" s="46"/>
      <c r="CH55" s="66" t="s">
        <v>137</v>
      </c>
      <c r="CI55" s="67">
        <v>2</v>
      </c>
      <c r="CJ55" s="68">
        <v>1</v>
      </c>
      <c r="CK55" s="68">
        <f t="shared" si="17"/>
        <v>0.3010299956639812</v>
      </c>
      <c r="CL55" s="68"/>
      <c r="CM55" s="69"/>
      <c r="CO55" s="70" t="e">
        <f>(SUM(N55,T55,AA55,AI55,AQ55,AY55)/SUM(M55,S55,Z55,AH55,AP55,AX55,BF55))</f>
        <v>#VALUE!</v>
      </c>
      <c r="CQ55" s="45" t="e">
        <f t="shared" si="19"/>
        <v>#NUM!</v>
      </c>
      <c r="CR55" s="45" t="e">
        <f t="shared" si="20"/>
        <v>#NUM!</v>
      </c>
      <c r="CT55" s="71" t="e">
        <f t="shared" si="21"/>
        <v>#VALUE!</v>
      </c>
    </row>
    <row r="56" spans="1:98" ht="16">
      <c r="A56" s="36">
        <v>54</v>
      </c>
      <c r="B56" s="37"/>
      <c r="C56" s="37"/>
      <c r="D56" s="37"/>
      <c r="E56" s="38" t="s">
        <v>480</v>
      </c>
      <c r="F56" s="38" t="s">
        <v>94</v>
      </c>
      <c r="G56" s="38" t="s">
        <v>481</v>
      </c>
      <c r="H56" s="38" t="s">
        <v>83</v>
      </c>
      <c r="I56" s="72">
        <v>6</v>
      </c>
      <c r="J56" s="53" t="s">
        <v>88</v>
      </c>
      <c r="K56" s="42">
        <v>0</v>
      </c>
      <c r="L56" s="42">
        <v>2</v>
      </c>
      <c r="M56" s="42">
        <v>1</v>
      </c>
      <c r="N56" s="42">
        <f t="shared" si="0"/>
        <v>2</v>
      </c>
      <c r="O56" s="214" t="s">
        <v>689</v>
      </c>
      <c r="P56" s="53" t="s">
        <v>665</v>
      </c>
      <c r="Q56" s="43">
        <v>6</v>
      </c>
      <c r="R56" s="44">
        <f>IF(Q56="","***",IF(Q56&lt;30,3,IF(Q56&gt;60,1,2)))</f>
        <v>3</v>
      </c>
      <c r="S56" s="45">
        <v>1</v>
      </c>
      <c r="T56" s="45">
        <f t="shared" si="2"/>
        <v>3</v>
      </c>
      <c r="V56" s="46"/>
      <c r="W56" s="58" t="s">
        <v>390</v>
      </c>
      <c r="X56" s="73">
        <v>2.8</v>
      </c>
      <c r="Y56" s="44">
        <f t="shared" si="3"/>
        <v>2</v>
      </c>
      <c r="Z56" s="45">
        <v>1</v>
      </c>
      <c r="AA56" s="45">
        <f t="shared" si="4"/>
        <v>2</v>
      </c>
      <c r="AB56" s="45">
        <v>1</v>
      </c>
      <c r="AD56" s="49" t="s">
        <v>87</v>
      </c>
      <c r="AE56" s="50" t="s">
        <v>88</v>
      </c>
      <c r="AF56" s="50">
        <v>0</v>
      </c>
      <c r="AG56" s="50">
        <v>3</v>
      </c>
      <c r="AH56" s="50">
        <v>2</v>
      </c>
      <c r="AI56" s="50">
        <f t="shared" si="5"/>
        <v>6</v>
      </c>
      <c r="AJ56" s="50">
        <v>1</v>
      </c>
      <c r="AK56" s="51" t="s">
        <v>89</v>
      </c>
      <c r="AL56" s="52">
        <v>26408</v>
      </c>
      <c r="AM56" s="53" t="s">
        <v>115</v>
      </c>
      <c r="AN56" s="42">
        <v>1</v>
      </c>
      <c r="AO56" s="54">
        <f>IF(AL56="","***",IF(AL56&gt;15000,3,IF(AL56&lt;1000,1,2)))</f>
        <v>3</v>
      </c>
      <c r="AP56" s="53">
        <v>2</v>
      </c>
      <c r="AQ56" s="53">
        <f t="shared" si="7"/>
        <v>6</v>
      </c>
      <c r="AR56" s="53"/>
      <c r="AS56" s="55"/>
      <c r="AT56" s="42">
        <v>22</v>
      </c>
      <c r="AU56" s="42" t="s">
        <v>88</v>
      </c>
      <c r="AV56" s="56">
        <v>0</v>
      </c>
      <c r="AW56" s="44">
        <f t="shared" si="8"/>
        <v>2</v>
      </c>
      <c r="AX56" s="42">
        <v>1</v>
      </c>
      <c r="AY56" s="42">
        <f t="shared" si="9"/>
        <v>2</v>
      </c>
      <c r="AZ56" s="42"/>
      <c r="BA56" s="42"/>
      <c r="BB56" s="57" t="s">
        <v>602</v>
      </c>
      <c r="BC56" s="58" t="s">
        <v>603</v>
      </c>
      <c r="BD56" s="58" t="s">
        <v>609</v>
      </c>
      <c r="BE56" s="59">
        <v>1</v>
      </c>
      <c r="BF56" s="58">
        <v>2</v>
      </c>
      <c r="BG56" s="58">
        <f t="shared" si="10"/>
        <v>0</v>
      </c>
      <c r="BH56" s="58" t="s">
        <v>605</v>
      </c>
      <c r="BI56" s="58" t="s">
        <v>610</v>
      </c>
      <c r="BJ56" s="60" t="s">
        <v>90</v>
      </c>
      <c r="BK56" s="61">
        <v>1</v>
      </c>
      <c r="BL56" s="62">
        <v>1</v>
      </c>
      <c r="BM56" s="62">
        <f t="shared" si="11"/>
        <v>0</v>
      </c>
      <c r="BN56" s="58" t="s">
        <v>607</v>
      </c>
      <c r="BO56" s="59"/>
      <c r="BP56" s="59">
        <v>19.5</v>
      </c>
      <c r="BQ56" s="63">
        <f>IF(BP56&lt;10,3,IF(BP56&lt;30,2,1))</f>
        <v>2</v>
      </c>
      <c r="BR56" s="45">
        <v>1</v>
      </c>
      <c r="BS56" s="45">
        <f t="shared" si="13"/>
        <v>0.3010299956639812</v>
      </c>
      <c r="BU56" s="46"/>
      <c r="BV56" s="64">
        <v>1.125</v>
      </c>
      <c r="BW56" s="54">
        <f>IF(BV56&lt;2.5,1,IF(BV56&gt;3.5,3,2))</f>
        <v>1</v>
      </c>
      <c r="BX56" s="45">
        <v>1</v>
      </c>
      <c r="BY56" s="45">
        <f>BX56*LOG(BW56)</f>
        <v>0</v>
      </c>
      <c r="BZ56" s="61" t="s">
        <v>99</v>
      </c>
      <c r="CA56" s="46"/>
      <c r="CB56" s="65">
        <v>17082</v>
      </c>
      <c r="CC56" s="45">
        <v>3</v>
      </c>
      <c r="CD56" s="45">
        <v>2</v>
      </c>
      <c r="CE56" s="45">
        <f t="shared" si="16"/>
        <v>0.95424250943932487</v>
      </c>
      <c r="CG56" s="46"/>
      <c r="CH56" s="66" t="s">
        <v>92</v>
      </c>
      <c r="CI56" s="67">
        <v>3</v>
      </c>
      <c r="CJ56" s="68">
        <v>2</v>
      </c>
      <c r="CK56" s="68">
        <f t="shared" si="17"/>
        <v>0.95424250943932487</v>
      </c>
      <c r="CL56" s="68"/>
      <c r="CM56" s="69"/>
      <c r="CO56" s="70">
        <f>(SUM(T56,AA56,AI56,AQ56,AY56)/SUM(S56,Z56,AH56,AP56,AX56,BF56))</f>
        <v>2.1111111111111112</v>
      </c>
      <c r="CQ56" s="45">
        <f t="shared" si="19"/>
        <v>0.24550166828251452</v>
      </c>
      <c r="CR56" s="45">
        <f t="shared" si="20"/>
        <v>1.7599554244151643</v>
      </c>
      <c r="CT56" s="71">
        <f t="shared" si="21"/>
        <v>1.1694681286329081</v>
      </c>
    </row>
    <row r="57" spans="1:98" ht="16">
      <c r="A57" s="36">
        <v>55</v>
      </c>
      <c r="B57" s="37"/>
      <c r="C57" s="37"/>
      <c r="D57" s="37" t="s">
        <v>690</v>
      </c>
      <c r="E57" s="38" t="s">
        <v>281</v>
      </c>
      <c r="F57" s="38" t="s">
        <v>222</v>
      </c>
      <c r="G57" s="38" t="s">
        <v>282</v>
      </c>
      <c r="H57" s="38" t="s">
        <v>224</v>
      </c>
      <c r="I57" s="72">
        <v>4</v>
      </c>
      <c r="J57" s="53" t="s">
        <v>88</v>
      </c>
      <c r="K57" s="42">
        <v>0</v>
      </c>
      <c r="L57" s="42">
        <v>3</v>
      </c>
      <c r="M57" s="42">
        <v>1</v>
      </c>
      <c r="N57" s="42">
        <f t="shared" si="0"/>
        <v>3</v>
      </c>
      <c r="O57" s="53"/>
      <c r="P57" s="53"/>
      <c r="Q57" s="43">
        <v>6.1333333330000004</v>
      </c>
      <c r="R57" s="44">
        <f>IF(Q57="","***",IF(Q57&lt;30,3,IF(Q57&gt;60,1,2)))</f>
        <v>3</v>
      </c>
      <c r="S57" s="45">
        <v>1</v>
      </c>
      <c r="T57" s="45">
        <f t="shared" si="2"/>
        <v>3</v>
      </c>
      <c r="V57" s="46"/>
      <c r="W57" s="58" t="s">
        <v>225</v>
      </c>
      <c r="X57" s="73">
        <v>3.5</v>
      </c>
      <c r="Y57" s="44">
        <f t="shared" si="3"/>
        <v>2</v>
      </c>
      <c r="Z57" s="45">
        <v>1</v>
      </c>
      <c r="AA57" s="45">
        <f t="shared" si="4"/>
        <v>2</v>
      </c>
      <c r="AB57" s="45">
        <v>1</v>
      </c>
      <c r="AD57" s="49" t="s">
        <v>89</v>
      </c>
      <c r="AE57" s="50" t="s">
        <v>146</v>
      </c>
      <c r="AF57" s="50">
        <v>2</v>
      </c>
      <c r="AG57" s="50">
        <v>3</v>
      </c>
      <c r="AH57" s="50">
        <v>2</v>
      </c>
      <c r="AI57" s="50">
        <f t="shared" si="5"/>
        <v>6</v>
      </c>
      <c r="AJ57" s="50" t="s">
        <v>633</v>
      </c>
      <c r="AK57" s="51" t="s">
        <v>89</v>
      </c>
      <c r="AL57" s="59">
        <v>48960</v>
      </c>
      <c r="AM57" s="53" t="s">
        <v>146</v>
      </c>
      <c r="AN57" s="42">
        <v>2</v>
      </c>
      <c r="AO57" s="54">
        <f>IF(AL57="","***",IF(AL57&gt;15000,3,IF(AL57&lt;1000,1,2)))</f>
        <v>3</v>
      </c>
      <c r="AP57" s="53">
        <v>2</v>
      </c>
      <c r="AQ57" s="53">
        <f t="shared" si="7"/>
        <v>6</v>
      </c>
      <c r="AR57" s="53"/>
      <c r="AS57" s="55"/>
      <c r="AT57" s="42">
        <v>61</v>
      </c>
      <c r="AU57" s="42" t="s">
        <v>115</v>
      </c>
      <c r="AV57" s="44">
        <v>1</v>
      </c>
      <c r="AW57" s="44">
        <f t="shared" si="8"/>
        <v>1</v>
      </c>
      <c r="AX57" s="42">
        <v>1</v>
      </c>
      <c r="AY57" s="42">
        <f t="shared" si="9"/>
        <v>1</v>
      </c>
      <c r="AZ57" s="42" t="s">
        <v>227</v>
      </c>
      <c r="BA57" s="53" t="s">
        <v>228</v>
      </c>
      <c r="BB57" s="57" t="s">
        <v>642</v>
      </c>
      <c r="BC57" s="58" t="s">
        <v>643</v>
      </c>
      <c r="BD57" s="58" t="s">
        <v>604</v>
      </c>
      <c r="BE57" s="59">
        <v>3</v>
      </c>
      <c r="BF57" s="58">
        <v>2</v>
      </c>
      <c r="BG57" s="58">
        <f t="shared" si="10"/>
        <v>0.95424250943932487</v>
      </c>
      <c r="BH57" s="58" t="s">
        <v>605</v>
      </c>
      <c r="BI57" s="58" t="s">
        <v>691</v>
      </c>
      <c r="BJ57" s="60" t="s">
        <v>90</v>
      </c>
      <c r="BK57" s="61">
        <v>1</v>
      </c>
      <c r="BL57" s="62">
        <v>1</v>
      </c>
      <c r="BM57" s="62">
        <f t="shared" si="11"/>
        <v>0</v>
      </c>
      <c r="BN57" s="58" t="s">
        <v>607</v>
      </c>
      <c r="BO57" s="59"/>
      <c r="BP57" s="59">
        <v>20</v>
      </c>
      <c r="BQ57" s="63">
        <f>IF(BP57&lt;10,3,IF(BP57&lt;30,2,1))</f>
        <v>2</v>
      </c>
      <c r="BR57" s="45">
        <v>1</v>
      </c>
      <c r="BS57" s="45">
        <f t="shared" si="13"/>
        <v>0.3010299956639812</v>
      </c>
      <c r="BU57" s="46"/>
      <c r="BV57" s="64">
        <v>1.5</v>
      </c>
      <c r="BW57" s="54">
        <f>IF(BV57&lt;2.5,1,IF(BV57&gt;3.5,3,2))</f>
        <v>1</v>
      </c>
      <c r="BX57" s="45">
        <v>1</v>
      </c>
      <c r="BY57" s="45">
        <f>BX57*LOG(BW57)</f>
        <v>0</v>
      </c>
      <c r="BZ57" s="61" t="s">
        <v>99</v>
      </c>
      <c r="CA57" s="46"/>
      <c r="CB57" s="65">
        <v>17036</v>
      </c>
      <c r="CC57" s="45">
        <v>3</v>
      </c>
      <c r="CD57" s="45">
        <v>2</v>
      </c>
      <c r="CE57" s="45">
        <f t="shared" si="16"/>
        <v>0.95424250943932487</v>
      </c>
      <c r="CG57" s="46"/>
      <c r="CH57" s="66" t="s">
        <v>92</v>
      </c>
      <c r="CI57" s="67">
        <v>3</v>
      </c>
      <c r="CJ57" s="68">
        <v>2</v>
      </c>
      <c r="CK57" s="68">
        <f t="shared" si="17"/>
        <v>0.95424250943932487</v>
      </c>
      <c r="CL57" s="78"/>
      <c r="CM57" s="79"/>
      <c r="CO57" s="70">
        <f>(SUM(T57,AA57,AI57,AQ57,AY57)/SUM(S57,Z57,AH57,AP57,AX57,BF57))</f>
        <v>2</v>
      </c>
      <c r="CQ57" s="45">
        <f t="shared" si="19"/>
        <v>0.35152861377577282</v>
      </c>
      <c r="CR57" s="45">
        <f t="shared" si="20"/>
        <v>2.2466147907995495</v>
      </c>
      <c r="CT57" s="71">
        <f t="shared" si="21"/>
        <v>1.5981390542253213</v>
      </c>
    </row>
    <row r="58" spans="1:98" ht="16">
      <c r="A58" s="36">
        <v>56</v>
      </c>
      <c r="B58" s="37"/>
      <c r="C58" s="37"/>
      <c r="D58" s="37"/>
      <c r="E58" s="38" t="s">
        <v>692</v>
      </c>
      <c r="F58" s="38" t="s">
        <v>158</v>
      </c>
      <c r="G58" s="38" t="s">
        <v>693</v>
      </c>
      <c r="H58" s="38" t="s">
        <v>160</v>
      </c>
      <c r="I58" s="72">
        <v>3.5</v>
      </c>
      <c r="J58" s="53" t="s">
        <v>88</v>
      </c>
      <c r="K58" s="42">
        <v>0</v>
      </c>
      <c r="L58" s="42">
        <v>3</v>
      </c>
      <c r="M58" s="42">
        <v>1</v>
      </c>
      <c r="N58" s="42">
        <f t="shared" si="0"/>
        <v>3</v>
      </c>
      <c r="O58" s="53"/>
      <c r="P58" s="53"/>
      <c r="Q58" s="43">
        <v>8</v>
      </c>
      <c r="R58" s="44">
        <f>IF(Q58="","***",IF(Q58&lt;30,3,IF(Q58&gt;60,1,2)))</f>
        <v>3</v>
      </c>
      <c r="S58" s="45">
        <v>1</v>
      </c>
      <c r="T58" s="45">
        <f t="shared" si="2"/>
        <v>3</v>
      </c>
      <c r="V58" s="46"/>
      <c r="W58" s="58" t="s">
        <v>171</v>
      </c>
      <c r="X58" s="73">
        <v>2</v>
      </c>
      <c r="Y58" s="44">
        <f t="shared" si="3"/>
        <v>3</v>
      </c>
      <c r="Z58" s="45">
        <v>1</v>
      </c>
      <c r="AA58" s="45">
        <f t="shared" si="4"/>
        <v>3</v>
      </c>
      <c r="AB58" s="45">
        <v>1</v>
      </c>
      <c r="AD58" s="49" t="s">
        <v>694</v>
      </c>
      <c r="AE58" s="50" t="s">
        <v>88</v>
      </c>
      <c r="AF58" s="50">
        <v>0</v>
      </c>
      <c r="AG58" s="50">
        <v>3</v>
      </c>
      <c r="AH58" s="50">
        <v>2</v>
      </c>
      <c r="AI58" s="50">
        <f t="shared" si="5"/>
        <v>6</v>
      </c>
      <c r="AJ58" s="50">
        <v>1</v>
      </c>
      <c r="AK58" s="51" t="s">
        <v>135</v>
      </c>
      <c r="AL58" s="61">
        <f>365*175</f>
        <v>63875</v>
      </c>
      <c r="AM58" s="53" t="s">
        <v>88</v>
      </c>
      <c r="AN58" s="42">
        <v>0</v>
      </c>
      <c r="AO58" s="54">
        <f>IF(AL58="","***",IF(AL58&gt;15000,3,IF(AL58&lt;1000,1,2)))</f>
        <v>3</v>
      </c>
      <c r="AP58" s="53">
        <v>2</v>
      </c>
      <c r="AQ58" s="53">
        <f t="shared" si="7"/>
        <v>6</v>
      </c>
      <c r="AR58" s="53"/>
      <c r="AS58" s="55"/>
      <c r="AT58" s="42">
        <v>36.799999999999997</v>
      </c>
      <c r="AU58" s="42" t="s">
        <v>88</v>
      </c>
      <c r="AV58" s="56">
        <v>0</v>
      </c>
      <c r="AW58" s="44">
        <f t="shared" si="8"/>
        <v>1</v>
      </c>
      <c r="AX58" s="42">
        <v>1</v>
      </c>
      <c r="AY58" s="42">
        <f t="shared" si="9"/>
        <v>1</v>
      </c>
      <c r="AZ58" s="42"/>
      <c r="BA58" s="42"/>
      <c r="BB58" s="57" t="s">
        <v>602</v>
      </c>
      <c r="BC58" s="58" t="s">
        <v>603</v>
      </c>
      <c r="BD58" s="58" t="s">
        <v>604</v>
      </c>
      <c r="BE58" s="59">
        <v>2</v>
      </c>
      <c r="BF58" s="58">
        <v>2</v>
      </c>
      <c r="BG58" s="58">
        <f t="shared" si="10"/>
        <v>0.6020599913279624</v>
      </c>
      <c r="BH58" s="58" t="s">
        <v>605</v>
      </c>
      <c r="BI58" s="58" t="s">
        <v>695</v>
      </c>
      <c r="BJ58" s="81" t="s">
        <v>90</v>
      </c>
      <c r="BK58" s="61">
        <v>1</v>
      </c>
      <c r="BL58" s="62">
        <v>1</v>
      </c>
      <c r="BM58" s="62">
        <f t="shared" si="11"/>
        <v>0</v>
      </c>
      <c r="BN58" s="58" t="s">
        <v>607</v>
      </c>
      <c r="BO58" s="59"/>
      <c r="BP58" s="59">
        <v>42.5</v>
      </c>
      <c r="BQ58" s="63">
        <f>IF(BP58&lt;10,3,IF(BP58&lt;30,2,1))</f>
        <v>1</v>
      </c>
      <c r="BR58" s="45">
        <v>1</v>
      </c>
      <c r="BS58" s="45">
        <f t="shared" si="13"/>
        <v>0</v>
      </c>
      <c r="BU58" s="46"/>
      <c r="BV58" s="64">
        <v>1.875</v>
      </c>
      <c r="BW58" s="54">
        <f>IF(BV58&lt;2.5,1,IF(BV58&gt;3.5,3,2))</f>
        <v>1</v>
      </c>
      <c r="BX58" s="45">
        <v>1</v>
      </c>
      <c r="BY58" s="45">
        <f>BX58*LOG(BW58)</f>
        <v>0</v>
      </c>
      <c r="BZ58" s="61" t="s">
        <v>99</v>
      </c>
      <c r="CA58" s="46"/>
      <c r="CB58" s="65">
        <v>16980</v>
      </c>
      <c r="CC58" s="45">
        <v>3</v>
      </c>
      <c r="CD58" s="45">
        <v>2</v>
      </c>
      <c r="CE58" s="45">
        <f t="shared" si="16"/>
        <v>0.95424250943932487</v>
      </c>
      <c r="CG58" s="46"/>
      <c r="CH58" s="66" t="s">
        <v>92</v>
      </c>
      <c r="CI58" s="67">
        <v>3</v>
      </c>
      <c r="CJ58" s="68">
        <v>2</v>
      </c>
      <c r="CK58" s="68">
        <f t="shared" si="17"/>
        <v>0.95424250943932487</v>
      </c>
      <c r="CL58" s="68"/>
      <c r="CM58" s="69"/>
      <c r="CO58" s="70">
        <f>(SUM(T58,AA58,AI58,AQ58,AY58)/SUM(S58,Z58,AH58,AP58,AX58,BF58))</f>
        <v>2.1111111111111112</v>
      </c>
      <c r="CQ58" s="45">
        <f t="shared" si="19"/>
        <v>0.27894944557851242</v>
      </c>
      <c r="CR58" s="45">
        <f t="shared" si="20"/>
        <v>1.9008569961559403</v>
      </c>
      <c r="CT58" s="71">
        <f t="shared" si="21"/>
        <v>1.2655697469176588</v>
      </c>
    </row>
    <row r="59" spans="1:98" ht="16" hidden="1">
      <c r="A59" s="36">
        <v>57</v>
      </c>
      <c r="B59" s="37"/>
      <c r="C59" s="37" t="s">
        <v>144</v>
      </c>
      <c r="D59" s="37" t="s">
        <v>686</v>
      </c>
      <c r="E59" s="38" t="s">
        <v>696</v>
      </c>
      <c r="F59" s="38" t="s">
        <v>360</v>
      </c>
      <c r="G59" s="38" t="s">
        <v>688</v>
      </c>
      <c r="H59" s="38" t="s">
        <v>152</v>
      </c>
      <c r="I59" s="87"/>
      <c r="J59" s="53"/>
      <c r="K59" s="53"/>
      <c r="L59" s="53"/>
      <c r="M59" s="42">
        <v>1</v>
      </c>
      <c r="N59" s="42">
        <f t="shared" si="0"/>
        <v>0</v>
      </c>
      <c r="O59" s="53"/>
      <c r="P59" s="53"/>
      <c r="Q59" s="43"/>
      <c r="R59" s="44" t="str">
        <f>IF(Q59="","***",IF(Q59&lt;5,3,IF(Q59&lt;15,2,1)))</f>
        <v>***</v>
      </c>
      <c r="S59" s="45">
        <v>1</v>
      </c>
      <c r="T59" s="45" t="e">
        <f t="shared" si="2"/>
        <v>#VALUE!</v>
      </c>
      <c r="V59" s="46"/>
      <c r="W59" s="58" t="s">
        <v>337</v>
      </c>
      <c r="X59" s="73">
        <v>3.4</v>
      </c>
      <c r="Y59" s="44">
        <f t="shared" si="3"/>
        <v>2</v>
      </c>
      <c r="Z59" s="45">
        <v>1</v>
      </c>
      <c r="AA59" s="45">
        <f t="shared" si="4"/>
        <v>2</v>
      </c>
      <c r="AB59" s="45">
        <v>1</v>
      </c>
      <c r="AD59" s="49" t="s">
        <v>362</v>
      </c>
      <c r="AE59" s="50" t="s">
        <v>88</v>
      </c>
      <c r="AF59" s="50">
        <v>0</v>
      </c>
      <c r="AG59" s="50">
        <v>2</v>
      </c>
      <c r="AH59" s="50">
        <v>2</v>
      </c>
      <c r="AI59" s="50">
        <f t="shared" si="5"/>
        <v>4</v>
      </c>
      <c r="AJ59" s="50">
        <v>1</v>
      </c>
      <c r="AK59" s="51" t="s">
        <v>156</v>
      </c>
      <c r="AL59" s="61"/>
      <c r="AM59" s="53"/>
      <c r="AN59" s="42"/>
      <c r="AO59" s="42"/>
      <c r="AP59" s="53">
        <v>2</v>
      </c>
      <c r="AQ59" s="53">
        <f t="shared" si="7"/>
        <v>0</v>
      </c>
      <c r="AR59" s="53"/>
      <c r="AS59" s="55"/>
      <c r="AT59" s="89"/>
      <c r="AU59" s="89"/>
      <c r="AV59" s="44"/>
      <c r="AW59" s="44" t="str">
        <f t="shared" si="8"/>
        <v>***</v>
      </c>
      <c r="AX59" s="42">
        <v>1</v>
      </c>
      <c r="AY59" s="42" t="e">
        <f t="shared" si="9"/>
        <v>#VALUE!</v>
      </c>
      <c r="AZ59" s="89"/>
      <c r="BA59" s="89"/>
      <c r="BB59" s="57"/>
      <c r="BC59" s="58"/>
      <c r="BD59" s="58"/>
      <c r="BE59" s="58"/>
      <c r="BF59" s="58">
        <v>2</v>
      </c>
      <c r="BG59" s="58" t="e">
        <f t="shared" si="10"/>
        <v>#NUM!</v>
      </c>
      <c r="BH59" s="58" t="s">
        <v>605</v>
      </c>
      <c r="BI59" s="58"/>
      <c r="BJ59" s="60" t="s">
        <v>90</v>
      </c>
      <c r="BK59" s="61">
        <v>1</v>
      </c>
      <c r="BL59" s="62">
        <v>1</v>
      </c>
      <c r="BM59" s="62">
        <f t="shared" si="11"/>
        <v>0</v>
      </c>
      <c r="BN59" s="58" t="s">
        <v>607</v>
      </c>
      <c r="BO59" s="59"/>
      <c r="BP59" s="59"/>
      <c r="BQ59" s="90"/>
      <c r="BR59" s="45">
        <v>1</v>
      </c>
      <c r="BS59" s="45" t="e">
        <f t="shared" si="13"/>
        <v>#NUM!</v>
      </c>
      <c r="BU59" s="46"/>
      <c r="BV59" s="64"/>
      <c r="BW59" s="45"/>
      <c r="BX59" s="45">
        <v>1</v>
      </c>
      <c r="BY59" s="45" t="e">
        <f>BX59*LOG(BV59)</f>
        <v>#NUM!</v>
      </c>
      <c r="BZ59" s="61"/>
      <c r="CA59" s="46"/>
      <c r="CB59" s="65">
        <v>16925</v>
      </c>
      <c r="CC59" s="45">
        <v>3</v>
      </c>
      <c r="CD59" s="45">
        <v>2</v>
      </c>
      <c r="CE59" s="45">
        <f t="shared" si="16"/>
        <v>0.95424250943932487</v>
      </c>
      <c r="CG59" s="46"/>
      <c r="CH59" s="66" t="s">
        <v>92</v>
      </c>
      <c r="CI59" s="67">
        <v>3</v>
      </c>
      <c r="CJ59" s="68">
        <v>1</v>
      </c>
      <c r="CK59" s="68">
        <f t="shared" si="17"/>
        <v>0.47712125471966244</v>
      </c>
      <c r="CL59" s="68"/>
      <c r="CM59" s="69"/>
      <c r="CO59" s="70" t="e">
        <f>(SUM(N59,T59,AA59,AI59,AQ59,AY59)/SUM(M59,S59,Z59,AH59,AP59,AX59,BF59))</f>
        <v>#VALUE!</v>
      </c>
      <c r="CQ59" s="45" t="e">
        <f t="shared" si="19"/>
        <v>#NUM!</v>
      </c>
      <c r="CR59" s="45" t="e">
        <f t="shared" si="20"/>
        <v>#NUM!</v>
      </c>
      <c r="CT59" s="71" t="e">
        <f t="shared" si="21"/>
        <v>#VALUE!</v>
      </c>
    </row>
    <row r="60" spans="1:98" ht="16">
      <c r="A60" s="36">
        <v>58</v>
      </c>
      <c r="B60" s="37"/>
      <c r="C60" s="37"/>
      <c r="D60" s="37"/>
      <c r="E60" s="38" t="s">
        <v>697</v>
      </c>
      <c r="F60" s="91" t="s">
        <v>698</v>
      </c>
      <c r="G60" s="38" t="s">
        <v>699</v>
      </c>
      <c r="H60" s="83" t="s">
        <v>355</v>
      </c>
      <c r="I60" s="72">
        <v>4</v>
      </c>
      <c r="J60" s="53" t="s">
        <v>88</v>
      </c>
      <c r="K60" s="42">
        <v>0</v>
      </c>
      <c r="L60" s="42">
        <v>3</v>
      </c>
      <c r="M60" s="42">
        <v>1</v>
      </c>
      <c r="N60" s="42">
        <f t="shared" si="0"/>
        <v>3</v>
      </c>
      <c r="O60" s="53"/>
      <c r="P60" s="53"/>
      <c r="Q60" s="43">
        <v>9.25</v>
      </c>
      <c r="R60" s="44">
        <f t="shared" ref="R60:R78" si="22">IF(Q60="","***",IF(Q60&lt;30,3,IF(Q60&gt;60,1,2)))</f>
        <v>3</v>
      </c>
      <c r="S60" s="45">
        <v>1</v>
      </c>
      <c r="T60" s="45">
        <f t="shared" si="2"/>
        <v>3</v>
      </c>
      <c r="V60" s="46"/>
      <c r="W60" s="58" t="s">
        <v>133</v>
      </c>
      <c r="X60" s="73">
        <v>3.3</v>
      </c>
      <c r="Y60" s="44">
        <f t="shared" si="3"/>
        <v>2</v>
      </c>
      <c r="Z60" s="45">
        <v>1</v>
      </c>
      <c r="AA60" s="45">
        <f t="shared" si="4"/>
        <v>2</v>
      </c>
      <c r="AB60" s="45">
        <v>1</v>
      </c>
      <c r="AD60" s="49" t="s">
        <v>401</v>
      </c>
      <c r="AE60" s="50" t="s">
        <v>115</v>
      </c>
      <c r="AF60" s="50">
        <v>1</v>
      </c>
      <c r="AG60" s="50">
        <v>3</v>
      </c>
      <c r="AH60" s="50">
        <v>2</v>
      </c>
      <c r="AI60" s="50">
        <f t="shared" si="5"/>
        <v>6</v>
      </c>
      <c r="AJ60" s="50">
        <v>1</v>
      </c>
      <c r="AK60" s="51"/>
      <c r="AL60" s="59">
        <v>149485</v>
      </c>
      <c r="AM60" s="53" t="s">
        <v>146</v>
      </c>
      <c r="AN60" s="42">
        <v>2</v>
      </c>
      <c r="AO60" s="54">
        <f t="shared" ref="AO60:AO78" si="23">IF(AL60="","***",IF(AL60&gt;15000,3,IF(AL60&lt;1000,1,2)))</f>
        <v>3</v>
      </c>
      <c r="AP60" s="53">
        <v>2</v>
      </c>
      <c r="AQ60" s="53">
        <f t="shared" si="7"/>
        <v>6</v>
      </c>
      <c r="AR60" s="53"/>
      <c r="AS60" s="55"/>
      <c r="AT60" s="42">
        <v>26</v>
      </c>
      <c r="AU60" s="42" t="s">
        <v>115</v>
      </c>
      <c r="AV60" s="44">
        <v>1</v>
      </c>
      <c r="AW60" s="44">
        <f t="shared" si="8"/>
        <v>2</v>
      </c>
      <c r="AX60" s="42">
        <v>1</v>
      </c>
      <c r="AY60" s="42">
        <f t="shared" si="9"/>
        <v>2</v>
      </c>
      <c r="AZ60" s="42" t="s">
        <v>203</v>
      </c>
      <c r="BA60" s="53" t="s">
        <v>358</v>
      </c>
      <c r="BB60" s="57" t="s">
        <v>602</v>
      </c>
      <c r="BC60" s="58" t="s">
        <v>603</v>
      </c>
      <c r="BD60" s="58" t="s">
        <v>609</v>
      </c>
      <c r="BE60" s="59">
        <v>1</v>
      </c>
      <c r="BF60" s="58">
        <v>2</v>
      </c>
      <c r="BG60" s="58">
        <f t="shared" si="10"/>
        <v>0</v>
      </c>
      <c r="BH60" s="58" t="s">
        <v>605</v>
      </c>
      <c r="BI60" s="58" t="s">
        <v>610</v>
      </c>
      <c r="BJ60" s="60" t="s">
        <v>90</v>
      </c>
      <c r="BK60" s="61">
        <v>1</v>
      </c>
      <c r="BL60" s="62">
        <v>1</v>
      </c>
      <c r="BM60" s="62">
        <f t="shared" si="11"/>
        <v>0</v>
      </c>
      <c r="BN60" s="58" t="s">
        <v>607</v>
      </c>
      <c r="BO60" s="59"/>
      <c r="BP60" s="92">
        <v>20.5</v>
      </c>
      <c r="BQ60" s="90">
        <f t="shared" ref="BQ60:BQ78" si="24">IF(BP60&lt;10,3,IF(BP60&lt;30,2,1))</f>
        <v>2</v>
      </c>
      <c r="BR60" s="45">
        <v>1</v>
      </c>
      <c r="BS60" s="45">
        <f t="shared" si="13"/>
        <v>0.3010299956639812</v>
      </c>
      <c r="BT60" s="93"/>
      <c r="BU60" s="94"/>
      <c r="BV60" s="64">
        <v>2.625</v>
      </c>
      <c r="BW60" s="54">
        <f t="shared" ref="BW60:BW78" si="25">IF(BV60&lt;2.5,1,IF(BV60&gt;3.5,3,2))</f>
        <v>2</v>
      </c>
      <c r="BX60" s="45">
        <v>1</v>
      </c>
      <c r="BY60" s="45">
        <f t="shared" ref="BY60:BY78" si="26">BX60*LOG(BW60)</f>
        <v>0.3010299956639812</v>
      </c>
      <c r="BZ60" s="61" t="s">
        <v>99</v>
      </c>
      <c r="CA60" s="46"/>
      <c r="CB60" s="65">
        <v>15927</v>
      </c>
      <c r="CC60" s="45">
        <v>3</v>
      </c>
      <c r="CD60" s="45">
        <v>2</v>
      </c>
      <c r="CE60" s="45">
        <f t="shared" si="16"/>
        <v>0.95424250943932487</v>
      </c>
      <c r="CG60" s="46"/>
      <c r="CH60" s="66" t="s">
        <v>92</v>
      </c>
      <c r="CI60" s="67">
        <v>3</v>
      </c>
      <c r="CJ60" s="68">
        <v>2</v>
      </c>
      <c r="CK60" s="68">
        <f t="shared" si="17"/>
        <v>0.95424250943932487</v>
      </c>
      <c r="CL60" s="68"/>
      <c r="CM60" s="69"/>
      <c r="CO60" s="70">
        <f t="shared" ref="CO60:CO78" si="27">(SUM(T60,AA60,AI60,AQ60,AY60)/SUM(S60,Z60,AH60,AP60,AX60,BF60))</f>
        <v>2.1111111111111112</v>
      </c>
      <c r="CQ60" s="45">
        <f t="shared" si="19"/>
        <v>0.27894944557851242</v>
      </c>
      <c r="CR60" s="45">
        <f t="shared" si="20"/>
        <v>1.9008569961559403</v>
      </c>
      <c r="CT60" s="71">
        <f t="shared" si="21"/>
        <v>1.2655697469176588</v>
      </c>
    </row>
    <row r="61" spans="1:98" ht="16">
      <c r="A61" s="36">
        <v>59</v>
      </c>
      <c r="B61" s="37"/>
      <c r="C61" s="37"/>
      <c r="D61" s="37"/>
      <c r="E61" s="38" t="s">
        <v>399</v>
      </c>
      <c r="F61" s="38" t="s">
        <v>353</v>
      </c>
      <c r="G61" s="38" t="s">
        <v>400</v>
      </c>
      <c r="H61" s="83" t="s">
        <v>355</v>
      </c>
      <c r="I61" s="72">
        <v>6.5</v>
      </c>
      <c r="J61" s="53" t="s">
        <v>88</v>
      </c>
      <c r="K61" s="42">
        <v>0</v>
      </c>
      <c r="L61" s="42">
        <v>2</v>
      </c>
      <c r="M61" s="42">
        <v>1</v>
      </c>
      <c r="N61" s="42">
        <f t="shared" si="0"/>
        <v>2</v>
      </c>
      <c r="O61" s="53"/>
      <c r="P61" s="53"/>
      <c r="Q61" s="43">
        <v>20</v>
      </c>
      <c r="R61" s="44">
        <f t="shared" si="22"/>
        <v>3</v>
      </c>
      <c r="S61" s="45">
        <v>1</v>
      </c>
      <c r="T61" s="45">
        <f t="shared" si="2"/>
        <v>3</v>
      </c>
      <c r="V61" s="46"/>
      <c r="W61" s="58" t="s">
        <v>178</v>
      </c>
      <c r="X61" s="73">
        <v>3.4</v>
      </c>
      <c r="Y61" s="44">
        <f t="shared" si="3"/>
        <v>2</v>
      </c>
      <c r="Z61" s="45">
        <v>1</v>
      </c>
      <c r="AA61" s="45">
        <f t="shared" si="4"/>
        <v>2</v>
      </c>
      <c r="AB61" s="45">
        <v>1</v>
      </c>
      <c r="AD61" s="49" t="s">
        <v>401</v>
      </c>
      <c r="AE61" s="50" t="s">
        <v>115</v>
      </c>
      <c r="AF61" s="50">
        <v>1</v>
      </c>
      <c r="AG61" s="50">
        <v>3</v>
      </c>
      <c r="AH61" s="50">
        <v>2</v>
      </c>
      <c r="AI61" s="50">
        <f t="shared" si="5"/>
        <v>6</v>
      </c>
      <c r="AJ61" s="50">
        <v>1</v>
      </c>
      <c r="AK61" s="51"/>
      <c r="AL61" s="59">
        <v>149485</v>
      </c>
      <c r="AM61" s="53" t="s">
        <v>146</v>
      </c>
      <c r="AN61" s="42">
        <v>2</v>
      </c>
      <c r="AO61" s="54">
        <f t="shared" si="23"/>
        <v>3</v>
      </c>
      <c r="AP61" s="53">
        <v>2</v>
      </c>
      <c r="AQ61" s="53">
        <f t="shared" si="7"/>
        <v>6</v>
      </c>
      <c r="AR61" s="53"/>
      <c r="AS61" s="55"/>
      <c r="AT61" s="42">
        <v>26</v>
      </c>
      <c r="AU61" s="42" t="s">
        <v>115</v>
      </c>
      <c r="AV61" s="44">
        <v>1</v>
      </c>
      <c r="AW61" s="44">
        <f t="shared" si="8"/>
        <v>2</v>
      </c>
      <c r="AX61" s="42">
        <v>1</v>
      </c>
      <c r="AY61" s="42">
        <f t="shared" si="9"/>
        <v>2</v>
      </c>
      <c r="AZ61" s="42" t="s">
        <v>203</v>
      </c>
      <c r="BA61" s="53" t="s">
        <v>358</v>
      </c>
      <c r="BB61" s="57" t="s">
        <v>602</v>
      </c>
      <c r="BC61" s="58" t="s">
        <v>603</v>
      </c>
      <c r="BD61" s="58" t="s">
        <v>609</v>
      </c>
      <c r="BE61" s="59">
        <v>1</v>
      </c>
      <c r="BF61" s="58">
        <v>2</v>
      </c>
      <c r="BG61" s="58">
        <f t="shared" si="10"/>
        <v>0</v>
      </c>
      <c r="BH61" s="58" t="s">
        <v>605</v>
      </c>
      <c r="BI61" s="58" t="s">
        <v>610</v>
      </c>
      <c r="BJ61" s="60" t="s">
        <v>90</v>
      </c>
      <c r="BK61" s="61">
        <v>1</v>
      </c>
      <c r="BL61" s="62">
        <v>1</v>
      </c>
      <c r="BM61" s="62">
        <f t="shared" si="11"/>
        <v>0</v>
      </c>
      <c r="BN61" s="58" t="s">
        <v>607</v>
      </c>
      <c r="BO61" s="59"/>
      <c r="BP61" s="59">
        <v>65.25</v>
      </c>
      <c r="BQ61" s="63">
        <f t="shared" si="24"/>
        <v>1</v>
      </c>
      <c r="BR61" s="45">
        <v>1</v>
      </c>
      <c r="BS61" s="45">
        <f t="shared" si="13"/>
        <v>0</v>
      </c>
      <c r="BU61" s="46"/>
      <c r="BV61" s="64">
        <v>2</v>
      </c>
      <c r="BW61" s="54">
        <f t="shared" si="25"/>
        <v>1</v>
      </c>
      <c r="BX61" s="45">
        <v>1</v>
      </c>
      <c r="BY61" s="45">
        <f t="shared" si="26"/>
        <v>0</v>
      </c>
      <c r="BZ61" s="61" t="s">
        <v>99</v>
      </c>
      <c r="CA61" s="46"/>
      <c r="CB61" s="65">
        <v>15896</v>
      </c>
      <c r="CC61" s="45">
        <v>3</v>
      </c>
      <c r="CD61" s="45">
        <v>2</v>
      </c>
      <c r="CE61" s="45">
        <f t="shared" si="16"/>
        <v>0.95424250943932487</v>
      </c>
      <c r="CG61" s="46"/>
      <c r="CH61" s="66" t="s">
        <v>92</v>
      </c>
      <c r="CI61" s="67">
        <v>3</v>
      </c>
      <c r="CJ61" s="68">
        <v>2</v>
      </c>
      <c r="CK61" s="68">
        <f t="shared" si="17"/>
        <v>0.95424250943932487</v>
      </c>
      <c r="CL61" s="68"/>
      <c r="CM61" s="69"/>
      <c r="CO61" s="70">
        <f t="shared" si="27"/>
        <v>2.1111111111111112</v>
      </c>
      <c r="CQ61" s="45">
        <f t="shared" si="19"/>
        <v>0.21205389098651664</v>
      </c>
      <c r="CR61" s="45">
        <f t="shared" si="20"/>
        <v>1.6294982222188463</v>
      </c>
      <c r="CT61" s="71">
        <f t="shared" si="21"/>
        <v>1.0892159880238683</v>
      </c>
    </row>
    <row r="62" spans="1:98" ht="16">
      <c r="A62" s="36">
        <v>60</v>
      </c>
      <c r="B62" s="37"/>
      <c r="C62" s="37"/>
      <c r="D62" s="37"/>
      <c r="E62" s="38" t="s">
        <v>416</v>
      </c>
      <c r="F62" s="38" t="s">
        <v>417</v>
      </c>
      <c r="G62" s="38" t="s">
        <v>418</v>
      </c>
      <c r="H62" s="38" t="s">
        <v>184</v>
      </c>
      <c r="I62" s="72">
        <v>2</v>
      </c>
      <c r="J62" s="53" t="s">
        <v>88</v>
      </c>
      <c r="K62" s="42">
        <v>0</v>
      </c>
      <c r="L62" s="42">
        <v>3</v>
      </c>
      <c r="M62" s="42">
        <v>1</v>
      </c>
      <c r="N62" s="42">
        <f t="shared" si="0"/>
        <v>3</v>
      </c>
      <c r="O62" s="214" t="s">
        <v>700</v>
      </c>
      <c r="P62" s="53" t="s">
        <v>665</v>
      </c>
      <c r="Q62" s="43">
        <v>10</v>
      </c>
      <c r="R62" s="44">
        <f t="shared" si="22"/>
        <v>3</v>
      </c>
      <c r="S62" s="45">
        <v>1</v>
      </c>
      <c r="T62" s="45">
        <f t="shared" si="2"/>
        <v>3</v>
      </c>
      <c r="V62" s="46"/>
      <c r="W62" s="58" t="s">
        <v>287</v>
      </c>
      <c r="X62" s="73">
        <v>3.5</v>
      </c>
      <c r="Y62" s="44">
        <f t="shared" si="3"/>
        <v>2</v>
      </c>
      <c r="Z62" s="45">
        <v>1</v>
      </c>
      <c r="AA62" s="45">
        <f t="shared" si="4"/>
        <v>2</v>
      </c>
      <c r="AB62" s="45">
        <v>1</v>
      </c>
      <c r="AD62" s="49" t="s">
        <v>113</v>
      </c>
      <c r="AE62" s="50" t="s">
        <v>88</v>
      </c>
      <c r="AF62" s="50">
        <v>0</v>
      </c>
      <c r="AG62" s="50">
        <v>3</v>
      </c>
      <c r="AH62" s="50">
        <v>2</v>
      </c>
      <c r="AI62" s="50">
        <f t="shared" si="5"/>
        <v>6</v>
      </c>
      <c r="AJ62" s="50">
        <v>1</v>
      </c>
      <c r="AK62" s="51" t="s">
        <v>114</v>
      </c>
      <c r="AL62" s="61">
        <v>37975</v>
      </c>
      <c r="AM62" s="53" t="s">
        <v>146</v>
      </c>
      <c r="AN62" s="42">
        <v>2</v>
      </c>
      <c r="AO62" s="54">
        <f t="shared" si="23"/>
        <v>3</v>
      </c>
      <c r="AP62" s="53">
        <v>2</v>
      </c>
      <c r="AQ62" s="53">
        <f t="shared" si="7"/>
        <v>6</v>
      </c>
      <c r="AR62" s="53"/>
      <c r="AS62" s="55"/>
      <c r="AT62" s="42">
        <v>19.66</v>
      </c>
      <c r="AU62" s="42" t="s">
        <v>146</v>
      </c>
      <c r="AV62" s="44">
        <v>2</v>
      </c>
      <c r="AW62" s="44">
        <f t="shared" si="8"/>
        <v>2</v>
      </c>
      <c r="AX62" s="42">
        <v>1</v>
      </c>
      <c r="AY62" s="42">
        <f t="shared" si="9"/>
        <v>2</v>
      </c>
      <c r="AZ62" s="42" t="s">
        <v>209</v>
      </c>
      <c r="BA62" s="53" t="s">
        <v>631</v>
      </c>
      <c r="BB62" s="57" t="s">
        <v>602</v>
      </c>
      <c r="BC62" s="58" t="s">
        <v>603</v>
      </c>
      <c r="BD62" s="58" t="s">
        <v>609</v>
      </c>
      <c r="BE62" s="59">
        <v>1</v>
      </c>
      <c r="BF62" s="58">
        <v>2</v>
      </c>
      <c r="BG62" s="58">
        <f t="shared" si="10"/>
        <v>0</v>
      </c>
      <c r="BH62" s="58" t="s">
        <v>605</v>
      </c>
      <c r="BI62" s="58" t="s">
        <v>610</v>
      </c>
      <c r="BJ62" s="60" t="s">
        <v>90</v>
      </c>
      <c r="BK62" s="61">
        <v>1</v>
      </c>
      <c r="BL62" s="62">
        <v>1</v>
      </c>
      <c r="BM62" s="62">
        <f t="shared" si="11"/>
        <v>0</v>
      </c>
      <c r="BN62" s="58" t="s">
        <v>607</v>
      </c>
      <c r="BO62" s="59"/>
      <c r="BP62" s="59">
        <v>16</v>
      </c>
      <c r="BQ62" s="63">
        <f t="shared" si="24"/>
        <v>2</v>
      </c>
      <c r="BR62" s="45">
        <v>1</v>
      </c>
      <c r="BS62" s="45">
        <f t="shared" si="13"/>
        <v>0.3010299956639812</v>
      </c>
      <c r="BU62" s="46"/>
      <c r="BV62" s="64">
        <v>3</v>
      </c>
      <c r="BW62" s="54">
        <f t="shared" si="25"/>
        <v>2</v>
      </c>
      <c r="BX62" s="45">
        <v>1</v>
      </c>
      <c r="BY62" s="45">
        <f t="shared" si="26"/>
        <v>0.3010299956639812</v>
      </c>
      <c r="BZ62" s="61" t="s">
        <v>99</v>
      </c>
      <c r="CA62" s="46"/>
      <c r="CB62" s="65">
        <v>15606</v>
      </c>
      <c r="CC62" s="45">
        <v>3</v>
      </c>
      <c r="CD62" s="45">
        <v>2</v>
      </c>
      <c r="CE62" s="45">
        <f t="shared" si="16"/>
        <v>0.95424250943932487</v>
      </c>
      <c r="CG62" s="46"/>
      <c r="CH62" s="66" t="s">
        <v>92</v>
      </c>
      <c r="CI62" s="67">
        <v>3</v>
      </c>
      <c r="CJ62" s="68">
        <v>2</v>
      </c>
      <c r="CK62" s="68">
        <f t="shared" si="17"/>
        <v>0.95424250943932487</v>
      </c>
      <c r="CL62" s="68"/>
      <c r="CM62" s="69"/>
      <c r="CO62" s="70">
        <f t="shared" si="27"/>
        <v>2.1111111111111112</v>
      </c>
      <c r="CQ62" s="45">
        <f t="shared" si="19"/>
        <v>0.27894944557851242</v>
      </c>
      <c r="CR62" s="45">
        <f t="shared" si="20"/>
        <v>1.9008569961559403</v>
      </c>
      <c r="CT62" s="71">
        <f t="shared" si="21"/>
        <v>1.2655697469176588</v>
      </c>
    </row>
    <row r="63" spans="1:98" ht="16">
      <c r="A63" s="36">
        <v>61</v>
      </c>
      <c r="B63" s="37"/>
      <c r="C63" s="37"/>
      <c r="D63" s="37"/>
      <c r="E63" s="38" t="s">
        <v>428</v>
      </c>
      <c r="F63" s="38" t="s">
        <v>429</v>
      </c>
      <c r="G63" s="38" t="s">
        <v>430</v>
      </c>
      <c r="H63" s="38" t="s">
        <v>152</v>
      </c>
      <c r="I63" s="72">
        <v>2.5</v>
      </c>
      <c r="J63" s="53" t="s">
        <v>88</v>
      </c>
      <c r="K63" s="42">
        <v>0</v>
      </c>
      <c r="L63" s="42">
        <v>3</v>
      </c>
      <c r="M63" s="42">
        <v>1</v>
      </c>
      <c r="N63" s="42">
        <f t="shared" si="0"/>
        <v>3</v>
      </c>
      <c r="O63" s="53"/>
      <c r="P63" s="53"/>
      <c r="Q63" s="43">
        <v>12.5</v>
      </c>
      <c r="R63" s="44">
        <f t="shared" si="22"/>
        <v>3</v>
      </c>
      <c r="S63" s="45">
        <v>1</v>
      </c>
      <c r="T63" s="45">
        <f t="shared" si="2"/>
        <v>3</v>
      </c>
      <c r="V63" s="46"/>
      <c r="W63" s="58" t="s">
        <v>178</v>
      </c>
      <c r="X63" s="73">
        <v>3.4</v>
      </c>
      <c r="Y63" s="44">
        <f t="shared" si="3"/>
        <v>2</v>
      </c>
      <c r="Z63" s="45">
        <v>1</v>
      </c>
      <c r="AA63" s="45">
        <f t="shared" si="4"/>
        <v>2</v>
      </c>
      <c r="AB63" s="45">
        <v>1</v>
      </c>
      <c r="AD63" s="49" t="s">
        <v>362</v>
      </c>
      <c r="AE63" s="50" t="s">
        <v>88</v>
      </c>
      <c r="AF63" s="50">
        <v>0</v>
      </c>
      <c r="AG63" s="50">
        <v>2</v>
      </c>
      <c r="AH63" s="50">
        <v>2</v>
      </c>
      <c r="AI63" s="50">
        <f t="shared" si="5"/>
        <v>4</v>
      </c>
      <c r="AJ63" s="50">
        <v>1</v>
      </c>
      <c r="AK63" s="51" t="s">
        <v>156</v>
      </c>
      <c r="AL63" s="61">
        <v>539520</v>
      </c>
      <c r="AM63" s="53" t="s">
        <v>146</v>
      </c>
      <c r="AN63" s="42">
        <v>2</v>
      </c>
      <c r="AO63" s="54">
        <f t="shared" si="23"/>
        <v>3</v>
      </c>
      <c r="AP63" s="53">
        <v>2</v>
      </c>
      <c r="AQ63" s="53">
        <f t="shared" si="7"/>
        <v>6</v>
      </c>
      <c r="AR63" s="53"/>
      <c r="AS63" s="55"/>
      <c r="AT63" s="42">
        <v>25.6</v>
      </c>
      <c r="AU63" s="42" t="s">
        <v>88</v>
      </c>
      <c r="AV63" s="56">
        <v>0</v>
      </c>
      <c r="AW63" s="44">
        <f t="shared" si="8"/>
        <v>2</v>
      </c>
      <c r="AX63" s="42">
        <v>1</v>
      </c>
      <c r="AY63" s="42">
        <f t="shared" si="9"/>
        <v>2</v>
      </c>
      <c r="AZ63" s="42"/>
      <c r="BA63" s="42"/>
      <c r="BB63" s="57" t="s">
        <v>602</v>
      </c>
      <c r="BC63" s="58" t="s">
        <v>603</v>
      </c>
      <c r="BD63" s="58" t="s">
        <v>609</v>
      </c>
      <c r="BE63" s="59">
        <v>1</v>
      </c>
      <c r="BF63" s="58">
        <v>2</v>
      </c>
      <c r="BG63" s="58">
        <f t="shared" si="10"/>
        <v>0</v>
      </c>
      <c r="BH63" s="58" t="s">
        <v>605</v>
      </c>
      <c r="BI63" s="58" t="s">
        <v>610</v>
      </c>
      <c r="BJ63" s="60" t="s">
        <v>90</v>
      </c>
      <c r="BK63" s="61">
        <v>1</v>
      </c>
      <c r="BL63" s="62">
        <v>1</v>
      </c>
      <c r="BM63" s="62">
        <f t="shared" si="11"/>
        <v>0</v>
      </c>
      <c r="BN63" s="58" t="s">
        <v>607</v>
      </c>
      <c r="BO63" s="59"/>
      <c r="BP63" s="59">
        <v>16</v>
      </c>
      <c r="BQ63" s="63">
        <f t="shared" si="24"/>
        <v>2</v>
      </c>
      <c r="BR63" s="45">
        <v>1</v>
      </c>
      <c r="BS63" s="45">
        <f t="shared" si="13"/>
        <v>0.3010299956639812</v>
      </c>
      <c r="BU63" s="46"/>
      <c r="BV63" s="64">
        <v>1.625</v>
      </c>
      <c r="BW63" s="54">
        <f t="shared" si="25"/>
        <v>1</v>
      </c>
      <c r="BX63" s="45">
        <v>1</v>
      </c>
      <c r="BY63" s="45">
        <f t="shared" si="26"/>
        <v>0</v>
      </c>
      <c r="BZ63" s="61" t="s">
        <v>99</v>
      </c>
      <c r="CA63" s="46"/>
      <c r="CB63" s="65">
        <v>15375</v>
      </c>
      <c r="CC63" s="45">
        <v>3</v>
      </c>
      <c r="CD63" s="45">
        <v>2</v>
      </c>
      <c r="CE63" s="45">
        <f t="shared" si="16"/>
        <v>0.95424250943932487</v>
      </c>
      <c r="CG63" s="46"/>
      <c r="CH63" s="66" t="s">
        <v>137</v>
      </c>
      <c r="CI63" s="67">
        <v>2</v>
      </c>
      <c r="CJ63" s="68">
        <v>2</v>
      </c>
      <c r="CK63" s="68">
        <f t="shared" si="17"/>
        <v>0.6020599913279624</v>
      </c>
      <c r="CL63" s="68"/>
      <c r="CM63" s="69"/>
      <c r="CO63" s="70">
        <f t="shared" si="27"/>
        <v>1.8888888888888888</v>
      </c>
      <c r="CQ63" s="45">
        <f t="shared" si="19"/>
        <v>0.20637027738125205</v>
      </c>
      <c r="CR63" s="45">
        <f t="shared" si="20"/>
        <v>1.6083119076007948</v>
      </c>
      <c r="CT63" s="71">
        <f t="shared" si="21"/>
        <v>1.2667325203702184</v>
      </c>
    </row>
    <row r="64" spans="1:98" ht="16">
      <c r="A64" s="36">
        <v>62</v>
      </c>
      <c r="B64" s="37"/>
      <c r="C64" s="37"/>
      <c r="D64" s="37"/>
      <c r="E64" s="38" t="s">
        <v>533</v>
      </c>
      <c r="F64" s="38" t="s">
        <v>477</v>
      </c>
      <c r="G64" s="38" t="s">
        <v>534</v>
      </c>
      <c r="H64" s="38" t="s">
        <v>152</v>
      </c>
      <c r="I64" s="72">
        <v>7.7</v>
      </c>
      <c r="J64" s="53" t="s">
        <v>115</v>
      </c>
      <c r="K64" s="42">
        <v>1</v>
      </c>
      <c r="L64" s="42">
        <v>2</v>
      </c>
      <c r="M64" s="42">
        <v>1</v>
      </c>
      <c r="N64" s="42">
        <f t="shared" si="0"/>
        <v>2</v>
      </c>
      <c r="O64" s="214" t="s">
        <v>701</v>
      </c>
      <c r="P64" s="53" t="s">
        <v>652</v>
      </c>
      <c r="Q64" s="43">
        <v>11.75</v>
      </c>
      <c r="R64" s="44">
        <f t="shared" si="22"/>
        <v>3</v>
      </c>
      <c r="S64" s="45">
        <v>1</v>
      </c>
      <c r="T64" s="45">
        <f t="shared" si="2"/>
        <v>3</v>
      </c>
      <c r="V64" s="46"/>
      <c r="W64" s="58" t="s">
        <v>178</v>
      </c>
      <c r="X64" s="73">
        <v>3.4</v>
      </c>
      <c r="Y64" s="44">
        <f t="shared" si="3"/>
        <v>2</v>
      </c>
      <c r="Z64" s="45">
        <v>1</v>
      </c>
      <c r="AA64" s="45">
        <f t="shared" si="4"/>
        <v>2</v>
      </c>
      <c r="AB64" s="45">
        <v>1</v>
      </c>
      <c r="AD64" s="49" t="s">
        <v>155</v>
      </c>
      <c r="AE64" s="50" t="s">
        <v>88</v>
      </c>
      <c r="AF64" s="50">
        <v>0</v>
      </c>
      <c r="AG64" s="50">
        <v>2</v>
      </c>
      <c r="AH64" s="50">
        <v>2</v>
      </c>
      <c r="AI64" s="50">
        <f t="shared" si="5"/>
        <v>4</v>
      </c>
      <c r="AJ64" s="50">
        <v>1</v>
      </c>
      <c r="AK64" s="51" t="s">
        <v>156</v>
      </c>
      <c r="AL64" s="61">
        <v>539520</v>
      </c>
      <c r="AM64" s="53" t="s">
        <v>146</v>
      </c>
      <c r="AN64" s="42">
        <v>2</v>
      </c>
      <c r="AO64" s="54">
        <f t="shared" si="23"/>
        <v>3</v>
      </c>
      <c r="AP64" s="53">
        <v>2</v>
      </c>
      <c r="AQ64" s="53">
        <f t="shared" si="7"/>
        <v>6</v>
      </c>
      <c r="AR64" s="53"/>
      <c r="AS64" s="55"/>
      <c r="AT64" s="53">
        <v>26.425000000000001</v>
      </c>
      <c r="AU64" s="42" t="s">
        <v>146</v>
      </c>
      <c r="AV64" s="44">
        <v>2</v>
      </c>
      <c r="AW64" s="44">
        <f t="shared" si="8"/>
        <v>2</v>
      </c>
      <c r="AX64" s="42">
        <v>1</v>
      </c>
      <c r="AY64" s="42">
        <f t="shared" si="9"/>
        <v>2</v>
      </c>
      <c r="AZ64" s="42" t="s">
        <v>479</v>
      </c>
      <c r="BA64" s="53" t="s">
        <v>702</v>
      </c>
      <c r="BB64" s="57" t="s">
        <v>602</v>
      </c>
      <c r="BC64" s="58" t="s">
        <v>603</v>
      </c>
      <c r="BD64" s="58" t="s">
        <v>609</v>
      </c>
      <c r="BE64" s="59">
        <v>1</v>
      </c>
      <c r="BF64" s="58">
        <v>2</v>
      </c>
      <c r="BG64" s="58">
        <f t="shared" si="10"/>
        <v>0</v>
      </c>
      <c r="BH64" s="58" t="s">
        <v>605</v>
      </c>
      <c r="BI64" s="58" t="s">
        <v>610</v>
      </c>
      <c r="BJ64" s="60" t="s">
        <v>90</v>
      </c>
      <c r="BK64" s="61">
        <v>1</v>
      </c>
      <c r="BL64" s="62">
        <v>1</v>
      </c>
      <c r="BM64" s="62">
        <f t="shared" si="11"/>
        <v>0</v>
      </c>
      <c r="BN64" s="58" t="s">
        <v>607</v>
      </c>
      <c r="BO64" s="59"/>
      <c r="BP64" s="59">
        <v>27.5</v>
      </c>
      <c r="BQ64" s="63">
        <f t="shared" si="24"/>
        <v>2</v>
      </c>
      <c r="BR64" s="45">
        <v>1</v>
      </c>
      <c r="BS64" s="45">
        <f t="shared" si="13"/>
        <v>0.3010299956639812</v>
      </c>
      <c r="BU64" s="46"/>
      <c r="BV64" s="64">
        <v>1.875</v>
      </c>
      <c r="BW64" s="54">
        <f t="shared" si="25"/>
        <v>1</v>
      </c>
      <c r="BX64" s="45">
        <v>1</v>
      </c>
      <c r="BY64" s="45">
        <f t="shared" si="26"/>
        <v>0</v>
      </c>
      <c r="BZ64" s="61" t="s">
        <v>99</v>
      </c>
      <c r="CA64" s="46"/>
      <c r="CB64" s="65">
        <v>15352</v>
      </c>
      <c r="CC64" s="45">
        <v>3</v>
      </c>
      <c r="CD64" s="45">
        <v>2</v>
      </c>
      <c r="CE64" s="45">
        <f t="shared" si="16"/>
        <v>0.95424250943932487</v>
      </c>
      <c r="CG64" s="46"/>
      <c r="CH64" s="66" t="s">
        <v>92</v>
      </c>
      <c r="CI64" s="67">
        <v>3</v>
      </c>
      <c r="CJ64" s="68">
        <v>2</v>
      </c>
      <c r="CK64" s="68">
        <f t="shared" si="17"/>
        <v>0.95424250943932487</v>
      </c>
      <c r="CL64" s="68"/>
      <c r="CM64" s="69"/>
      <c r="CO64" s="70">
        <f t="shared" si="27"/>
        <v>1.8888888888888888</v>
      </c>
      <c r="CQ64" s="45">
        <f t="shared" si="19"/>
        <v>0.24550166828251452</v>
      </c>
      <c r="CR64" s="45">
        <f t="shared" si="20"/>
        <v>1.7599554244151643</v>
      </c>
      <c r="CT64" s="71">
        <f t="shared" si="21"/>
        <v>1.3461426924113953</v>
      </c>
    </row>
    <row r="65" spans="1:98" ht="16">
      <c r="A65" s="36">
        <v>63</v>
      </c>
      <c r="B65" s="37"/>
      <c r="C65" s="37"/>
      <c r="D65" s="37"/>
      <c r="E65" s="38" t="s">
        <v>324</v>
      </c>
      <c r="F65" s="38" t="s">
        <v>325</v>
      </c>
      <c r="G65" s="38" t="s">
        <v>326</v>
      </c>
      <c r="H65" s="38" t="s">
        <v>327</v>
      </c>
      <c r="I65" s="72">
        <v>8</v>
      </c>
      <c r="J65" s="53" t="s">
        <v>115</v>
      </c>
      <c r="K65" s="42">
        <v>1</v>
      </c>
      <c r="L65" s="42">
        <v>2</v>
      </c>
      <c r="M65" s="42">
        <v>1</v>
      </c>
      <c r="N65" s="42">
        <f t="shared" si="0"/>
        <v>2</v>
      </c>
      <c r="O65" s="95" t="s">
        <v>703</v>
      </c>
      <c r="P65" s="53" t="s">
        <v>665</v>
      </c>
      <c r="Q65" s="43">
        <v>61</v>
      </c>
      <c r="R65" s="44">
        <f t="shared" si="22"/>
        <v>1</v>
      </c>
      <c r="S65" s="45">
        <v>1</v>
      </c>
      <c r="T65" s="45">
        <f t="shared" si="2"/>
        <v>1</v>
      </c>
      <c r="V65" s="46"/>
      <c r="W65" s="58" t="s">
        <v>329</v>
      </c>
      <c r="X65" s="73">
        <v>3.8</v>
      </c>
      <c r="Y65" s="44">
        <f t="shared" si="3"/>
        <v>1</v>
      </c>
      <c r="Z65" s="45">
        <v>1</v>
      </c>
      <c r="AA65" s="45">
        <f t="shared" si="4"/>
        <v>1</v>
      </c>
      <c r="AB65" s="45">
        <v>1</v>
      </c>
      <c r="AD65" s="49" t="s">
        <v>155</v>
      </c>
      <c r="AE65" s="50" t="s">
        <v>88</v>
      </c>
      <c r="AF65" s="50">
        <v>0</v>
      </c>
      <c r="AG65" s="50">
        <v>3</v>
      </c>
      <c r="AH65" s="50">
        <v>2</v>
      </c>
      <c r="AI65" s="50">
        <f t="shared" si="5"/>
        <v>6</v>
      </c>
      <c r="AJ65" s="50">
        <v>1</v>
      </c>
      <c r="AK65" s="51" t="s">
        <v>135</v>
      </c>
      <c r="AL65" s="52">
        <v>1153211.5</v>
      </c>
      <c r="AM65" s="53" t="s">
        <v>115</v>
      </c>
      <c r="AN65" s="42">
        <v>1</v>
      </c>
      <c r="AO65" s="54">
        <f t="shared" si="23"/>
        <v>3</v>
      </c>
      <c r="AP65" s="53">
        <v>2</v>
      </c>
      <c r="AQ65" s="53">
        <f t="shared" si="7"/>
        <v>6</v>
      </c>
      <c r="AR65" s="53"/>
      <c r="AS65" s="55"/>
      <c r="AT65" s="42">
        <v>14</v>
      </c>
      <c r="AU65" s="42" t="s">
        <v>146</v>
      </c>
      <c r="AV65" s="44">
        <v>2</v>
      </c>
      <c r="AW65" s="44">
        <f t="shared" si="8"/>
        <v>2</v>
      </c>
      <c r="AX65" s="42">
        <v>1</v>
      </c>
      <c r="AY65" s="42">
        <f t="shared" si="9"/>
        <v>2</v>
      </c>
      <c r="AZ65" s="42" t="s">
        <v>331</v>
      </c>
      <c r="BA65" s="53" t="s">
        <v>332</v>
      </c>
      <c r="BB65" s="57" t="s">
        <v>602</v>
      </c>
      <c r="BC65" s="58" t="s">
        <v>603</v>
      </c>
      <c r="BD65" s="58" t="s">
        <v>604</v>
      </c>
      <c r="BE65" s="59">
        <v>2</v>
      </c>
      <c r="BF65" s="58">
        <v>2</v>
      </c>
      <c r="BG65" s="58">
        <f t="shared" si="10"/>
        <v>0.6020599913279624</v>
      </c>
      <c r="BH65" s="58" t="s">
        <v>605</v>
      </c>
      <c r="BI65" s="58" t="s">
        <v>626</v>
      </c>
      <c r="BJ65" s="60" t="s">
        <v>90</v>
      </c>
      <c r="BK65" s="61">
        <v>1</v>
      </c>
      <c r="BL65" s="62">
        <v>1</v>
      </c>
      <c r="BM65" s="62">
        <f t="shared" si="11"/>
        <v>0</v>
      </c>
      <c r="BN65" s="58" t="s">
        <v>607</v>
      </c>
      <c r="BO65" s="59"/>
      <c r="BP65" s="59">
        <v>15.5</v>
      </c>
      <c r="BQ65" s="63">
        <f t="shared" si="24"/>
        <v>2</v>
      </c>
      <c r="BR65" s="45">
        <v>1</v>
      </c>
      <c r="BS65" s="45">
        <f t="shared" si="13"/>
        <v>0.3010299956639812</v>
      </c>
      <c r="BU65" s="46"/>
      <c r="BV65" s="64">
        <v>3</v>
      </c>
      <c r="BW65" s="54">
        <f t="shared" si="25"/>
        <v>2</v>
      </c>
      <c r="BX65" s="45">
        <v>1</v>
      </c>
      <c r="BY65" s="45">
        <f t="shared" si="26"/>
        <v>0.3010299956639812</v>
      </c>
      <c r="BZ65" s="61" t="s">
        <v>273</v>
      </c>
      <c r="CA65" s="46"/>
      <c r="CB65" s="65">
        <v>15256</v>
      </c>
      <c r="CC65" s="45">
        <v>3</v>
      </c>
      <c r="CD65" s="45">
        <v>2</v>
      </c>
      <c r="CE65" s="45">
        <f t="shared" si="16"/>
        <v>0.95424250943932487</v>
      </c>
      <c r="CG65" s="46"/>
      <c r="CH65" s="66" t="s">
        <v>250</v>
      </c>
      <c r="CI65" s="67">
        <v>3</v>
      </c>
      <c r="CJ65" s="68">
        <v>2</v>
      </c>
      <c r="CK65" s="68">
        <f t="shared" si="17"/>
        <v>0.95424250943932487</v>
      </c>
      <c r="CL65" s="68"/>
      <c r="CM65" s="69"/>
      <c r="CO65" s="70">
        <f t="shared" si="27"/>
        <v>1.7777777777777777</v>
      </c>
      <c r="CQ65" s="45">
        <f t="shared" si="19"/>
        <v>0.34584500017050829</v>
      </c>
      <c r="CR65" s="45">
        <f t="shared" si="20"/>
        <v>2.2174048860973312</v>
      </c>
      <c r="CT65" s="71">
        <f t="shared" si="21"/>
        <v>1.7250802349999501</v>
      </c>
    </row>
    <row r="66" spans="1:98" ht="16">
      <c r="A66" s="36">
        <v>64</v>
      </c>
      <c r="B66" s="37"/>
      <c r="C66" s="37"/>
      <c r="D66" s="37"/>
      <c r="E66" s="38" t="s">
        <v>704</v>
      </c>
      <c r="F66" s="38" t="s">
        <v>705</v>
      </c>
      <c r="G66" s="38" t="s">
        <v>706</v>
      </c>
      <c r="H66" s="38" t="s">
        <v>707</v>
      </c>
      <c r="I66" s="72">
        <v>6.5</v>
      </c>
      <c r="J66" s="53" t="s">
        <v>88</v>
      </c>
      <c r="K66" s="42">
        <v>0</v>
      </c>
      <c r="L66" s="42">
        <v>2</v>
      </c>
      <c r="M66" s="42">
        <v>1</v>
      </c>
      <c r="N66" s="42">
        <f t="shared" si="0"/>
        <v>2</v>
      </c>
      <c r="O66" s="53"/>
      <c r="P66" s="53"/>
      <c r="Q66" s="43">
        <v>10.866666670000001</v>
      </c>
      <c r="R66" s="44">
        <f t="shared" si="22"/>
        <v>3</v>
      </c>
      <c r="S66" s="45">
        <v>1</v>
      </c>
      <c r="T66" s="45">
        <f t="shared" si="2"/>
        <v>3</v>
      </c>
      <c r="V66" s="46"/>
      <c r="W66" s="58" t="s">
        <v>708</v>
      </c>
      <c r="X66" s="73">
        <v>3</v>
      </c>
      <c r="Y66" s="44">
        <f t="shared" si="3"/>
        <v>2</v>
      </c>
      <c r="Z66" s="45">
        <v>1</v>
      </c>
      <c r="AA66" s="45">
        <f t="shared" si="4"/>
        <v>2</v>
      </c>
      <c r="AB66" s="45">
        <v>1</v>
      </c>
      <c r="AD66" s="49" t="s">
        <v>709</v>
      </c>
      <c r="AE66" s="50" t="s">
        <v>88</v>
      </c>
      <c r="AF66" s="50">
        <v>0</v>
      </c>
      <c r="AG66" s="50">
        <v>1</v>
      </c>
      <c r="AH66" s="50">
        <v>2</v>
      </c>
      <c r="AI66" s="50">
        <f t="shared" si="5"/>
        <v>2</v>
      </c>
      <c r="AJ66" s="50">
        <v>1</v>
      </c>
      <c r="AK66" s="51" t="s">
        <v>145</v>
      </c>
      <c r="AL66" s="61">
        <v>16240</v>
      </c>
      <c r="AM66" s="53" t="s">
        <v>88</v>
      </c>
      <c r="AN66" s="42">
        <v>0</v>
      </c>
      <c r="AO66" s="54">
        <f t="shared" si="23"/>
        <v>3</v>
      </c>
      <c r="AP66" s="53">
        <v>2</v>
      </c>
      <c r="AQ66" s="53">
        <f t="shared" si="7"/>
        <v>6</v>
      </c>
      <c r="AR66" s="53"/>
      <c r="AS66" s="55"/>
      <c r="AT66" s="42">
        <v>21</v>
      </c>
      <c r="AU66" s="42" t="s">
        <v>88</v>
      </c>
      <c r="AV66" s="56">
        <v>0</v>
      </c>
      <c r="AW66" s="44">
        <f t="shared" si="8"/>
        <v>2</v>
      </c>
      <c r="AX66" s="42">
        <v>1</v>
      </c>
      <c r="AY66" s="42">
        <f t="shared" si="9"/>
        <v>2</v>
      </c>
      <c r="AZ66" s="42" t="s">
        <v>710</v>
      </c>
      <c r="BA66" s="53"/>
      <c r="BB66" s="57" t="s">
        <v>602</v>
      </c>
      <c r="BC66" s="58" t="s">
        <v>603</v>
      </c>
      <c r="BD66" s="58" t="s">
        <v>609</v>
      </c>
      <c r="BE66" s="59">
        <v>1</v>
      </c>
      <c r="BF66" s="58">
        <v>2</v>
      </c>
      <c r="BG66" s="58">
        <f t="shared" si="10"/>
        <v>0</v>
      </c>
      <c r="BH66" s="58" t="s">
        <v>605</v>
      </c>
      <c r="BI66" s="58" t="s">
        <v>610</v>
      </c>
      <c r="BJ66" s="60" t="s">
        <v>90</v>
      </c>
      <c r="BK66" s="61">
        <v>1</v>
      </c>
      <c r="BL66" s="62">
        <v>1</v>
      </c>
      <c r="BM66" s="62">
        <f t="shared" si="11"/>
        <v>0</v>
      </c>
      <c r="BN66" s="58" t="s">
        <v>607</v>
      </c>
      <c r="BO66" s="59"/>
      <c r="BP66" s="59">
        <v>30.5</v>
      </c>
      <c r="BQ66" s="63">
        <f t="shared" si="24"/>
        <v>1</v>
      </c>
      <c r="BR66" s="45">
        <v>1</v>
      </c>
      <c r="BS66" s="45">
        <f t="shared" si="13"/>
        <v>0</v>
      </c>
      <c r="BU66" s="46"/>
      <c r="BV66" s="64">
        <v>1.875</v>
      </c>
      <c r="BW66" s="54">
        <f t="shared" si="25"/>
        <v>1</v>
      </c>
      <c r="BX66" s="45">
        <v>1</v>
      </c>
      <c r="BY66" s="45">
        <f t="shared" si="26"/>
        <v>0</v>
      </c>
      <c r="BZ66" s="61" t="s">
        <v>99</v>
      </c>
      <c r="CA66" s="46"/>
      <c r="CB66" s="65">
        <v>15167</v>
      </c>
      <c r="CC66" s="45">
        <v>3</v>
      </c>
      <c r="CD66" s="45">
        <v>2</v>
      </c>
      <c r="CE66" s="45">
        <f t="shared" si="16"/>
        <v>0.95424250943932487</v>
      </c>
      <c r="CG66" s="46"/>
      <c r="CH66" s="66" t="s">
        <v>92</v>
      </c>
      <c r="CI66" s="67">
        <v>3</v>
      </c>
      <c r="CJ66" s="68">
        <v>2</v>
      </c>
      <c r="CK66" s="68">
        <f t="shared" si="17"/>
        <v>0.95424250943932487</v>
      </c>
      <c r="CL66" s="68"/>
      <c r="CM66" s="69"/>
      <c r="CO66" s="70">
        <f t="shared" si="27"/>
        <v>1.6666666666666667</v>
      </c>
      <c r="CQ66" s="45">
        <f t="shared" si="19"/>
        <v>0.21205389098651664</v>
      </c>
      <c r="CR66" s="45">
        <f t="shared" si="20"/>
        <v>1.6294982222188463</v>
      </c>
      <c r="CT66" s="71">
        <f t="shared" si="21"/>
        <v>1.4744645772464207</v>
      </c>
    </row>
    <row r="67" spans="1:98" ht="16">
      <c r="A67" s="36">
        <v>65</v>
      </c>
      <c r="B67" s="37"/>
      <c r="C67" s="37"/>
      <c r="D67" s="37"/>
      <c r="E67" s="38" t="s">
        <v>711</v>
      </c>
      <c r="F67" s="38" t="s">
        <v>237</v>
      </c>
      <c r="G67" s="38" t="s">
        <v>712</v>
      </c>
      <c r="H67" s="38" t="s">
        <v>177</v>
      </c>
      <c r="I67" s="72">
        <v>6.27</v>
      </c>
      <c r="J67" s="53" t="s">
        <v>88</v>
      </c>
      <c r="K67" s="42">
        <v>0</v>
      </c>
      <c r="L67" s="42">
        <v>2</v>
      </c>
      <c r="M67" s="42">
        <v>1</v>
      </c>
      <c r="N67" s="42">
        <f t="shared" si="0"/>
        <v>2</v>
      </c>
      <c r="O67" s="53"/>
      <c r="P67" s="53"/>
      <c r="Q67" s="43">
        <v>38.5</v>
      </c>
      <c r="R67" s="44">
        <f t="shared" si="22"/>
        <v>2</v>
      </c>
      <c r="S67" s="45">
        <v>1</v>
      </c>
      <c r="T67" s="45">
        <f t="shared" si="2"/>
        <v>2</v>
      </c>
      <c r="V67" s="46"/>
      <c r="W67" s="58" t="s">
        <v>213</v>
      </c>
      <c r="X67" s="73">
        <v>2</v>
      </c>
      <c r="Y67" s="44">
        <f t="shared" si="3"/>
        <v>3</v>
      </c>
      <c r="Z67" s="45">
        <v>1</v>
      </c>
      <c r="AA67" s="45">
        <f t="shared" si="4"/>
        <v>3</v>
      </c>
      <c r="AB67" s="45">
        <v>1</v>
      </c>
      <c r="AD67" s="49" t="s">
        <v>713</v>
      </c>
      <c r="AE67" s="50" t="s">
        <v>88</v>
      </c>
      <c r="AF67" s="50">
        <v>0</v>
      </c>
      <c r="AG67" s="50">
        <v>3</v>
      </c>
      <c r="AH67" s="50">
        <v>2</v>
      </c>
      <c r="AI67" s="50">
        <f t="shared" si="5"/>
        <v>6</v>
      </c>
      <c r="AJ67" s="50">
        <v>1</v>
      </c>
      <c r="AK67" s="51" t="s">
        <v>135</v>
      </c>
      <c r="AL67" s="61">
        <v>22304</v>
      </c>
      <c r="AM67" s="53" t="s">
        <v>88</v>
      </c>
      <c r="AN67" s="42">
        <v>0</v>
      </c>
      <c r="AO67" s="54">
        <f t="shared" si="23"/>
        <v>3</v>
      </c>
      <c r="AP67" s="53">
        <v>2</v>
      </c>
      <c r="AQ67" s="53">
        <f t="shared" si="7"/>
        <v>6</v>
      </c>
      <c r="AR67" s="53"/>
      <c r="AS67" s="55"/>
      <c r="AT67" s="53">
        <v>53.1</v>
      </c>
      <c r="AU67" s="42" t="s">
        <v>146</v>
      </c>
      <c r="AV67" s="44">
        <v>2</v>
      </c>
      <c r="AW67" s="44">
        <f t="shared" si="8"/>
        <v>1</v>
      </c>
      <c r="AX67" s="42">
        <v>1</v>
      </c>
      <c r="AY67" s="42">
        <f t="shared" si="9"/>
        <v>1</v>
      </c>
      <c r="AZ67" s="42" t="s">
        <v>187</v>
      </c>
      <c r="BA67" s="53" t="s">
        <v>714</v>
      </c>
      <c r="BB67" s="57" t="s">
        <v>602</v>
      </c>
      <c r="BC67" s="58" t="s">
        <v>603</v>
      </c>
      <c r="BD67" s="58" t="s">
        <v>609</v>
      </c>
      <c r="BE67" s="59">
        <v>1</v>
      </c>
      <c r="BF67" s="58">
        <v>2</v>
      </c>
      <c r="BG67" s="58">
        <f t="shared" si="10"/>
        <v>0</v>
      </c>
      <c r="BH67" s="58" t="s">
        <v>605</v>
      </c>
      <c r="BI67" s="58" t="s">
        <v>610</v>
      </c>
      <c r="BJ67" s="81" t="s">
        <v>90</v>
      </c>
      <c r="BK67" s="61">
        <v>1</v>
      </c>
      <c r="BL67" s="62">
        <v>1</v>
      </c>
      <c r="BM67" s="62">
        <f t="shared" si="11"/>
        <v>0</v>
      </c>
      <c r="BN67" s="58" t="s">
        <v>607</v>
      </c>
      <c r="BO67" s="59"/>
      <c r="BP67" s="59">
        <v>12.5</v>
      </c>
      <c r="BQ67" s="63">
        <f t="shared" si="24"/>
        <v>2</v>
      </c>
      <c r="BR67" s="45">
        <v>1</v>
      </c>
      <c r="BS67" s="45">
        <f t="shared" si="13"/>
        <v>0.3010299956639812</v>
      </c>
      <c r="BU67" s="46"/>
      <c r="BV67" s="64">
        <v>2.25</v>
      </c>
      <c r="BW67" s="54">
        <f t="shared" si="25"/>
        <v>1</v>
      </c>
      <c r="BX67" s="45">
        <v>1</v>
      </c>
      <c r="BY67" s="45">
        <f t="shared" si="26"/>
        <v>0</v>
      </c>
      <c r="BZ67" s="61" t="s">
        <v>99</v>
      </c>
      <c r="CA67" s="46"/>
      <c r="CB67" s="65">
        <v>15005</v>
      </c>
      <c r="CC67" s="45">
        <v>3</v>
      </c>
      <c r="CD67" s="45">
        <v>2</v>
      </c>
      <c r="CE67" s="45">
        <f t="shared" si="16"/>
        <v>0.95424250943932487</v>
      </c>
      <c r="CG67" s="46"/>
      <c r="CH67" s="66" t="s">
        <v>106</v>
      </c>
      <c r="CI67" s="67">
        <v>3</v>
      </c>
      <c r="CJ67" s="68">
        <v>2</v>
      </c>
      <c r="CK67" s="68">
        <f t="shared" si="17"/>
        <v>0.95424250943932487</v>
      </c>
      <c r="CL67" s="68"/>
      <c r="CM67" s="69"/>
      <c r="CO67" s="70">
        <f t="shared" si="27"/>
        <v>2</v>
      </c>
      <c r="CQ67" s="45">
        <f t="shared" si="19"/>
        <v>0.24550166828251452</v>
      </c>
      <c r="CR67" s="45">
        <f t="shared" si="20"/>
        <v>1.7599554244151643</v>
      </c>
      <c r="CT67" s="71">
        <f t="shared" si="21"/>
        <v>1.2559985060094747</v>
      </c>
    </row>
    <row r="68" spans="1:98" ht="16">
      <c r="A68" s="36">
        <v>66</v>
      </c>
      <c r="B68" s="37"/>
      <c r="C68" s="37"/>
      <c r="D68" s="37"/>
      <c r="E68" s="38" t="s">
        <v>342</v>
      </c>
      <c r="F68" s="38" t="s">
        <v>343</v>
      </c>
      <c r="G68" s="38" t="s">
        <v>344</v>
      </c>
      <c r="H68" s="38" t="s">
        <v>152</v>
      </c>
      <c r="I68" s="72">
        <v>5</v>
      </c>
      <c r="J68" s="53" t="s">
        <v>88</v>
      </c>
      <c r="K68" s="42">
        <v>0</v>
      </c>
      <c r="L68" s="42">
        <v>2</v>
      </c>
      <c r="M68" s="42">
        <v>1</v>
      </c>
      <c r="N68" s="42">
        <f t="shared" si="0"/>
        <v>2</v>
      </c>
      <c r="O68" s="214" t="s">
        <v>715</v>
      </c>
      <c r="P68" s="53" t="s">
        <v>652</v>
      </c>
      <c r="Q68" s="43">
        <v>38.333333330000002</v>
      </c>
      <c r="R68" s="44">
        <f t="shared" si="22"/>
        <v>2</v>
      </c>
      <c r="S68" s="45">
        <v>1</v>
      </c>
      <c r="T68" s="45">
        <f t="shared" si="2"/>
        <v>2</v>
      </c>
      <c r="V68" s="46"/>
      <c r="W68" s="58" t="s">
        <v>345</v>
      </c>
      <c r="X68" s="73">
        <v>3.5</v>
      </c>
      <c r="Y68" s="44">
        <f t="shared" si="3"/>
        <v>2</v>
      </c>
      <c r="Z68" s="45">
        <v>1</v>
      </c>
      <c r="AA68" s="45">
        <f t="shared" si="4"/>
        <v>2</v>
      </c>
      <c r="AB68" s="45">
        <v>1</v>
      </c>
      <c r="AD68" s="49" t="s">
        <v>346</v>
      </c>
      <c r="AE68" s="50" t="s">
        <v>88</v>
      </c>
      <c r="AF68" s="50">
        <v>0</v>
      </c>
      <c r="AG68" s="50">
        <v>2</v>
      </c>
      <c r="AH68" s="50">
        <v>2</v>
      </c>
      <c r="AI68" s="50">
        <f t="shared" si="5"/>
        <v>4</v>
      </c>
      <c r="AJ68" s="50">
        <v>1</v>
      </c>
      <c r="AK68" s="51" t="s">
        <v>156</v>
      </c>
      <c r="AL68" s="61">
        <v>539520</v>
      </c>
      <c r="AM68" s="53" t="s">
        <v>146</v>
      </c>
      <c r="AN68" s="42">
        <v>2</v>
      </c>
      <c r="AO68" s="54">
        <f t="shared" si="23"/>
        <v>3</v>
      </c>
      <c r="AP68" s="53">
        <v>2</v>
      </c>
      <c r="AQ68" s="53">
        <f t="shared" si="7"/>
        <v>6</v>
      </c>
      <c r="AR68" s="53"/>
      <c r="AS68" s="55"/>
      <c r="AT68" s="42">
        <v>45.8</v>
      </c>
      <c r="AU68" s="42" t="s">
        <v>88</v>
      </c>
      <c r="AV68" s="56">
        <v>0</v>
      </c>
      <c r="AW68" s="44">
        <f t="shared" si="8"/>
        <v>1</v>
      </c>
      <c r="AX68" s="42">
        <v>1</v>
      </c>
      <c r="AY68" s="42">
        <f t="shared" si="9"/>
        <v>1</v>
      </c>
      <c r="AZ68" s="42"/>
      <c r="BA68" s="42"/>
      <c r="BB68" s="57" t="s">
        <v>602</v>
      </c>
      <c r="BC68" s="58" t="s">
        <v>603</v>
      </c>
      <c r="BD68" s="58" t="s">
        <v>609</v>
      </c>
      <c r="BE68" s="59">
        <v>1</v>
      </c>
      <c r="BF68" s="58">
        <v>2</v>
      </c>
      <c r="BG68" s="58">
        <f t="shared" si="10"/>
        <v>0</v>
      </c>
      <c r="BH68" s="58" t="s">
        <v>605</v>
      </c>
      <c r="BI68" s="58" t="s">
        <v>610</v>
      </c>
      <c r="BJ68" s="60" t="s">
        <v>90</v>
      </c>
      <c r="BK68" s="61">
        <v>1</v>
      </c>
      <c r="BL68" s="62">
        <v>1</v>
      </c>
      <c r="BM68" s="62">
        <f t="shared" si="11"/>
        <v>0</v>
      </c>
      <c r="BN68" s="58" t="s">
        <v>607</v>
      </c>
      <c r="BO68" s="59"/>
      <c r="BP68" s="59">
        <v>25.5</v>
      </c>
      <c r="BQ68" s="63">
        <f t="shared" si="24"/>
        <v>2</v>
      </c>
      <c r="BR68" s="45">
        <v>1</v>
      </c>
      <c r="BS68" s="45">
        <f t="shared" si="13"/>
        <v>0.3010299956639812</v>
      </c>
      <c r="BU68" s="46"/>
      <c r="BV68" s="64">
        <v>1.875</v>
      </c>
      <c r="BW68" s="54">
        <f t="shared" si="25"/>
        <v>1</v>
      </c>
      <c r="BX68" s="45">
        <v>1</v>
      </c>
      <c r="BY68" s="45">
        <f t="shared" si="26"/>
        <v>0</v>
      </c>
      <c r="BZ68" s="61" t="s">
        <v>99</v>
      </c>
      <c r="CA68" s="46"/>
      <c r="CB68" s="65">
        <v>14692</v>
      </c>
      <c r="CC68" s="45">
        <v>3</v>
      </c>
      <c r="CD68" s="45">
        <v>2</v>
      </c>
      <c r="CE68" s="45">
        <f t="shared" si="16"/>
        <v>0.95424250943932487</v>
      </c>
      <c r="CG68" s="46"/>
      <c r="CH68" s="66" t="s">
        <v>216</v>
      </c>
      <c r="CI68" s="67">
        <v>3</v>
      </c>
      <c r="CJ68" s="68">
        <v>2</v>
      </c>
      <c r="CK68" s="68">
        <f t="shared" si="17"/>
        <v>0.95424250943932487</v>
      </c>
      <c r="CL68" s="68"/>
      <c r="CM68" s="69"/>
      <c r="CO68" s="70">
        <f t="shared" si="27"/>
        <v>1.6666666666666667</v>
      </c>
      <c r="CQ68" s="45">
        <f t="shared" si="19"/>
        <v>0.24550166828251452</v>
      </c>
      <c r="CR68" s="45">
        <f t="shared" si="20"/>
        <v>1.7599554244151643</v>
      </c>
      <c r="CT68" s="71">
        <f t="shared" si="21"/>
        <v>1.5347019335609797</v>
      </c>
    </row>
    <row r="69" spans="1:98" ht="16">
      <c r="A69" s="36">
        <v>67</v>
      </c>
      <c r="B69" s="37"/>
      <c r="C69" s="37"/>
      <c r="D69" s="37"/>
      <c r="E69" s="38" t="s">
        <v>299</v>
      </c>
      <c r="F69" s="38" t="s">
        <v>94</v>
      </c>
      <c r="G69" s="38" t="s">
        <v>300</v>
      </c>
      <c r="H69" s="38" t="s">
        <v>83</v>
      </c>
      <c r="I69" s="72">
        <v>6</v>
      </c>
      <c r="J69" s="53" t="s">
        <v>88</v>
      </c>
      <c r="K69" s="42">
        <v>0</v>
      </c>
      <c r="L69" s="42">
        <v>2</v>
      </c>
      <c r="M69" s="42">
        <v>1</v>
      </c>
      <c r="N69" s="42">
        <f t="shared" si="0"/>
        <v>2</v>
      </c>
      <c r="O69" s="214" t="s">
        <v>716</v>
      </c>
      <c r="P69" s="53" t="s">
        <v>652</v>
      </c>
      <c r="Q69" s="43">
        <v>7</v>
      </c>
      <c r="R69" s="44">
        <f t="shared" si="22"/>
        <v>3</v>
      </c>
      <c r="S69" s="45">
        <v>1</v>
      </c>
      <c r="T69" s="45">
        <f t="shared" si="2"/>
        <v>3</v>
      </c>
      <c r="V69" s="46"/>
      <c r="W69" s="58" t="s">
        <v>301</v>
      </c>
      <c r="X69" s="73">
        <v>2.5</v>
      </c>
      <c r="Y69" s="44">
        <f t="shared" si="3"/>
        <v>2</v>
      </c>
      <c r="Z69" s="45">
        <v>1</v>
      </c>
      <c r="AA69" s="45">
        <f t="shared" si="4"/>
        <v>2</v>
      </c>
      <c r="AB69" s="45">
        <v>1</v>
      </c>
      <c r="AD69" s="49" t="s">
        <v>87</v>
      </c>
      <c r="AE69" s="50" t="s">
        <v>88</v>
      </c>
      <c r="AF69" s="50">
        <v>0</v>
      </c>
      <c r="AG69" s="50">
        <v>3</v>
      </c>
      <c r="AH69" s="50">
        <v>2</v>
      </c>
      <c r="AI69" s="50">
        <f t="shared" si="5"/>
        <v>6</v>
      </c>
      <c r="AJ69" s="50">
        <v>1</v>
      </c>
      <c r="AK69" s="51" t="s">
        <v>89</v>
      </c>
      <c r="AL69" s="52">
        <v>26408</v>
      </c>
      <c r="AM69" s="53" t="s">
        <v>115</v>
      </c>
      <c r="AN69" s="42">
        <v>1</v>
      </c>
      <c r="AO69" s="54">
        <f t="shared" si="23"/>
        <v>3</v>
      </c>
      <c r="AP69" s="53">
        <v>2</v>
      </c>
      <c r="AQ69" s="53">
        <f t="shared" si="7"/>
        <v>6</v>
      </c>
      <c r="AR69" s="53"/>
      <c r="AS69" s="55"/>
      <c r="AT69" s="42">
        <v>19.8</v>
      </c>
      <c r="AU69" s="42" t="s">
        <v>88</v>
      </c>
      <c r="AV69" s="56">
        <v>0</v>
      </c>
      <c r="AW69" s="44">
        <f t="shared" si="8"/>
        <v>2</v>
      </c>
      <c r="AX69" s="42">
        <v>1</v>
      </c>
      <c r="AY69" s="42">
        <f t="shared" si="9"/>
        <v>2</v>
      </c>
      <c r="AZ69" s="42"/>
      <c r="BA69" s="42"/>
      <c r="BB69" s="57" t="s">
        <v>602</v>
      </c>
      <c r="BC69" s="58" t="s">
        <v>603</v>
      </c>
      <c r="BD69" s="58" t="s">
        <v>609</v>
      </c>
      <c r="BE69" s="59">
        <v>1</v>
      </c>
      <c r="BF69" s="58">
        <v>2</v>
      </c>
      <c r="BG69" s="58">
        <f t="shared" si="10"/>
        <v>0</v>
      </c>
      <c r="BH69" s="58" t="s">
        <v>605</v>
      </c>
      <c r="BI69" s="58" t="s">
        <v>610</v>
      </c>
      <c r="BJ69" s="60" t="s">
        <v>90</v>
      </c>
      <c r="BK69" s="61">
        <v>1</v>
      </c>
      <c r="BL69" s="62">
        <v>1</v>
      </c>
      <c r="BM69" s="62">
        <f t="shared" si="11"/>
        <v>0</v>
      </c>
      <c r="BN69" s="58" t="s">
        <v>607</v>
      </c>
      <c r="BO69" s="59"/>
      <c r="BP69" s="59">
        <v>7</v>
      </c>
      <c r="BQ69" s="63">
        <f t="shared" si="24"/>
        <v>3</v>
      </c>
      <c r="BR69" s="45">
        <v>1</v>
      </c>
      <c r="BS69" s="45">
        <f t="shared" si="13"/>
        <v>0.47712125471966244</v>
      </c>
      <c r="BU69" s="46"/>
      <c r="BV69" s="64">
        <v>1.25</v>
      </c>
      <c r="BW69" s="54">
        <f t="shared" si="25"/>
        <v>1</v>
      </c>
      <c r="BX69" s="45">
        <v>1</v>
      </c>
      <c r="BY69" s="45">
        <f t="shared" si="26"/>
        <v>0</v>
      </c>
      <c r="BZ69" s="61" t="s">
        <v>99</v>
      </c>
      <c r="CA69" s="46"/>
      <c r="CB69" s="65">
        <v>14576</v>
      </c>
      <c r="CC69" s="45">
        <v>3</v>
      </c>
      <c r="CD69" s="45">
        <v>2</v>
      </c>
      <c r="CE69" s="45">
        <f t="shared" si="16"/>
        <v>0.95424250943932487</v>
      </c>
      <c r="CG69" s="46"/>
      <c r="CH69" s="66" t="s">
        <v>92</v>
      </c>
      <c r="CI69" s="67">
        <v>3</v>
      </c>
      <c r="CJ69" s="68">
        <v>2</v>
      </c>
      <c r="CK69" s="68">
        <f t="shared" si="17"/>
        <v>0.95424250943932487</v>
      </c>
      <c r="CL69" s="68"/>
      <c r="CM69" s="69"/>
      <c r="CO69" s="70">
        <f t="shared" si="27"/>
        <v>2.1111111111111112</v>
      </c>
      <c r="CQ69" s="45">
        <f t="shared" si="19"/>
        <v>0.26506736373314577</v>
      </c>
      <c r="CR69" s="45">
        <f t="shared" si="20"/>
        <v>1.841057547098748</v>
      </c>
      <c r="CT69" s="71">
        <f t="shared" si="21"/>
        <v>1.2237243375539633</v>
      </c>
    </row>
    <row r="70" spans="1:98" ht="16">
      <c r="A70" s="36">
        <v>68</v>
      </c>
      <c r="B70" s="37"/>
      <c r="C70" s="37"/>
      <c r="D70" s="37"/>
      <c r="E70" s="38" t="s">
        <v>717</v>
      </c>
      <c r="F70" s="38" t="s">
        <v>395</v>
      </c>
      <c r="G70" s="38" t="s">
        <v>718</v>
      </c>
      <c r="H70" s="38" t="s">
        <v>83</v>
      </c>
      <c r="I70" s="72">
        <v>3.5</v>
      </c>
      <c r="J70" s="53" t="s">
        <v>88</v>
      </c>
      <c r="K70" s="42">
        <v>0</v>
      </c>
      <c r="L70" s="42">
        <v>3</v>
      </c>
      <c r="M70" s="42">
        <v>1</v>
      </c>
      <c r="N70" s="42">
        <f t="shared" si="0"/>
        <v>3</v>
      </c>
      <c r="O70" s="76" t="s">
        <v>719</v>
      </c>
      <c r="P70" s="53" t="s">
        <v>652</v>
      </c>
      <c r="Q70" s="43">
        <v>6.1666666670000003</v>
      </c>
      <c r="R70" s="44">
        <f t="shared" si="22"/>
        <v>3</v>
      </c>
      <c r="S70" s="45">
        <v>1</v>
      </c>
      <c r="T70" s="45">
        <f t="shared" si="2"/>
        <v>3</v>
      </c>
      <c r="V70" s="46"/>
      <c r="W70" s="58" t="s">
        <v>679</v>
      </c>
      <c r="X70" s="73">
        <v>2.7</v>
      </c>
      <c r="Y70" s="44">
        <f t="shared" si="3"/>
        <v>2</v>
      </c>
      <c r="Z70" s="45">
        <v>1</v>
      </c>
      <c r="AA70" s="45">
        <f t="shared" si="4"/>
        <v>2</v>
      </c>
      <c r="AB70" s="45">
        <v>1</v>
      </c>
      <c r="AD70" s="49" t="s">
        <v>87</v>
      </c>
      <c r="AE70" s="50" t="s">
        <v>88</v>
      </c>
      <c r="AF70" s="50">
        <v>0</v>
      </c>
      <c r="AG70" s="50">
        <v>3</v>
      </c>
      <c r="AH70" s="50">
        <v>2</v>
      </c>
      <c r="AI70" s="50">
        <f t="shared" si="5"/>
        <v>6</v>
      </c>
      <c r="AJ70" s="50">
        <v>1</v>
      </c>
      <c r="AK70" s="51" t="s">
        <v>89</v>
      </c>
      <c r="AL70" s="61">
        <v>2225</v>
      </c>
      <c r="AM70" s="53" t="s">
        <v>115</v>
      </c>
      <c r="AN70" s="42">
        <v>1</v>
      </c>
      <c r="AO70" s="54">
        <f t="shared" si="23"/>
        <v>2</v>
      </c>
      <c r="AP70" s="53">
        <v>2</v>
      </c>
      <c r="AQ70" s="53">
        <f t="shared" si="7"/>
        <v>4</v>
      </c>
      <c r="AR70" s="53"/>
      <c r="AS70" s="55"/>
      <c r="AT70" s="42">
        <v>20.14</v>
      </c>
      <c r="AU70" s="42" t="s">
        <v>115</v>
      </c>
      <c r="AV70" s="44">
        <v>1</v>
      </c>
      <c r="AW70" s="44">
        <f t="shared" si="8"/>
        <v>2</v>
      </c>
      <c r="AX70" s="42">
        <v>1</v>
      </c>
      <c r="AY70" s="42">
        <f t="shared" si="9"/>
        <v>2</v>
      </c>
      <c r="AZ70" s="42" t="s">
        <v>720</v>
      </c>
      <c r="BA70" s="53" t="s">
        <v>721</v>
      </c>
      <c r="BB70" s="57" t="s">
        <v>642</v>
      </c>
      <c r="BC70" s="58" t="s">
        <v>643</v>
      </c>
      <c r="BD70" s="58" t="s">
        <v>609</v>
      </c>
      <c r="BE70" s="59">
        <v>2</v>
      </c>
      <c r="BF70" s="58">
        <v>2</v>
      </c>
      <c r="BG70" s="58">
        <f t="shared" si="10"/>
        <v>0.6020599913279624</v>
      </c>
      <c r="BH70" s="58" t="s">
        <v>605</v>
      </c>
      <c r="BI70" s="58" t="s">
        <v>644</v>
      </c>
      <c r="BJ70" s="60" t="s">
        <v>90</v>
      </c>
      <c r="BK70" s="61">
        <v>1</v>
      </c>
      <c r="BL70" s="62">
        <v>1</v>
      </c>
      <c r="BM70" s="62">
        <f t="shared" si="11"/>
        <v>0</v>
      </c>
      <c r="BN70" s="58" t="s">
        <v>607</v>
      </c>
      <c r="BO70" s="59"/>
      <c r="BP70" s="59">
        <v>9</v>
      </c>
      <c r="BQ70" s="63">
        <f t="shared" si="24"/>
        <v>3</v>
      </c>
      <c r="BR70" s="45">
        <v>1</v>
      </c>
      <c r="BS70" s="45">
        <f t="shared" si="13"/>
        <v>0.47712125471966244</v>
      </c>
      <c r="BU70" s="46"/>
      <c r="BV70" s="64">
        <v>1.25</v>
      </c>
      <c r="BW70" s="54">
        <f t="shared" si="25"/>
        <v>1</v>
      </c>
      <c r="BX70" s="45">
        <v>1</v>
      </c>
      <c r="BY70" s="45">
        <f t="shared" si="26"/>
        <v>0</v>
      </c>
      <c r="BZ70" s="61" t="s">
        <v>99</v>
      </c>
      <c r="CA70" s="46"/>
      <c r="CB70" s="65">
        <v>14405</v>
      </c>
      <c r="CC70" s="45">
        <v>3</v>
      </c>
      <c r="CD70" s="45">
        <v>2</v>
      </c>
      <c r="CE70" s="45">
        <f t="shared" si="16"/>
        <v>0.95424250943932487</v>
      </c>
      <c r="CG70" s="46"/>
      <c r="CH70" s="66" t="s">
        <v>92</v>
      </c>
      <c r="CI70" s="67">
        <v>3</v>
      </c>
      <c r="CJ70" s="68">
        <v>2</v>
      </c>
      <c r="CK70" s="68">
        <f t="shared" si="17"/>
        <v>0.95424250943932487</v>
      </c>
      <c r="CL70" s="78"/>
      <c r="CM70" s="79"/>
      <c r="CO70" s="70">
        <f t="shared" si="27"/>
        <v>1.8888888888888888</v>
      </c>
      <c r="CQ70" s="45">
        <f t="shared" si="19"/>
        <v>0.33196291832514163</v>
      </c>
      <c r="CR70" s="45">
        <f t="shared" si="20"/>
        <v>2.1476470922214639</v>
      </c>
      <c r="CT70" s="71">
        <f t="shared" si="21"/>
        <v>1.5973921714841817</v>
      </c>
    </row>
    <row r="71" spans="1:98" ht="16">
      <c r="A71" s="36">
        <v>69</v>
      </c>
      <c r="B71" s="37" t="s">
        <v>144</v>
      </c>
      <c r="C71" s="37"/>
      <c r="D71" s="37"/>
      <c r="E71" s="38" t="s">
        <v>447</v>
      </c>
      <c r="F71" s="38" t="s">
        <v>448</v>
      </c>
      <c r="G71" s="38" t="s">
        <v>449</v>
      </c>
      <c r="H71" s="38" t="s">
        <v>160</v>
      </c>
      <c r="I71" s="72">
        <v>7.67</v>
      </c>
      <c r="J71" s="53" t="s">
        <v>88</v>
      </c>
      <c r="K71" s="42">
        <v>0</v>
      </c>
      <c r="L71" s="42">
        <v>2</v>
      </c>
      <c r="M71" s="42">
        <v>1</v>
      </c>
      <c r="N71" s="42">
        <f t="shared" si="0"/>
        <v>2</v>
      </c>
      <c r="O71" s="53"/>
      <c r="P71" s="53"/>
      <c r="Q71" s="43">
        <v>39.5</v>
      </c>
      <c r="R71" s="44">
        <f t="shared" si="22"/>
        <v>2</v>
      </c>
      <c r="S71" s="45">
        <v>1</v>
      </c>
      <c r="T71" s="45">
        <f t="shared" si="2"/>
        <v>2</v>
      </c>
      <c r="V71" s="46"/>
      <c r="W71" s="58" t="s">
        <v>450</v>
      </c>
      <c r="X71" s="73">
        <v>2.7</v>
      </c>
      <c r="Y71" s="44">
        <f t="shared" si="3"/>
        <v>2</v>
      </c>
      <c r="Z71" s="45">
        <v>1</v>
      </c>
      <c r="AA71" s="45">
        <f t="shared" si="4"/>
        <v>2</v>
      </c>
      <c r="AB71" s="45">
        <v>1</v>
      </c>
      <c r="AD71" s="49" t="s">
        <v>163</v>
      </c>
      <c r="AE71" s="50" t="s">
        <v>146</v>
      </c>
      <c r="AF71" s="50">
        <v>2</v>
      </c>
      <c r="AG71" s="50">
        <v>3</v>
      </c>
      <c r="AH71" s="50">
        <v>2</v>
      </c>
      <c r="AI71" s="50">
        <f t="shared" si="5"/>
        <v>6</v>
      </c>
      <c r="AJ71" s="50">
        <v>1</v>
      </c>
      <c r="AK71" s="51" t="s">
        <v>165</v>
      </c>
      <c r="AL71" s="52">
        <v>79353</v>
      </c>
      <c r="AM71" s="53" t="s">
        <v>88</v>
      </c>
      <c r="AN71" s="42">
        <v>0</v>
      </c>
      <c r="AO71" s="54">
        <f t="shared" si="23"/>
        <v>3</v>
      </c>
      <c r="AP71" s="53">
        <v>2</v>
      </c>
      <c r="AQ71" s="53">
        <f t="shared" si="7"/>
        <v>6</v>
      </c>
      <c r="AR71" s="53"/>
      <c r="AS71" s="55"/>
      <c r="AT71" s="42">
        <v>22</v>
      </c>
      <c r="AU71" s="42" t="s">
        <v>88</v>
      </c>
      <c r="AV71" s="56">
        <v>0</v>
      </c>
      <c r="AW71" s="44">
        <f t="shared" si="8"/>
        <v>2</v>
      </c>
      <c r="AX71" s="42">
        <v>1</v>
      </c>
      <c r="AY71" s="42">
        <f t="shared" si="9"/>
        <v>2</v>
      </c>
      <c r="AZ71" s="42"/>
      <c r="BA71" s="42"/>
      <c r="BB71" s="57" t="s">
        <v>602</v>
      </c>
      <c r="BC71" s="58" t="s">
        <v>603</v>
      </c>
      <c r="BD71" s="58" t="s">
        <v>609</v>
      </c>
      <c r="BE71" s="59">
        <v>1</v>
      </c>
      <c r="BF71" s="58">
        <v>2</v>
      </c>
      <c r="BG71" s="58">
        <f t="shared" si="10"/>
        <v>0</v>
      </c>
      <c r="BH71" s="58" t="s">
        <v>605</v>
      </c>
      <c r="BI71" s="58" t="s">
        <v>610</v>
      </c>
      <c r="BJ71" s="81" t="s">
        <v>166</v>
      </c>
      <c r="BK71" s="61">
        <v>3</v>
      </c>
      <c r="BL71" s="62">
        <v>1</v>
      </c>
      <c r="BM71" s="62">
        <f t="shared" si="11"/>
        <v>0.47712125471966244</v>
      </c>
      <c r="BN71" s="58" t="s">
        <v>607</v>
      </c>
      <c r="BO71" s="59"/>
      <c r="BP71" s="59">
        <v>50.5</v>
      </c>
      <c r="BQ71" s="63">
        <f t="shared" si="24"/>
        <v>1</v>
      </c>
      <c r="BR71" s="45">
        <v>1</v>
      </c>
      <c r="BS71" s="45">
        <f t="shared" si="13"/>
        <v>0</v>
      </c>
      <c r="BU71" s="46"/>
      <c r="BV71" s="64">
        <v>2.25</v>
      </c>
      <c r="BW71" s="54">
        <f t="shared" si="25"/>
        <v>1</v>
      </c>
      <c r="BX71" s="45">
        <v>1</v>
      </c>
      <c r="BY71" s="45">
        <f t="shared" si="26"/>
        <v>0</v>
      </c>
      <c r="BZ71" s="61" t="s">
        <v>99</v>
      </c>
      <c r="CA71" s="46"/>
      <c r="CB71" s="65">
        <v>14302</v>
      </c>
      <c r="CC71" s="45">
        <v>3</v>
      </c>
      <c r="CD71" s="45">
        <v>2</v>
      </c>
      <c r="CE71" s="45">
        <f t="shared" si="16"/>
        <v>0.95424250943932487</v>
      </c>
      <c r="CG71" s="46"/>
      <c r="CH71" s="66" t="s">
        <v>180</v>
      </c>
      <c r="CI71" s="67">
        <v>3</v>
      </c>
      <c r="CJ71" s="68">
        <v>2</v>
      </c>
      <c r="CK71" s="68">
        <f t="shared" si="17"/>
        <v>0.95424250943932487</v>
      </c>
      <c r="CL71" s="78"/>
      <c r="CM71" s="79"/>
      <c r="CO71" s="70">
        <f t="shared" si="27"/>
        <v>2</v>
      </c>
      <c r="CQ71" s="45">
        <f t="shared" si="19"/>
        <v>0.26506736373314577</v>
      </c>
      <c r="CR71" s="45">
        <f t="shared" si="20"/>
        <v>1.841057547098748</v>
      </c>
      <c r="CT71" s="71">
        <f t="shared" si="21"/>
        <v>1.3066666742255895</v>
      </c>
    </row>
    <row r="72" spans="1:98" ht="16">
      <c r="A72" s="36">
        <v>70</v>
      </c>
      <c r="B72" s="37"/>
      <c r="C72" s="37"/>
      <c r="D72" s="37"/>
      <c r="E72" s="38" t="s">
        <v>307</v>
      </c>
      <c r="F72" s="38" t="s">
        <v>308</v>
      </c>
      <c r="G72" s="38" t="s">
        <v>309</v>
      </c>
      <c r="H72" s="38" t="s">
        <v>310</v>
      </c>
      <c r="I72" s="72">
        <v>11.5</v>
      </c>
      <c r="J72" s="53" t="s">
        <v>88</v>
      </c>
      <c r="K72" s="42">
        <v>0</v>
      </c>
      <c r="L72" s="42">
        <v>2</v>
      </c>
      <c r="M72" s="42">
        <v>1</v>
      </c>
      <c r="N72" s="42">
        <f t="shared" si="0"/>
        <v>2</v>
      </c>
      <c r="O72" s="53"/>
      <c r="P72" s="53"/>
      <c r="Q72" s="43">
        <v>83.333333330000002</v>
      </c>
      <c r="R72" s="44">
        <f t="shared" si="22"/>
        <v>1</v>
      </c>
      <c r="S72" s="45">
        <v>1</v>
      </c>
      <c r="T72" s="45">
        <f t="shared" si="2"/>
        <v>1</v>
      </c>
      <c r="V72" s="46"/>
      <c r="W72" s="58" t="s">
        <v>311</v>
      </c>
      <c r="X72" s="73">
        <v>4</v>
      </c>
      <c r="Y72" s="44">
        <f t="shared" si="3"/>
        <v>1</v>
      </c>
      <c r="Z72" s="45">
        <v>1</v>
      </c>
      <c r="AA72" s="45">
        <f t="shared" si="4"/>
        <v>1</v>
      </c>
      <c r="AB72" s="45">
        <v>1</v>
      </c>
      <c r="AD72" s="49" t="s">
        <v>312</v>
      </c>
      <c r="AE72" s="50" t="s">
        <v>88</v>
      </c>
      <c r="AF72" s="50">
        <v>0</v>
      </c>
      <c r="AG72" s="50">
        <v>3</v>
      </c>
      <c r="AH72" s="50">
        <v>2</v>
      </c>
      <c r="AI72" s="50">
        <f t="shared" si="5"/>
        <v>6</v>
      </c>
      <c r="AJ72" s="50">
        <v>1</v>
      </c>
      <c r="AK72" s="51" t="s">
        <v>313</v>
      </c>
      <c r="AL72" s="61">
        <v>5000</v>
      </c>
      <c r="AM72" s="53" t="s">
        <v>115</v>
      </c>
      <c r="AN72" s="42">
        <v>1</v>
      </c>
      <c r="AO72" s="54">
        <f t="shared" si="23"/>
        <v>2</v>
      </c>
      <c r="AP72" s="53">
        <v>2</v>
      </c>
      <c r="AQ72" s="53">
        <f t="shared" si="7"/>
        <v>4</v>
      </c>
      <c r="AR72" s="53"/>
      <c r="AS72" s="55" t="s">
        <v>314</v>
      </c>
      <c r="AT72" s="42">
        <v>80</v>
      </c>
      <c r="AU72" s="42" t="s">
        <v>88</v>
      </c>
      <c r="AV72" s="56">
        <v>0</v>
      </c>
      <c r="AW72" s="44">
        <f t="shared" si="8"/>
        <v>1</v>
      </c>
      <c r="AX72" s="42">
        <v>1</v>
      </c>
      <c r="AY72" s="42">
        <f t="shared" si="9"/>
        <v>1</v>
      </c>
      <c r="AZ72" s="42"/>
      <c r="BA72" s="42"/>
      <c r="BB72" s="57" t="s">
        <v>602</v>
      </c>
      <c r="BC72" s="58" t="s">
        <v>603</v>
      </c>
      <c r="BD72" s="58" t="s">
        <v>609</v>
      </c>
      <c r="BE72" s="59">
        <v>1</v>
      </c>
      <c r="BF72" s="58">
        <v>2</v>
      </c>
      <c r="BG72" s="58">
        <f t="shared" si="10"/>
        <v>0</v>
      </c>
      <c r="BH72" s="58" t="s">
        <v>605</v>
      </c>
      <c r="BI72" s="58" t="s">
        <v>610</v>
      </c>
      <c r="BJ72" s="60" t="s">
        <v>90</v>
      </c>
      <c r="BK72" s="61">
        <v>1</v>
      </c>
      <c r="BL72" s="62">
        <v>1</v>
      </c>
      <c r="BM72" s="62">
        <f t="shared" si="11"/>
        <v>0</v>
      </c>
      <c r="BN72" s="58" t="s">
        <v>607</v>
      </c>
      <c r="BO72" s="59"/>
      <c r="BP72" s="59">
        <v>24.25</v>
      </c>
      <c r="BQ72" s="63">
        <f t="shared" si="24"/>
        <v>2</v>
      </c>
      <c r="BR72" s="45">
        <v>1</v>
      </c>
      <c r="BS72" s="45">
        <f t="shared" si="13"/>
        <v>0.3010299956639812</v>
      </c>
      <c r="BU72" s="46"/>
      <c r="BV72" s="64">
        <v>1.5</v>
      </c>
      <c r="BW72" s="54">
        <f t="shared" si="25"/>
        <v>1</v>
      </c>
      <c r="BX72" s="45">
        <v>1</v>
      </c>
      <c r="BY72" s="45">
        <f t="shared" si="26"/>
        <v>0</v>
      </c>
      <c r="BZ72" s="61" t="s">
        <v>99</v>
      </c>
      <c r="CA72" s="46"/>
      <c r="CB72" s="65">
        <v>14061</v>
      </c>
      <c r="CC72" s="45">
        <v>3</v>
      </c>
      <c r="CD72" s="45">
        <v>2</v>
      </c>
      <c r="CE72" s="45">
        <f t="shared" si="16"/>
        <v>0.95424250943932487</v>
      </c>
      <c r="CG72" s="46"/>
      <c r="CH72" s="66" t="s">
        <v>106</v>
      </c>
      <c r="CI72" s="67">
        <v>3</v>
      </c>
      <c r="CJ72" s="68">
        <v>2</v>
      </c>
      <c r="CK72" s="68">
        <f t="shared" si="17"/>
        <v>0.95424250943932487</v>
      </c>
      <c r="CL72" s="68"/>
      <c r="CM72" s="69"/>
      <c r="CO72" s="70">
        <f t="shared" si="27"/>
        <v>1.4444444444444444</v>
      </c>
      <c r="CQ72" s="45">
        <f t="shared" si="19"/>
        <v>0.24550166828251452</v>
      </c>
      <c r="CR72" s="45">
        <f t="shared" si="20"/>
        <v>1.7599554244151643</v>
      </c>
      <c r="CT72" s="71">
        <f t="shared" si="21"/>
        <v>1.7312669734959383</v>
      </c>
    </row>
    <row r="73" spans="1:98" ht="16">
      <c r="A73" s="36">
        <v>71</v>
      </c>
      <c r="B73" s="37"/>
      <c r="C73" s="37"/>
      <c r="D73" s="37"/>
      <c r="E73" s="38" t="s">
        <v>722</v>
      </c>
      <c r="F73" s="38" t="s">
        <v>268</v>
      </c>
      <c r="G73" s="38" t="s">
        <v>723</v>
      </c>
      <c r="H73" s="38" t="s">
        <v>184</v>
      </c>
      <c r="I73" s="72">
        <v>6.5</v>
      </c>
      <c r="J73" s="53" t="s">
        <v>88</v>
      </c>
      <c r="K73" s="42">
        <v>0</v>
      </c>
      <c r="L73" s="42">
        <v>2</v>
      </c>
      <c r="M73" s="42">
        <v>1</v>
      </c>
      <c r="N73" s="42">
        <f t="shared" si="0"/>
        <v>2</v>
      </c>
      <c r="O73" s="53"/>
      <c r="P73" s="53"/>
      <c r="Q73" s="43">
        <v>3.5</v>
      </c>
      <c r="R73" s="44">
        <f t="shared" si="22"/>
        <v>3</v>
      </c>
      <c r="S73" s="45">
        <v>1</v>
      </c>
      <c r="T73" s="45">
        <f t="shared" si="2"/>
        <v>3</v>
      </c>
      <c r="V73" s="46"/>
      <c r="W73" s="58" t="s">
        <v>200</v>
      </c>
      <c r="X73" s="73">
        <v>3.2</v>
      </c>
      <c r="Y73" s="44">
        <f t="shared" si="3"/>
        <v>2</v>
      </c>
      <c r="Z73" s="45">
        <v>1</v>
      </c>
      <c r="AA73" s="45">
        <f t="shared" si="4"/>
        <v>2</v>
      </c>
      <c r="AB73" s="45">
        <v>1</v>
      </c>
      <c r="AD73" s="49" t="s">
        <v>724</v>
      </c>
      <c r="AE73" s="50" t="s">
        <v>88</v>
      </c>
      <c r="AF73" s="50">
        <v>0</v>
      </c>
      <c r="AG73" s="50">
        <v>3</v>
      </c>
      <c r="AH73" s="50">
        <v>2</v>
      </c>
      <c r="AI73" s="50">
        <f t="shared" si="5"/>
        <v>6</v>
      </c>
      <c r="AJ73" s="50">
        <v>1</v>
      </c>
      <c r="AK73" s="51" t="s">
        <v>114</v>
      </c>
      <c r="AL73" s="61">
        <v>53528</v>
      </c>
      <c r="AM73" s="53" t="s">
        <v>115</v>
      </c>
      <c r="AN73" s="42">
        <v>1</v>
      </c>
      <c r="AO73" s="54">
        <f t="shared" si="23"/>
        <v>3</v>
      </c>
      <c r="AP73" s="53">
        <v>2</v>
      </c>
      <c r="AQ73" s="53">
        <f t="shared" si="7"/>
        <v>6</v>
      </c>
      <c r="AR73" s="53"/>
      <c r="AS73" s="55" t="s">
        <v>668</v>
      </c>
      <c r="AT73" s="53">
        <v>36.65</v>
      </c>
      <c r="AU73" s="42" t="s">
        <v>146</v>
      </c>
      <c r="AV73" s="44">
        <v>2</v>
      </c>
      <c r="AW73" s="44">
        <f t="shared" si="8"/>
        <v>1</v>
      </c>
      <c r="AX73" s="42">
        <v>1</v>
      </c>
      <c r="AY73" s="42">
        <f t="shared" si="9"/>
        <v>1</v>
      </c>
      <c r="AZ73" s="42" t="s">
        <v>270</v>
      </c>
      <c r="BA73" s="53" t="s">
        <v>669</v>
      </c>
      <c r="BB73" s="57" t="s">
        <v>602</v>
      </c>
      <c r="BC73" s="58" t="s">
        <v>603</v>
      </c>
      <c r="BD73" s="58" t="s">
        <v>604</v>
      </c>
      <c r="BE73" s="59">
        <v>2</v>
      </c>
      <c r="BF73" s="58">
        <v>2</v>
      </c>
      <c r="BG73" s="58">
        <f t="shared" si="10"/>
        <v>0.6020599913279624</v>
      </c>
      <c r="BH73" s="58" t="s">
        <v>605</v>
      </c>
      <c r="BI73" s="58" t="s">
        <v>606</v>
      </c>
      <c r="BJ73" s="60" t="s">
        <v>90</v>
      </c>
      <c r="BK73" s="61">
        <v>1</v>
      </c>
      <c r="BL73" s="62">
        <v>1</v>
      </c>
      <c r="BM73" s="62">
        <f t="shared" si="11"/>
        <v>0</v>
      </c>
      <c r="BN73" s="58" t="s">
        <v>607</v>
      </c>
      <c r="BO73" s="59"/>
      <c r="BP73" s="59">
        <v>9.5</v>
      </c>
      <c r="BQ73" s="63">
        <f t="shared" si="24"/>
        <v>3</v>
      </c>
      <c r="BR73" s="45">
        <v>1</v>
      </c>
      <c r="BS73" s="45">
        <f t="shared" si="13"/>
        <v>0.47712125471966244</v>
      </c>
      <c r="BU73" s="46"/>
      <c r="BV73" s="64">
        <v>1.3333333329999999</v>
      </c>
      <c r="BW73" s="54">
        <f t="shared" si="25"/>
        <v>1</v>
      </c>
      <c r="BX73" s="45">
        <v>1</v>
      </c>
      <c r="BY73" s="45">
        <f t="shared" si="26"/>
        <v>0</v>
      </c>
      <c r="BZ73" s="61" t="s">
        <v>91</v>
      </c>
      <c r="CA73" s="46"/>
      <c r="CB73" s="65">
        <v>13979</v>
      </c>
      <c r="CC73" s="45">
        <v>3</v>
      </c>
      <c r="CD73" s="45">
        <v>2</v>
      </c>
      <c r="CE73" s="45">
        <f t="shared" si="16"/>
        <v>0.95424250943932487</v>
      </c>
      <c r="CG73" s="46"/>
      <c r="CH73" s="66" t="s">
        <v>92</v>
      </c>
      <c r="CI73" s="67">
        <v>3</v>
      </c>
      <c r="CJ73" s="68">
        <v>2</v>
      </c>
      <c r="CK73" s="68">
        <f t="shared" si="17"/>
        <v>0.95424250943932487</v>
      </c>
      <c r="CL73" s="68"/>
      <c r="CM73" s="69"/>
      <c r="CO73" s="70">
        <f t="shared" si="27"/>
        <v>2</v>
      </c>
      <c r="CQ73" s="45">
        <f t="shared" si="19"/>
        <v>0.33196291832514163</v>
      </c>
      <c r="CR73" s="45">
        <f t="shared" si="20"/>
        <v>2.1476470922214639</v>
      </c>
      <c r="CT73" s="71">
        <f t="shared" si="21"/>
        <v>1.5222003311930994</v>
      </c>
    </row>
    <row r="74" spans="1:98" ht="16">
      <c r="A74" s="36">
        <v>72</v>
      </c>
      <c r="B74" s="37"/>
      <c r="C74" s="37"/>
      <c r="D74" s="37"/>
      <c r="E74" s="38" t="s">
        <v>333</v>
      </c>
      <c r="F74" s="38" t="s">
        <v>334</v>
      </c>
      <c r="G74" s="38" t="s">
        <v>335</v>
      </c>
      <c r="H74" s="38" t="s">
        <v>336</v>
      </c>
      <c r="I74" s="72">
        <v>6.5</v>
      </c>
      <c r="J74" s="53" t="s">
        <v>88</v>
      </c>
      <c r="K74" s="42">
        <v>0</v>
      </c>
      <c r="L74" s="42">
        <v>2</v>
      </c>
      <c r="M74" s="42">
        <v>1</v>
      </c>
      <c r="N74" s="42">
        <f t="shared" si="0"/>
        <v>2</v>
      </c>
      <c r="O74" s="53"/>
      <c r="P74" s="53"/>
      <c r="Q74" s="43">
        <v>33</v>
      </c>
      <c r="R74" s="44">
        <f t="shared" si="22"/>
        <v>2</v>
      </c>
      <c r="S74" s="45">
        <v>1</v>
      </c>
      <c r="T74" s="45">
        <f t="shared" si="2"/>
        <v>2</v>
      </c>
      <c r="V74" s="46"/>
      <c r="W74" s="58" t="s">
        <v>337</v>
      </c>
      <c r="X74" s="73">
        <v>3.4</v>
      </c>
      <c r="Y74" s="44">
        <f t="shared" si="3"/>
        <v>2</v>
      </c>
      <c r="Z74" s="45">
        <v>1</v>
      </c>
      <c r="AA74" s="45">
        <f t="shared" si="4"/>
        <v>2</v>
      </c>
      <c r="AB74" s="45">
        <v>1</v>
      </c>
      <c r="AD74" s="49" t="s">
        <v>338</v>
      </c>
      <c r="AE74" s="50" t="s">
        <v>88</v>
      </c>
      <c r="AF74" s="50">
        <v>0</v>
      </c>
      <c r="AG74" s="50">
        <v>3</v>
      </c>
      <c r="AH74" s="50">
        <v>2</v>
      </c>
      <c r="AI74" s="50">
        <f t="shared" si="5"/>
        <v>6</v>
      </c>
      <c r="AJ74" s="50">
        <v>1</v>
      </c>
      <c r="AK74" s="51" t="s">
        <v>165</v>
      </c>
      <c r="AL74" s="61">
        <v>500</v>
      </c>
      <c r="AM74" s="53" t="s">
        <v>146</v>
      </c>
      <c r="AN74" s="42">
        <v>2</v>
      </c>
      <c r="AO74" s="54">
        <f t="shared" si="23"/>
        <v>1</v>
      </c>
      <c r="AP74" s="53">
        <v>2</v>
      </c>
      <c r="AQ74" s="53">
        <f t="shared" si="7"/>
        <v>2</v>
      </c>
      <c r="AR74" s="53"/>
      <c r="AS74" s="55"/>
      <c r="AT74" s="42">
        <v>40.799999999999997</v>
      </c>
      <c r="AU74" s="42" t="s">
        <v>115</v>
      </c>
      <c r="AV74" s="44">
        <v>1</v>
      </c>
      <c r="AW74" s="44">
        <f t="shared" si="8"/>
        <v>1</v>
      </c>
      <c r="AX74" s="42">
        <v>1</v>
      </c>
      <c r="AY74" s="42">
        <f t="shared" si="9"/>
        <v>1</v>
      </c>
      <c r="AZ74" s="42" t="s">
        <v>340</v>
      </c>
      <c r="BA74" s="53" t="s">
        <v>341</v>
      </c>
      <c r="BB74" s="57" t="s">
        <v>602</v>
      </c>
      <c r="BC74" s="58" t="s">
        <v>603</v>
      </c>
      <c r="BD74" s="58" t="s">
        <v>604</v>
      </c>
      <c r="BE74" s="59">
        <v>2</v>
      </c>
      <c r="BF74" s="58">
        <v>2</v>
      </c>
      <c r="BG74" s="58">
        <f t="shared" si="10"/>
        <v>0.6020599913279624</v>
      </c>
      <c r="BH74" s="58" t="s">
        <v>605</v>
      </c>
      <c r="BI74" s="58" t="s">
        <v>606</v>
      </c>
      <c r="BJ74" s="60" t="s">
        <v>90</v>
      </c>
      <c r="BK74" s="61">
        <v>1</v>
      </c>
      <c r="BL74" s="62">
        <v>1</v>
      </c>
      <c r="BM74" s="62">
        <f t="shared" si="11"/>
        <v>0</v>
      </c>
      <c r="BN74" s="58" t="s">
        <v>607</v>
      </c>
      <c r="BO74" s="59"/>
      <c r="BP74" s="59">
        <v>14</v>
      </c>
      <c r="BQ74" s="63">
        <f t="shared" si="24"/>
        <v>2</v>
      </c>
      <c r="BR74" s="45">
        <v>1</v>
      </c>
      <c r="BS74" s="45">
        <f t="shared" si="13"/>
        <v>0.3010299956639812</v>
      </c>
      <c r="BU74" s="46"/>
      <c r="BV74" s="64">
        <v>2.25</v>
      </c>
      <c r="BW74" s="54">
        <f t="shared" si="25"/>
        <v>1</v>
      </c>
      <c r="BX74" s="45">
        <v>1</v>
      </c>
      <c r="BY74" s="45">
        <f t="shared" si="26"/>
        <v>0</v>
      </c>
      <c r="BZ74" s="61" t="s">
        <v>99</v>
      </c>
      <c r="CA74" s="46"/>
      <c r="CB74" s="65">
        <v>13695</v>
      </c>
      <c r="CC74" s="45">
        <v>3</v>
      </c>
      <c r="CD74" s="45">
        <v>2</v>
      </c>
      <c r="CE74" s="45">
        <f t="shared" si="16"/>
        <v>0.95424250943932487</v>
      </c>
      <c r="CG74" s="46"/>
      <c r="CH74" s="66" t="s">
        <v>106</v>
      </c>
      <c r="CI74" s="67">
        <v>3</v>
      </c>
      <c r="CJ74" s="68">
        <v>2</v>
      </c>
      <c r="CK74" s="68">
        <f t="shared" si="17"/>
        <v>0.95424250943932487</v>
      </c>
      <c r="CL74" s="68"/>
      <c r="CM74" s="69"/>
      <c r="CO74" s="70">
        <f t="shared" si="27"/>
        <v>1.4444444444444444</v>
      </c>
      <c r="CQ74" s="45">
        <f t="shared" si="19"/>
        <v>0.31239722287451038</v>
      </c>
      <c r="CR74" s="45">
        <f t="shared" si="20"/>
        <v>2.0530391109397983</v>
      </c>
      <c r="CT74" s="71">
        <f t="shared" si="21"/>
        <v>1.8784686464215032</v>
      </c>
    </row>
    <row r="75" spans="1:98" ht="16">
      <c r="A75" s="36">
        <v>73</v>
      </c>
      <c r="B75" s="37"/>
      <c r="C75" s="37"/>
      <c r="D75" s="37"/>
      <c r="E75" s="38" t="s">
        <v>725</v>
      </c>
      <c r="F75" s="38" t="s">
        <v>130</v>
      </c>
      <c r="G75" s="38" t="s">
        <v>726</v>
      </c>
      <c r="H75" s="38" t="s">
        <v>132</v>
      </c>
      <c r="I75" s="72">
        <v>5</v>
      </c>
      <c r="J75" s="53" t="s">
        <v>88</v>
      </c>
      <c r="K75" s="42">
        <v>0</v>
      </c>
      <c r="L75" s="42">
        <v>2</v>
      </c>
      <c r="M75" s="42">
        <v>1</v>
      </c>
      <c r="N75" s="42">
        <f t="shared" si="0"/>
        <v>2</v>
      </c>
      <c r="O75" s="214" t="s">
        <v>727</v>
      </c>
      <c r="P75" s="53" t="s">
        <v>652</v>
      </c>
      <c r="Q75" s="43">
        <v>13</v>
      </c>
      <c r="R75" s="44">
        <f t="shared" si="22"/>
        <v>3</v>
      </c>
      <c r="S75" s="45">
        <v>1</v>
      </c>
      <c r="T75" s="45">
        <f t="shared" si="2"/>
        <v>3</v>
      </c>
      <c r="V75" s="46"/>
      <c r="W75" s="58" t="s">
        <v>185</v>
      </c>
      <c r="X75" s="73">
        <v>3.4</v>
      </c>
      <c r="Y75" s="44">
        <f t="shared" si="3"/>
        <v>2</v>
      </c>
      <c r="Z75" s="45">
        <v>1</v>
      </c>
      <c r="AA75" s="45">
        <f t="shared" si="4"/>
        <v>2</v>
      </c>
      <c r="AB75" s="45">
        <v>1</v>
      </c>
      <c r="AD75" s="49" t="s">
        <v>163</v>
      </c>
      <c r="AE75" s="50" t="s">
        <v>146</v>
      </c>
      <c r="AF75" s="50">
        <v>2</v>
      </c>
      <c r="AG75" s="50">
        <v>3</v>
      </c>
      <c r="AH75" s="50">
        <v>2</v>
      </c>
      <c r="AI75" s="50">
        <f t="shared" si="5"/>
        <v>6</v>
      </c>
      <c r="AJ75" s="50" t="s">
        <v>645</v>
      </c>
      <c r="AK75" s="51" t="s">
        <v>201</v>
      </c>
      <c r="AL75" s="61">
        <v>21061</v>
      </c>
      <c r="AM75" s="53" t="s">
        <v>115</v>
      </c>
      <c r="AN75" s="42">
        <v>1</v>
      </c>
      <c r="AO75" s="54">
        <f t="shared" si="23"/>
        <v>3</v>
      </c>
      <c r="AP75" s="53">
        <v>2</v>
      </c>
      <c r="AQ75" s="53">
        <f t="shared" si="7"/>
        <v>6</v>
      </c>
      <c r="AR75" s="53"/>
      <c r="AS75" s="55"/>
      <c r="AT75" s="42">
        <v>36</v>
      </c>
      <c r="AU75" s="42" t="s">
        <v>115</v>
      </c>
      <c r="AV75" s="44">
        <v>1</v>
      </c>
      <c r="AW75" s="44">
        <f t="shared" si="8"/>
        <v>1</v>
      </c>
      <c r="AX75" s="42">
        <v>1</v>
      </c>
      <c r="AY75" s="42">
        <f t="shared" si="9"/>
        <v>1</v>
      </c>
      <c r="AZ75" s="42" t="s">
        <v>203</v>
      </c>
      <c r="BA75" s="53" t="s">
        <v>129</v>
      </c>
      <c r="BB75" s="57" t="s">
        <v>622</v>
      </c>
      <c r="BC75" s="58" t="s">
        <v>622</v>
      </c>
      <c r="BD75" s="58" t="s">
        <v>623</v>
      </c>
      <c r="BE75" s="59">
        <v>3</v>
      </c>
      <c r="BF75" s="58">
        <v>2</v>
      </c>
      <c r="BG75" s="58">
        <f t="shared" si="10"/>
        <v>0.95424250943932487</v>
      </c>
      <c r="BH75" s="58" t="s">
        <v>605</v>
      </c>
      <c r="BI75" s="58" t="s">
        <v>728</v>
      </c>
      <c r="BJ75" s="60" t="s">
        <v>90</v>
      </c>
      <c r="BK75" s="61">
        <v>1</v>
      </c>
      <c r="BL75" s="62">
        <v>1</v>
      </c>
      <c r="BM75" s="62">
        <f t="shared" si="11"/>
        <v>0</v>
      </c>
      <c r="BN75" s="58" t="s">
        <v>607</v>
      </c>
      <c r="BO75" s="59"/>
      <c r="BP75" s="59">
        <v>8.5</v>
      </c>
      <c r="BQ75" s="63">
        <f t="shared" si="24"/>
        <v>3</v>
      </c>
      <c r="BR75" s="45">
        <v>1</v>
      </c>
      <c r="BS75" s="45">
        <f t="shared" si="13"/>
        <v>0.47712125471966244</v>
      </c>
      <c r="BU75" s="46"/>
      <c r="BV75" s="64">
        <v>3</v>
      </c>
      <c r="BW75" s="54">
        <f t="shared" si="25"/>
        <v>2</v>
      </c>
      <c r="BX75" s="45">
        <v>1</v>
      </c>
      <c r="BY75" s="45">
        <f t="shared" si="26"/>
        <v>0.3010299956639812</v>
      </c>
      <c r="BZ75" s="61">
        <v>46</v>
      </c>
      <c r="CA75" s="46"/>
      <c r="CB75" s="65">
        <v>13432</v>
      </c>
      <c r="CC75" s="45">
        <v>3</v>
      </c>
      <c r="CD75" s="45">
        <v>2</v>
      </c>
      <c r="CE75" s="45">
        <f t="shared" si="16"/>
        <v>0.95424250943932487</v>
      </c>
      <c r="CG75" s="46"/>
      <c r="CH75" s="66" t="s">
        <v>92</v>
      </c>
      <c r="CI75" s="67">
        <v>3</v>
      </c>
      <c r="CJ75" s="68">
        <v>2</v>
      </c>
      <c r="CK75" s="68">
        <f t="shared" si="17"/>
        <v>0.95424250943932487</v>
      </c>
      <c r="CL75" s="68"/>
      <c r="CM75" s="69"/>
      <c r="CO75" s="70">
        <f t="shared" si="27"/>
        <v>2</v>
      </c>
      <c r="CQ75" s="45">
        <f t="shared" si="19"/>
        <v>0.40454208652240203</v>
      </c>
      <c r="CR75" s="45">
        <f t="shared" si="20"/>
        <v>2.5382949546229634</v>
      </c>
      <c r="CT75" s="71">
        <f t="shared" si="21"/>
        <v>1.834761937532623</v>
      </c>
    </row>
    <row r="76" spans="1:98" ht="16">
      <c r="A76" s="36">
        <v>74</v>
      </c>
      <c r="B76" s="37"/>
      <c r="C76" s="37"/>
      <c r="D76" s="37"/>
      <c r="E76" s="38" t="s">
        <v>391</v>
      </c>
      <c r="F76" s="38" t="s">
        <v>392</v>
      </c>
      <c r="G76" s="38" t="s">
        <v>317</v>
      </c>
      <c r="H76" s="38" t="s">
        <v>110</v>
      </c>
      <c r="I76" s="72">
        <v>4</v>
      </c>
      <c r="J76" s="53" t="s">
        <v>88</v>
      </c>
      <c r="K76" s="42">
        <v>0</v>
      </c>
      <c r="L76" s="42">
        <v>3</v>
      </c>
      <c r="M76" s="42">
        <v>1</v>
      </c>
      <c r="N76" s="42">
        <f t="shared" si="0"/>
        <v>3</v>
      </c>
      <c r="O76" s="214" t="s">
        <v>729</v>
      </c>
      <c r="P76" s="53" t="s">
        <v>652</v>
      </c>
      <c r="Q76" s="43">
        <v>11.5</v>
      </c>
      <c r="R76" s="44">
        <f t="shared" si="22"/>
        <v>3</v>
      </c>
      <c r="S76" s="45">
        <v>1</v>
      </c>
      <c r="T76" s="45">
        <f t="shared" si="2"/>
        <v>3</v>
      </c>
      <c r="V76" s="46"/>
      <c r="W76" s="58" t="s">
        <v>178</v>
      </c>
      <c r="X76" s="73">
        <v>3.4</v>
      </c>
      <c r="Y76" s="44">
        <f t="shared" si="3"/>
        <v>2</v>
      </c>
      <c r="Z76" s="45">
        <v>1</v>
      </c>
      <c r="AA76" s="45">
        <f t="shared" si="4"/>
        <v>2</v>
      </c>
      <c r="AB76" s="45">
        <v>1</v>
      </c>
      <c r="AD76" s="49" t="s">
        <v>163</v>
      </c>
      <c r="AE76" s="50" t="s">
        <v>146</v>
      </c>
      <c r="AF76" s="50">
        <v>2</v>
      </c>
      <c r="AG76" s="50">
        <v>3</v>
      </c>
      <c r="AH76" s="50">
        <v>2</v>
      </c>
      <c r="AI76" s="50">
        <f t="shared" si="5"/>
        <v>6</v>
      </c>
      <c r="AJ76" s="50">
        <v>1</v>
      </c>
      <c r="AK76" s="51"/>
      <c r="AL76" s="61">
        <v>475</v>
      </c>
      <c r="AM76" s="53" t="s">
        <v>88</v>
      </c>
      <c r="AN76" s="42">
        <v>0</v>
      </c>
      <c r="AO76" s="54">
        <f t="shared" si="23"/>
        <v>1</v>
      </c>
      <c r="AP76" s="53">
        <v>2</v>
      </c>
      <c r="AQ76" s="53">
        <f t="shared" si="7"/>
        <v>2</v>
      </c>
      <c r="AR76" s="214"/>
      <c r="AS76" s="215" t="s">
        <v>730</v>
      </c>
      <c r="AT76" s="42">
        <v>22.5</v>
      </c>
      <c r="AU76" s="42" t="s">
        <v>115</v>
      </c>
      <c r="AV76" s="44">
        <v>1</v>
      </c>
      <c r="AW76" s="44">
        <f t="shared" si="8"/>
        <v>2</v>
      </c>
      <c r="AX76" s="42">
        <v>1</v>
      </c>
      <c r="AY76" s="42">
        <f t="shared" si="9"/>
        <v>2</v>
      </c>
      <c r="AZ76" s="42" t="s">
        <v>340</v>
      </c>
      <c r="BA76" s="53" t="s">
        <v>393</v>
      </c>
      <c r="BB76" s="57" t="s">
        <v>602</v>
      </c>
      <c r="BC76" s="58" t="s">
        <v>603</v>
      </c>
      <c r="BD76" s="58" t="s">
        <v>609</v>
      </c>
      <c r="BE76" s="59">
        <v>1</v>
      </c>
      <c r="BF76" s="58">
        <v>2</v>
      </c>
      <c r="BG76" s="58">
        <f t="shared" si="10"/>
        <v>0</v>
      </c>
      <c r="BH76" s="58" t="s">
        <v>605</v>
      </c>
      <c r="BI76" s="58" t="s">
        <v>731</v>
      </c>
      <c r="BJ76" s="60" t="s">
        <v>90</v>
      </c>
      <c r="BK76" s="61">
        <v>1</v>
      </c>
      <c r="BL76" s="62">
        <v>1</v>
      </c>
      <c r="BM76" s="62">
        <f t="shared" si="11"/>
        <v>0</v>
      </c>
      <c r="BN76" s="58" t="s">
        <v>607</v>
      </c>
      <c r="BO76" s="59"/>
      <c r="BP76" s="59">
        <v>16.5</v>
      </c>
      <c r="BQ76" s="63">
        <f t="shared" si="24"/>
        <v>2</v>
      </c>
      <c r="BR76" s="45">
        <v>1</v>
      </c>
      <c r="BS76" s="45">
        <f t="shared" si="13"/>
        <v>0.3010299956639812</v>
      </c>
      <c r="BU76" s="46"/>
      <c r="BV76" s="64">
        <v>1.375</v>
      </c>
      <c r="BW76" s="54">
        <f t="shared" si="25"/>
        <v>1</v>
      </c>
      <c r="BX76" s="45">
        <v>1</v>
      </c>
      <c r="BY76" s="45">
        <f t="shared" si="26"/>
        <v>0</v>
      </c>
      <c r="BZ76" s="61" t="s">
        <v>99</v>
      </c>
      <c r="CA76" s="46"/>
      <c r="CB76" s="65">
        <v>12700</v>
      </c>
      <c r="CC76" s="45">
        <v>3</v>
      </c>
      <c r="CD76" s="45">
        <v>2</v>
      </c>
      <c r="CE76" s="45">
        <f t="shared" si="16"/>
        <v>0.95424250943932487</v>
      </c>
      <c r="CG76" s="46"/>
      <c r="CH76" s="66" t="s">
        <v>92</v>
      </c>
      <c r="CI76" s="67">
        <v>3</v>
      </c>
      <c r="CJ76" s="68">
        <v>2</v>
      </c>
      <c r="CK76" s="68">
        <f t="shared" si="17"/>
        <v>0.95424250943932487</v>
      </c>
      <c r="CL76" s="78"/>
      <c r="CM76" s="79" t="s">
        <v>144</v>
      </c>
      <c r="CO76" s="70">
        <f t="shared" si="27"/>
        <v>1.6666666666666667</v>
      </c>
      <c r="CQ76" s="45">
        <f t="shared" si="19"/>
        <v>0.24550166828251452</v>
      </c>
      <c r="CR76" s="45">
        <f t="shared" si="20"/>
        <v>1.7599554244151643</v>
      </c>
      <c r="CT76" s="71">
        <f t="shared" si="21"/>
        <v>1.5347019335609797</v>
      </c>
    </row>
    <row r="77" spans="1:98" ht="16">
      <c r="A77" s="36">
        <v>75</v>
      </c>
      <c r="B77" s="37"/>
      <c r="C77" s="37"/>
      <c r="D77" s="37"/>
      <c r="E77" s="38" t="s">
        <v>382</v>
      </c>
      <c r="F77" s="38" t="s">
        <v>211</v>
      </c>
      <c r="G77" s="38" t="s">
        <v>383</v>
      </c>
      <c r="H77" s="38" t="s">
        <v>177</v>
      </c>
      <c r="I77" s="72">
        <v>18</v>
      </c>
      <c r="J77" s="53" t="s">
        <v>88</v>
      </c>
      <c r="K77" s="42">
        <v>0</v>
      </c>
      <c r="L77" s="42">
        <v>1</v>
      </c>
      <c r="M77" s="42">
        <v>1</v>
      </c>
      <c r="N77" s="42">
        <f t="shared" si="0"/>
        <v>1</v>
      </c>
      <c r="O77" s="53"/>
      <c r="P77" s="53"/>
      <c r="Q77" s="43">
        <v>40</v>
      </c>
      <c r="R77" s="44">
        <f t="shared" si="22"/>
        <v>2</v>
      </c>
      <c r="S77" s="45">
        <v>1</v>
      </c>
      <c r="T77" s="45">
        <f t="shared" si="2"/>
        <v>2</v>
      </c>
      <c r="V77" s="46"/>
      <c r="W77" s="58" t="s">
        <v>213</v>
      </c>
      <c r="X77" s="73">
        <v>2</v>
      </c>
      <c r="Y77" s="44">
        <f t="shared" si="3"/>
        <v>3</v>
      </c>
      <c r="Z77" s="45">
        <v>1</v>
      </c>
      <c r="AA77" s="45">
        <f t="shared" si="4"/>
        <v>3</v>
      </c>
      <c r="AB77" s="45">
        <v>1</v>
      </c>
      <c r="AD77" s="49" t="s">
        <v>384</v>
      </c>
      <c r="AE77" s="50" t="s">
        <v>88</v>
      </c>
      <c r="AF77" s="50">
        <v>0</v>
      </c>
      <c r="AG77" s="50">
        <v>3</v>
      </c>
      <c r="AH77" s="50">
        <v>2</v>
      </c>
      <c r="AI77" s="50">
        <f t="shared" si="5"/>
        <v>6</v>
      </c>
      <c r="AJ77" s="50">
        <v>1</v>
      </c>
      <c r="AK77" s="51" t="s">
        <v>135</v>
      </c>
      <c r="AL77" s="52">
        <v>20202</v>
      </c>
      <c r="AM77" s="53" t="s">
        <v>88</v>
      </c>
      <c r="AN77" s="42">
        <v>0</v>
      </c>
      <c r="AO77" s="54">
        <f t="shared" si="23"/>
        <v>3</v>
      </c>
      <c r="AP77" s="53">
        <v>2</v>
      </c>
      <c r="AQ77" s="53">
        <f t="shared" si="7"/>
        <v>6</v>
      </c>
      <c r="AR77" s="53"/>
      <c r="AS77" s="55"/>
      <c r="AT77" s="42">
        <v>55.2</v>
      </c>
      <c r="AU77" s="42" t="s">
        <v>88</v>
      </c>
      <c r="AV77" s="56">
        <v>0</v>
      </c>
      <c r="AW77" s="44">
        <f t="shared" si="8"/>
        <v>1</v>
      </c>
      <c r="AX77" s="42">
        <v>1</v>
      </c>
      <c r="AY77" s="42">
        <f t="shared" si="9"/>
        <v>1</v>
      </c>
      <c r="AZ77" s="42"/>
      <c r="BA77" s="42"/>
      <c r="BB77" s="57" t="s">
        <v>602</v>
      </c>
      <c r="BC77" s="58" t="s">
        <v>603</v>
      </c>
      <c r="BD77" s="58" t="s">
        <v>609</v>
      </c>
      <c r="BE77" s="59">
        <v>1</v>
      </c>
      <c r="BF77" s="58">
        <v>2</v>
      </c>
      <c r="BG77" s="58">
        <f t="shared" si="10"/>
        <v>0</v>
      </c>
      <c r="BH77" s="58" t="s">
        <v>605</v>
      </c>
      <c r="BI77" s="58" t="s">
        <v>610</v>
      </c>
      <c r="BJ77" s="81" t="s">
        <v>166</v>
      </c>
      <c r="BK77" s="61">
        <v>3</v>
      </c>
      <c r="BL77" s="62">
        <v>1</v>
      </c>
      <c r="BM77" s="62">
        <f t="shared" si="11"/>
        <v>0.47712125471966244</v>
      </c>
      <c r="BN77" s="58" t="s">
        <v>607</v>
      </c>
      <c r="BO77" s="59"/>
      <c r="BP77" s="59">
        <v>25.25</v>
      </c>
      <c r="BQ77" s="63">
        <f t="shared" si="24"/>
        <v>2</v>
      </c>
      <c r="BR77" s="45">
        <v>1</v>
      </c>
      <c r="BS77" s="45">
        <f t="shared" si="13"/>
        <v>0.3010299956639812</v>
      </c>
      <c r="BU77" s="46"/>
      <c r="BV77" s="64">
        <v>2</v>
      </c>
      <c r="BW77" s="54">
        <f t="shared" si="25"/>
        <v>1</v>
      </c>
      <c r="BX77" s="45">
        <v>1</v>
      </c>
      <c r="BY77" s="45">
        <f t="shared" si="26"/>
        <v>0</v>
      </c>
      <c r="BZ77" s="61" t="s">
        <v>99</v>
      </c>
      <c r="CA77" s="46"/>
      <c r="CB77" s="65">
        <v>12616</v>
      </c>
      <c r="CC77" s="45">
        <v>3</v>
      </c>
      <c r="CD77" s="45">
        <v>2</v>
      </c>
      <c r="CE77" s="45">
        <f t="shared" si="16"/>
        <v>0.95424250943932487</v>
      </c>
      <c r="CG77" s="46"/>
      <c r="CH77" s="66" t="s">
        <v>216</v>
      </c>
      <c r="CI77" s="67">
        <v>3</v>
      </c>
      <c r="CJ77" s="68">
        <v>2</v>
      </c>
      <c r="CK77" s="68">
        <f t="shared" si="17"/>
        <v>0.95424250943932487</v>
      </c>
      <c r="CL77" s="78"/>
      <c r="CM77" s="79" t="s">
        <v>144</v>
      </c>
      <c r="CO77" s="70">
        <f t="shared" si="27"/>
        <v>2</v>
      </c>
      <c r="CQ77" s="45">
        <f t="shared" si="19"/>
        <v>0.29851514102914373</v>
      </c>
      <c r="CR77" s="45">
        <f t="shared" si="20"/>
        <v>1.9884521336051839</v>
      </c>
      <c r="CT77" s="71">
        <f t="shared" si="21"/>
        <v>1.4060716981820807</v>
      </c>
    </row>
    <row r="78" spans="1:98" ht="16">
      <c r="A78" s="36">
        <v>76</v>
      </c>
      <c r="B78" s="37"/>
      <c r="C78" s="37"/>
      <c r="D78" s="37"/>
      <c r="E78" s="38" t="s">
        <v>407</v>
      </c>
      <c r="F78" s="38" t="s">
        <v>408</v>
      </c>
      <c r="G78" s="38" t="s">
        <v>409</v>
      </c>
      <c r="H78" s="38" t="s">
        <v>152</v>
      </c>
      <c r="I78" s="72">
        <v>9.5</v>
      </c>
      <c r="J78" s="53" t="s">
        <v>88</v>
      </c>
      <c r="K78" s="42">
        <v>0</v>
      </c>
      <c r="L78" s="42">
        <v>2</v>
      </c>
      <c r="M78" s="42">
        <v>1</v>
      </c>
      <c r="N78" s="42">
        <f t="shared" si="0"/>
        <v>2</v>
      </c>
      <c r="O78" s="53"/>
      <c r="P78" s="53"/>
      <c r="Q78" s="43">
        <v>30</v>
      </c>
      <c r="R78" s="44">
        <f t="shared" si="22"/>
        <v>2</v>
      </c>
      <c r="S78" s="45">
        <v>1</v>
      </c>
      <c r="T78" s="45">
        <f t="shared" si="2"/>
        <v>2</v>
      </c>
      <c r="V78" s="46"/>
      <c r="W78" s="58" t="s">
        <v>410</v>
      </c>
      <c r="X78" s="73">
        <v>3.3</v>
      </c>
      <c r="Y78" s="44">
        <f t="shared" si="3"/>
        <v>2</v>
      </c>
      <c r="Z78" s="45">
        <v>1</v>
      </c>
      <c r="AA78" s="45">
        <f t="shared" si="4"/>
        <v>2</v>
      </c>
      <c r="AB78" s="45">
        <v>1</v>
      </c>
      <c r="AD78" s="49" t="s">
        <v>155</v>
      </c>
      <c r="AE78" s="50" t="s">
        <v>88</v>
      </c>
      <c r="AF78" s="50">
        <v>0</v>
      </c>
      <c r="AG78" s="50">
        <v>2</v>
      </c>
      <c r="AH78" s="50">
        <v>2</v>
      </c>
      <c r="AI78" s="50">
        <f t="shared" si="5"/>
        <v>4</v>
      </c>
      <c r="AJ78" s="50">
        <v>1</v>
      </c>
      <c r="AK78" s="51" t="s">
        <v>156</v>
      </c>
      <c r="AL78" s="61">
        <v>539520</v>
      </c>
      <c r="AM78" s="53" t="s">
        <v>146</v>
      </c>
      <c r="AN78" s="42">
        <v>2</v>
      </c>
      <c r="AO78" s="54">
        <f t="shared" si="23"/>
        <v>3</v>
      </c>
      <c r="AP78" s="53">
        <v>2</v>
      </c>
      <c r="AQ78" s="53">
        <f t="shared" si="7"/>
        <v>6</v>
      </c>
      <c r="AR78" s="53"/>
      <c r="AS78" s="55"/>
      <c r="AT78" s="42">
        <v>55.1</v>
      </c>
      <c r="AU78" s="42" t="s">
        <v>88</v>
      </c>
      <c r="AV78" s="56">
        <v>0</v>
      </c>
      <c r="AW78" s="44">
        <f t="shared" si="8"/>
        <v>1</v>
      </c>
      <c r="AX78" s="42">
        <v>1</v>
      </c>
      <c r="AY78" s="42">
        <f t="shared" si="9"/>
        <v>1</v>
      </c>
      <c r="AZ78" s="42"/>
      <c r="BA78" s="42"/>
      <c r="BB78" s="57" t="s">
        <v>602</v>
      </c>
      <c r="BC78" s="58" t="s">
        <v>603</v>
      </c>
      <c r="BD78" s="58" t="s">
        <v>609</v>
      </c>
      <c r="BE78" s="59">
        <v>1</v>
      </c>
      <c r="BF78" s="58">
        <v>2</v>
      </c>
      <c r="BG78" s="58">
        <f t="shared" si="10"/>
        <v>0</v>
      </c>
      <c r="BH78" s="58" t="s">
        <v>605</v>
      </c>
      <c r="BI78" s="58" t="s">
        <v>610</v>
      </c>
      <c r="BJ78" s="60" t="s">
        <v>90</v>
      </c>
      <c r="BK78" s="61">
        <v>1</v>
      </c>
      <c r="BL78" s="62">
        <v>1</v>
      </c>
      <c r="BM78" s="62">
        <f t="shared" si="11"/>
        <v>0</v>
      </c>
      <c r="BN78" s="58" t="s">
        <v>607</v>
      </c>
      <c r="BO78" s="59"/>
      <c r="BP78" s="59">
        <v>16</v>
      </c>
      <c r="BQ78" s="63">
        <f t="shared" si="24"/>
        <v>2</v>
      </c>
      <c r="BR78" s="45">
        <v>1</v>
      </c>
      <c r="BS78" s="45">
        <f t="shared" si="13"/>
        <v>0.3010299956639812</v>
      </c>
      <c r="BU78" s="46"/>
      <c r="BV78" s="64">
        <v>2</v>
      </c>
      <c r="BW78" s="54">
        <f t="shared" si="25"/>
        <v>1</v>
      </c>
      <c r="BX78" s="45">
        <v>1</v>
      </c>
      <c r="BY78" s="45">
        <f t="shared" si="26"/>
        <v>0</v>
      </c>
      <c r="BZ78" s="61" t="s">
        <v>99</v>
      </c>
      <c r="CA78" s="46"/>
      <c r="CB78" s="65">
        <v>12476</v>
      </c>
      <c r="CC78" s="45">
        <v>3</v>
      </c>
      <c r="CD78" s="45">
        <v>2</v>
      </c>
      <c r="CE78" s="45">
        <f t="shared" si="16"/>
        <v>0.95424250943932487</v>
      </c>
      <c r="CG78" s="46"/>
      <c r="CH78" s="96" t="s">
        <v>106</v>
      </c>
      <c r="CI78" s="42">
        <v>3</v>
      </c>
      <c r="CJ78" s="68">
        <v>2</v>
      </c>
      <c r="CK78" s="68">
        <f t="shared" si="17"/>
        <v>0.95424250943932487</v>
      </c>
      <c r="CL78" s="68"/>
      <c r="CM78" s="69" t="s">
        <v>144</v>
      </c>
      <c r="CO78" s="70">
        <f t="shared" si="27"/>
        <v>1.6666666666666667</v>
      </c>
      <c r="CQ78" s="45">
        <f t="shared" si="19"/>
        <v>0.24550166828251452</v>
      </c>
      <c r="CR78" s="45">
        <f t="shared" si="20"/>
        <v>1.7599554244151643</v>
      </c>
      <c r="CT78" s="71">
        <f t="shared" si="21"/>
        <v>1.5347019335609797</v>
      </c>
    </row>
    <row r="79" spans="1:98" ht="16" hidden="1">
      <c r="A79" s="36">
        <v>77</v>
      </c>
      <c r="B79" s="37"/>
      <c r="C79" s="37" t="s">
        <v>144</v>
      </c>
      <c r="D79" s="37" t="s">
        <v>686</v>
      </c>
      <c r="E79" s="38" t="s">
        <v>732</v>
      </c>
      <c r="F79" s="38" t="s">
        <v>386</v>
      </c>
      <c r="G79" s="38" t="s">
        <v>688</v>
      </c>
      <c r="H79" s="38" t="s">
        <v>170</v>
      </c>
      <c r="I79" s="87"/>
      <c r="J79" s="53"/>
      <c r="K79" s="53"/>
      <c r="L79" s="53"/>
      <c r="M79" s="42">
        <v>1</v>
      </c>
      <c r="N79" s="42">
        <f t="shared" si="0"/>
        <v>0</v>
      </c>
      <c r="O79" s="53"/>
      <c r="P79" s="53"/>
      <c r="Q79" s="43"/>
      <c r="R79" s="44" t="str">
        <f>IF(Q79="","***",IF(Q79&lt;5,3,IF(Q79&lt;15,2,1)))</f>
        <v>***</v>
      </c>
      <c r="S79" s="45">
        <v>1</v>
      </c>
      <c r="T79" s="45" t="e">
        <f t="shared" si="2"/>
        <v>#VALUE!</v>
      </c>
      <c r="V79" s="46"/>
      <c r="W79" s="58" t="s">
        <v>213</v>
      </c>
      <c r="X79" s="73">
        <v>2</v>
      </c>
      <c r="Y79" s="44">
        <f t="shared" si="3"/>
        <v>3</v>
      </c>
      <c r="Z79" s="45">
        <v>1</v>
      </c>
      <c r="AA79" s="45">
        <f t="shared" si="4"/>
        <v>3</v>
      </c>
      <c r="AB79" s="45">
        <v>1</v>
      </c>
      <c r="AD79" s="49" t="s">
        <v>172</v>
      </c>
      <c r="AE79" s="50" t="s">
        <v>88</v>
      </c>
      <c r="AF79" s="50">
        <v>0</v>
      </c>
      <c r="AG79" s="50">
        <v>3</v>
      </c>
      <c r="AH79" s="50">
        <v>2</v>
      </c>
      <c r="AI79" s="50">
        <f t="shared" si="5"/>
        <v>6</v>
      </c>
      <c r="AJ79" s="50">
        <v>1</v>
      </c>
      <c r="AK79" s="51" t="s">
        <v>114</v>
      </c>
      <c r="AL79" s="61"/>
      <c r="AM79" s="53"/>
      <c r="AN79" s="42"/>
      <c r="AO79" s="42"/>
      <c r="AP79" s="53">
        <v>2</v>
      </c>
      <c r="AQ79" s="53">
        <f t="shared" si="7"/>
        <v>0</v>
      </c>
      <c r="AR79" s="53"/>
      <c r="AS79" s="55"/>
      <c r="AT79" s="89"/>
      <c r="AU79" s="89"/>
      <c r="AV79" s="44"/>
      <c r="AW79" s="44" t="str">
        <f t="shared" si="8"/>
        <v>***</v>
      </c>
      <c r="AX79" s="42">
        <v>1</v>
      </c>
      <c r="AY79" s="42" t="e">
        <f t="shared" si="9"/>
        <v>#VALUE!</v>
      </c>
      <c r="AZ79" s="89"/>
      <c r="BA79" s="89"/>
      <c r="BB79" s="57"/>
      <c r="BC79" s="58"/>
      <c r="BD79" s="58"/>
      <c r="BE79" s="58"/>
      <c r="BF79" s="58">
        <v>2</v>
      </c>
      <c r="BG79" s="58" t="e">
        <f t="shared" si="10"/>
        <v>#NUM!</v>
      </c>
      <c r="BH79" s="58" t="s">
        <v>605</v>
      </c>
      <c r="BI79" s="58"/>
      <c r="BJ79" s="60" t="s">
        <v>90</v>
      </c>
      <c r="BK79" s="61">
        <v>1</v>
      </c>
      <c r="BL79" s="62">
        <v>1</v>
      </c>
      <c r="BM79" s="62">
        <f t="shared" si="11"/>
        <v>0</v>
      </c>
      <c r="BN79" s="58" t="s">
        <v>607</v>
      </c>
      <c r="BO79" s="59"/>
      <c r="BP79" s="59"/>
      <c r="BQ79" s="90"/>
      <c r="BR79" s="45">
        <v>1</v>
      </c>
      <c r="BS79" s="45" t="e">
        <f t="shared" si="13"/>
        <v>#NUM!</v>
      </c>
      <c r="BU79" s="46"/>
      <c r="BV79" s="64"/>
      <c r="BW79" s="45"/>
      <c r="BX79" s="45">
        <v>1</v>
      </c>
      <c r="BY79" s="45" t="e">
        <f>BX79*LOG(BV79)</f>
        <v>#NUM!</v>
      </c>
      <c r="BZ79" s="61"/>
      <c r="CA79" s="46"/>
      <c r="CB79" s="65">
        <v>12365</v>
      </c>
      <c r="CC79" s="45">
        <v>3</v>
      </c>
      <c r="CD79" s="45">
        <v>2</v>
      </c>
      <c r="CE79" s="45">
        <f t="shared" si="16"/>
        <v>0.95424250943932487</v>
      </c>
      <c r="CG79" s="46"/>
      <c r="CH79" s="66" t="s">
        <v>137</v>
      </c>
      <c r="CI79" s="67">
        <v>2</v>
      </c>
      <c r="CJ79" s="68">
        <v>1</v>
      </c>
      <c r="CK79" s="68">
        <f t="shared" si="17"/>
        <v>0.3010299956639812</v>
      </c>
      <c r="CL79" s="68"/>
      <c r="CM79" s="69"/>
      <c r="CO79" s="70" t="e">
        <f>(SUM(N79,T79,AA79,AI79,AQ79,AY79)/SUM(M79,S79,Z79,AH79,AP79,AX79,BF79))</f>
        <v>#VALUE!</v>
      </c>
      <c r="CQ79" s="45" t="e">
        <f t="shared" si="19"/>
        <v>#NUM!</v>
      </c>
      <c r="CR79" s="45" t="e">
        <f t="shared" si="20"/>
        <v>#NUM!</v>
      </c>
      <c r="CT79" s="71" t="e">
        <f t="shared" si="21"/>
        <v>#VALUE!</v>
      </c>
    </row>
    <row r="80" spans="1:98" ht="16">
      <c r="A80" s="36">
        <v>78</v>
      </c>
      <c r="B80" s="37"/>
      <c r="C80" s="37"/>
      <c r="D80" s="37"/>
      <c r="E80" s="38" t="s">
        <v>733</v>
      </c>
      <c r="F80" s="38" t="s">
        <v>429</v>
      </c>
      <c r="G80" s="38" t="s">
        <v>734</v>
      </c>
      <c r="H80" s="38" t="s">
        <v>152</v>
      </c>
      <c r="I80" s="72">
        <v>8.5</v>
      </c>
      <c r="J80" s="53" t="s">
        <v>88</v>
      </c>
      <c r="K80" s="42">
        <v>0</v>
      </c>
      <c r="L80" s="42">
        <v>2</v>
      </c>
      <c r="M80" s="42">
        <v>1</v>
      </c>
      <c r="N80" s="42">
        <f t="shared" si="0"/>
        <v>2</v>
      </c>
      <c r="O80" s="53"/>
      <c r="P80" s="53"/>
      <c r="Q80" s="43">
        <v>12</v>
      </c>
      <c r="R80" s="44">
        <f t="shared" ref="R80:R88" si="28">IF(Q80="","***",IF(Q80&lt;30,3,IF(Q80&gt;60,1,2)))</f>
        <v>3</v>
      </c>
      <c r="S80" s="45">
        <v>1</v>
      </c>
      <c r="T80" s="45">
        <f t="shared" si="2"/>
        <v>3</v>
      </c>
      <c r="V80" s="46"/>
      <c r="W80" s="58" t="s">
        <v>185</v>
      </c>
      <c r="X80" s="73">
        <v>3.4</v>
      </c>
      <c r="Y80" s="44">
        <f t="shared" si="3"/>
        <v>2</v>
      </c>
      <c r="Z80" s="45">
        <v>1</v>
      </c>
      <c r="AA80" s="45">
        <f t="shared" si="4"/>
        <v>2</v>
      </c>
      <c r="AB80" s="45">
        <v>1</v>
      </c>
      <c r="AD80" s="49" t="s">
        <v>362</v>
      </c>
      <c r="AE80" s="50" t="s">
        <v>88</v>
      </c>
      <c r="AF80" s="50">
        <v>0</v>
      </c>
      <c r="AG80" s="50">
        <v>2</v>
      </c>
      <c r="AH80" s="50">
        <v>2</v>
      </c>
      <c r="AI80" s="50">
        <f t="shared" si="5"/>
        <v>4</v>
      </c>
      <c r="AJ80" s="50">
        <v>1</v>
      </c>
      <c r="AK80" s="51" t="s">
        <v>156</v>
      </c>
      <c r="AL80" s="61">
        <v>539520</v>
      </c>
      <c r="AM80" s="53" t="s">
        <v>146</v>
      </c>
      <c r="AN80" s="42">
        <v>2</v>
      </c>
      <c r="AO80" s="54">
        <f t="shared" ref="AO80:AO88" si="29">IF(AL80="","***",IF(AL80&gt;15000,3,IF(AL80&lt;1000,1,2)))</f>
        <v>3</v>
      </c>
      <c r="AP80" s="53">
        <v>2</v>
      </c>
      <c r="AQ80" s="53">
        <f t="shared" si="7"/>
        <v>6</v>
      </c>
      <c r="AR80" s="53"/>
      <c r="AS80" s="55"/>
      <c r="AT80" s="53" t="s">
        <v>735</v>
      </c>
      <c r="AU80" s="42" t="s">
        <v>115</v>
      </c>
      <c r="AV80" s="44">
        <v>1</v>
      </c>
      <c r="AW80" s="44">
        <f t="shared" si="8"/>
        <v>1</v>
      </c>
      <c r="AX80" s="42">
        <v>1</v>
      </c>
      <c r="AY80" s="42">
        <f t="shared" si="9"/>
        <v>1</v>
      </c>
      <c r="AZ80" s="42" t="s">
        <v>340</v>
      </c>
      <c r="BA80" s="77" t="s">
        <v>540</v>
      </c>
      <c r="BB80" s="57" t="s">
        <v>642</v>
      </c>
      <c r="BC80" s="58" t="s">
        <v>643</v>
      </c>
      <c r="BD80" s="58" t="s">
        <v>609</v>
      </c>
      <c r="BE80" s="59">
        <v>2</v>
      </c>
      <c r="BF80" s="58">
        <v>2</v>
      </c>
      <c r="BG80" s="58">
        <f t="shared" si="10"/>
        <v>0.6020599913279624</v>
      </c>
      <c r="BH80" s="58" t="s">
        <v>605</v>
      </c>
      <c r="BI80" s="58" t="s">
        <v>644</v>
      </c>
      <c r="BJ80" s="60" t="s">
        <v>90</v>
      </c>
      <c r="BK80" s="61">
        <v>1</v>
      </c>
      <c r="BL80" s="62">
        <v>1</v>
      </c>
      <c r="BM80" s="62">
        <f t="shared" si="11"/>
        <v>0</v>
      </c>
      <c r="BN80" s="58" t="s">
        <v>607</v>
      </c>
      <c r="BO80" s="59"/>
      <c r="BP80" s="59">
        <v>11.5</v>
      </c>
      <c r="BQ80" s="63">
        <f t="shared" ref="BQ80:BQ88" si="30">IF(BP80&lt;10,3,IF(BP80&lt;30,2,1))</f>
        <v>2</v>
      </c>
      <c r="BR80" s="45">
        <v>1</v>
      </c>
      <c r="BS80" s="45">
        <f t="shared" si="13"/>
        <v>0.3010299956639812</v>
      </c>
      <c r="BU80" s="46"/>
      <c r="BV80" s="64">
        <v>1.625</v>
      </c>
      <c r="BW80" s="54">
        <f t="shared" ref="BW80:BW88" si="31">IF(BV80&lt;2.5,1,IF(BV80&gt;3.5,3,2))</f>
        <v>1</v>
      </c>
      <c r="BX80" s="45">
        <v>1</v>
      </c>
      <c r="BY80" s="45">
        <f t="shared" ref="BY80:BY88" si="32">BX80*LOG(BW80)</f>
        <v>0</v>
      </c>
      <c r="BZ80" s="61" t="s">
        <v>99</v>
      </c>
      <c r="CA80" s="46"/>
      <c r="CB80" s="65">
        <v>11580</v>
      </c>
      <c r="CC80" s="45">
        <v>3</v>
      </c>
      <c r="CD80" s="45">
        <v>2</v>
      </c>
      <c r="CE80" s="45">
        <f t="shared" si="16"/>
        <v>0.95424250943932487</v>
      </c>
      <c r="CG80" s="46"/>
      <c r="CH80" s="66" t="s">
        <v>137</v>
      </c>
      <c r="CI80" s="67">
        <v>2</v>
      </c>
      <c r="CJ80" s="68">
        <v>2</v>
      </c>
      <c r="CK80" s="68">
        <f t="shared" si="17"/>
        <v>0.6020599913279624</v>
      </c>
      <c r="CL80" s="68"/>
      <c r="CM80" s="69"/>
      <c r="CO80" s="70">
        <f t="shared" ref="CO80:CO88" si="33">(SUM(T80,AA80,AI80,AQ80,AY80)/SUM(S80,Z80,AH80,AP80,AX80,BF80))</f>
        <v>1.7777777777777777</v>
      </c>
      <c r="CQ80" s="45">
        <f t="shared" si="19"/>
        <v>0.27326583197324789</v>
      </c>
      <c r="CR80" s="45">
        <f t="shared" si="20"/>
        <v>1.8761425449123874</v>
      </c>
      <c r="CT80" s="71">
        <f t="shared" si="21"/>
        <v>1.5038127940336796</v>
      </c>
    </row>
    <row r="81" spans="1:98" ht="16">
      <c r="A81" s="36">
        <v>79</v>
      </c>
      <c r="B81" s="37"/>
      <c r="C81" s="37"/>
      <c r="D81" s="37"/>
      <c r="E81" s="38" t="s">
        <v>369</v>
      </c>
      <c r="F81" s="38" t="s">
        <v>370</v>
      </c>
      <c r="G81" s="38" t="s">
        <v>371</v>
      </c>
      <c r="H81" s="38" t="s">
        <v>372</v>
      </c>
      <c r="I81" s="72">
        <v>6.5</v>
      </c>
      <c r="J81" s="53" t="s">
        <v>88</v>
      </c>
      <c r="K81" s="42">
        <v>0</v>
      </c>
      <c r="L81" s="42">
        <v>2</v>
      </c>
      <c r="M81" s="42">
        <v>1</v>
      </c>
      <c r="N81" s="42">
        <f t="shared" si="0"/>
        <v>2</v>
      </c>
      <c r="O81" s="53"/>
      <c r="P81" s="53"/>
      <c r="Q81" s="43">
        <v>13</v>
      </c>
      <c r="R81" s="44">
        <f t="shared" si="28"/>
        <v>3</v>
      </c>
      <c r="S81" s="45">
        <v>1</v>
      </c>
      <c r="T81" s="45">
        <f t="shared" si="2"/>
        <v>3</v>
      </c>
      <c r="V81" s="46"/>
      <c r="W81" s="58" t="s">
        <v>373</v>
      </c>
      <c r="X81" s="73">
        <v>3.3</v>
      </c>
      <c r="Y81" s="44">
        <f t="shared" si="3"/>
        <v>2</v>
      </c>
      <c r="Z81" s="45">
        <v>1</v>
      </c>
      <c r="AA81" s="45">
        <f t="shared" si="4"/>
        <v>2</v>
      </c>
      <c r="AB81" s="45">
        <v>1</v>
      </c>
      <c r="AD81" s="49" t="s">
        <v>374</v>
      </c>
      <c r="AE81" s="50" t="s">
        <v>88</v>
      </c>
      <c r="AF81" s="50">
        <v>0</v>
      </c>
      <c r="AG81" s="50">
        <v>3</v>
      </c>
      <c r="AH81" s="50">
        <v>2</v>
      </c>
      <c r="AI81" s="50">
        <f t="shared" si="5"/>
        <v>6</v>
      </c>
      <c r="AJ81" s="50">
        <v>1</v>
      </c>
      <c r="AK81" s="51" t="s">
        <v>135</v>
      </c>
      <c r="AL81" s="61">
        <v>161743</v>
      </c>
      <c r="AM81" s="53" t="s">
        <v>146</v>
      </c>
      <c r="AN81" s="42">
        <v>2</v>
      </c>
      <c r="AO81" s="54">
        <f t="shared" si="29"/>
        <v>3</v>
      </c>
      <c r="AP81" s="53">
        <v>2</v>
      </c>
      <c r="AQ81" s="53">
        <f t="shared" si="7"/>
        <v>6</v>
      </c>
      <c r="AR81" s="53"/>
      <c r="AS81" s="55"/>
      <c r="AT81" s="42">
        <v>69</v>
      </c>
      <c r="AU81" s="42" t="s">
        <v>88</v>
      </c>
      <c r="AV81" s="56">
        <v>0</v>
      </c>
      <c r="AW81" s="44">
        <f t="shared" si="8"/>
        <v>1</v>
      </c>
      <c r="AX81" s="42">
        <v>1</v>
      </c>
      <c r="AY81" s="42">
        <f t="shared" si="9"/>
        <v>1</v>
      </c>
      <c r="AZ81" s="42"/>
      <c r="BA81" s="42"/>
      <c r="BB81" s="57" t="s">
        <v>602</v>
      </c>
      <c r="BC81" s="58" t="s">
        <v>603</v>
      </c>
      <c r="BD81" s="58" t="s">
        <v>604</v>
      </c>
      <c r="BE81" s="59">
        <v>2</v>
      </c>
      <c r="BF81" s="58">
        <v>2</v>
      </c>
      <c r="BG81" s="58">
        <f t="shared" si="10"/>
        <v>0.6020599913279624</v>
      </c>
      <c r="BH81" s="58" t="s">
        <v>605</v>
      </c>
      <c r="BI81" s="58" t="s">
        <v>606</v>
      </c>
      <c r="BJ81" s="60" t="s">
        <v>90</v>
      </c>
      <c r="BK81" s="61">
        <v>1</v>
      </c>
      <c r="BL81" s="62">
        <v>1</v>
      </c>
      <c r="BM81" s="62">
        <f t="shared" si="11"/>
        <v>0</v>
      </c>
      <c r="BN81" s="58" t="s">
        <v>607</v>
      </c>
      <c r="BO81" s="59"/>
      <c r="BP81" s="59">
        <v>55</v>
      </c>
      <c r="BQ81" s="63">
        <f t="shared" si="30"/>
        <v>1</v>
      </c>
      <c r="BR81" s="45">
        <v>1</v>
      </c>
      <c r="BS81" s="45">
        <f t="shared" si="13"/>
        <v>0</v>
      </c>
      <c r="BU81" s="46"/>
      <c r="BV81" s="64">
        <v>1.25</v>
      </c>
      <c r="BW81" s="54">
        <f t="shared" si="31"/>
        <v>1</v>
      </c>
      <c r="BX81" s="45">
        <v>1</v>
      </c>
      <c r="BY81" s="45">
        <f t="shared" si="32"/>
        <v>0</v>
      </c>
      <c r="BZ81" s="61" t="s">
        <v>99</v>
      </c>
      <c r="CA81" s="46"/>
      <c r="CB81" s="65">
        <v>11545</v>
      </c>
      <c r="CC81" s="45">
        <v>3</v>
      </c>
      <c r="CD81" s="45">
        <v>2</v>
      </c>
      <c r="CE81" s="45">
        <f t="shared" si="16"/>
        <v>0.95424250943932487</v>
      </c>
      <c r="CG81" s="46"/>
      <c r="CH81" s="66" t="s">
        <v>137</v>
      </c>
      <c r="CI81" s="67">
        <v>2</v>
      </c>
      <c r="CJ81" s="68">
        <v>2</v>
      </c>
      <c r="CK81" s="68">
        <f t="shared" si="17"/>
        <v>0.6020599913279624</v>
      </c>
      <c r="CL81" s="68"/>
      <c r="CM81" s="69" t="s">
        <v>144</v>
      </c>
      <c r="CO81" s="70">
        <f t="shared" si="33"/>
        <v>2</v>
      </c>
      <c r="CQ81" s="45">
        <f t="shared" si="19"/>
        <v>0.23981805467724998</v>
      </c>
      <c r="CR81" s="45">
        <f t="shared" si="20"/>
        <v>1.7370729389807016</v>
      </c>
      <c r="CT81" s="71">
        <f t="shared" si="21"/>
        <v>1.2422868096287785</v>
      </c>
    </row>
    <row r="82" spans="1:98" ht="16">
      <c r="A82" s="36">
        <v>80</v>
      </c>
      <c r="B82" s="37"/>
      <c r="C82" s="37"/>
      <c r="D82" s="37"/>
      <c r="E82" s="38" t="s">
        <v>476</v>
      </c>
      <c r="F82" s="38" t="s">
        <v>477</v>
      </c>
      <c r="G82" s="38" t="s">
        <v>478</v>
      </c>
      <c r="H82" s="38" t="s">
        <v>152</v>
      </c>
      <c r="I82" s="72">
        <v>6.5</v>
      </c>
      <c r="J82" s="53" t="s">
        <v>88</v>
      </c>
      <c r="K82" s="42">
        <v>0</v>
      </c>
      <c r="L82" s="42">
        <v>2</v>
      </c>
      <c r="M82" s="42">
        <v>1</v>
      </c>
      <c r="N82" s="42">
        <f t="shared" si="0"/>
        <v>2</v>
      </c>
      <c r="O82" s="53"/>
      <c r="P82" s="53"/>
      <c r="Q82" s="43">
        <v>7.75</v>
      </c>
      <c r="R82" s="44">
        <f t="shared" si="28"/>
        <v>3</v>
      </c>
      <c r="S82" s="45">
        <v>1</v>
      </c>
      <c r="T82" s="45">
        <f t="shared" si="2"/>
        <v>3</v>
      </c>
      <c r="V82" s="46"/>
      <c r="W82" s="58" t="s">
        <v>178</v>
      </c>
      <c r="X82" s="73">
        <v>3.4</v>
      </c>
      <c r="Y82" s="44">
        <f t="shared" si="3"/>
        <v>2</v>
      </c>
      <c r="Z82" s="45">
        <v>1</v>
      </c>
      <c r="AA82" s="45">
        <f t="shared" si="4"/>
        <v>2</v>
      </c>
      <c r="AB82" s="45">
        <v>1</v>
      </c>
      <c r="AD82" s="49" t="s">
        <v>155</v>
      </c>
      <c r="AE82" s="50" t="s">
        <v>88</v>
      </c>
      <c r="AF82" s="50">
        <v>0</v>
      </c>
      <c r="AG82" s="50">
        <v>2</v>
      </c>
      <c r="AH82" s="50">
        <v>2</v>
      </c>
      <c r="AI82" s="50">
        <f t="shared" si="5"/>
        <v>4</v>
      </c>
      <c r="AJ82" s="50">
        <v>1</v>
      </c>
      <c r="AK82" s="51" t="s">
        <v>156</v>
      </c>
      <c r="AL82" s="61">
        <v>539520</v>
      </c>
      <c r="AM82" s="53" t="s">
        <v>146</v>
      </c>
      <c r="AN82" s="42">
        <v>2</v>
      </c>
      <c r="AO82" s="54">
        <f t="shared" si="29"/>
        <v>3</v>
      </c>
      <c r="AP82" s="53">
        <v>2</v>
      </c>
      <c r="AQ82" s="53">
        <f t="shared" si="7"/>
        <v>6</v>
      </c>
      <c r="AR82" s="53"/>
      <c r="AS82" s="55"/>
      <c r="AT82" s="53">
        <v>26.425000000000001</v>
      </c>
      <c r="AU82" s="42" t="s">
        <v>146</v>
      </c>
      <c r="AV82" s="44">
        <v>2</v>
      </c>
      <c r="AW82" s="44">
        <f t="shared" si="8"/>
        <v>2</v>
      </c>
      <c r="AX82" s="42">
        <v>1</v>
      </c>
      <c r="AY82" s="42">
        <f t="shared" si="9"/>
        <v>2</v>
      </c>
      <c r="AZ82" s="42" t="s">
        <v>479</v>
      </c>
      <c r="BA82" s="53" t="s">
        <v>702</v>
      </c>
      <c r="BB82" s="57" t="s">
        <v>602</v>
      </c>
      <c r="BC82" s="58" t="s">
        <v>603</v>
      </c>
      <c r="BD82" s="58" t="s">
        <v>609</v>
      </c>
      <c r="BE82" s="59">
        <v>1</v>
      </c>
      <c r="BF82" s="58">
        <v>2</v>
      </c>
      <c r="BG82" s="58">
        <f t="shared" si="10"/>
        <v>0</v>
      </c>
      <c r="BH82" s="58" t="s">
        <v>605</v>
      </c>
      <c r="BI82" s="58" t="s">
        <v>610</v>
      </c>
      <c r="BJ82" s="60" t="s">
        <v>90</v>
      </c>
      <c r="BK82" s="61">
        <v>1</v>
      </c>
      <c r="BL82" s="62">
        <v>1</v>
      </c>
      <c r="BM82" s="62">
        <f t="shared" si="11"/>
        <v>0</v>
      </c>
      <c r="BN82" s="58" t="s">
        <v>607</v>
      </c>
      <c r="BO82" s="59"/>
      <c r="BP82" s="59">
        <v>26</v>
      </c>
      <c r="BQ82" s="63">
        <f t="shared" si="30"/>
        <v>2</v>
      </c>
      <c r="BR82" s="45">
        <v>1</v>
      </c>
      <c r="BS82" s="45">
        <f t="shared" si="13"/>
        <v>0.3010299956639812</v>
      </c>
      <c r="BU82" s="46"/>
      <c r="BV82" s="64">
        <v>1.875</v>
      </c>
      <c r="BW82" s="54">
        <f t="shared" si="31"/>
        <v>1</v>
      </c>
      <c r="BX82" s="45">
        <v>1</v>
      </c>
      <c r="BY82" s="45">
        <f t="shared" si="32"/>
        <v>0</v>
      </c>
      <c r="BZ82" s="61" t="s">
        <v>99</v>
      </c>
      <c r="CA82" s="46"/>
      <c r="CB82" s="65">
        <v>11319</v>
      </c>
      <c r="CC82" s="45">
        <v>3</v>
      </c>
      <c r="CD82" s="45">
        <v>2</v>
      </c>
      <c r="CE82" s="45">
        <f t="shared" si="16"/>
        <v>0.95424250943932487</v>
      </c>
      <c r="CG82" s="46"/>
      <c r="CH82" s="66" t="s">
        <v>92</v>
      </c>
      <c r="CI82" s="67">
        <v>3</v>
      </c>
      <c r="CJ82" s="68">
        <v>2</v>
      </c>
      <c r="CK82" s="68">
        <f t="shared" si="17"/>
        <v>0.95424250943932487</v>
      </c>
      <c r="CL82" s="68"/>
      <c r="CM82" s="69" t="s">
        <v>144</v>
      </c>
      <c r="CO82" s="70">
        <f t="shared" si="33"/>
        <v>1.8888888888888888</v>
      </c>
      <c r="CQ82" s="45">
        <f t="shared" si="19"/>
        <v>0.24550166828251452</v>
      </c>
      <c r="CR82" s="45">
        <f t="shared" si="20"/>
        <v>1.7599554244151643</v>
      </c>
      <c r="CT82" s="71">
        <f t="shared" si="21"/>
        <v>1.3461426924113953</v>
      </c>
    </row>
    <row r="83" spans="1:98" ht="16">
      <c r="A83" s="36">
        <v>81</v>
      </c>
      <c r="B83" s="37"/>
      <c r="C83" s="37"/>
      <c r="D83" s="37"/>
      <c r="E83" s="38" t="s">
        <v>736</v>
      </c>
      <c r="F83" s="38" t="s">
        <v>737</v>
      </c>
      <c r="G83" s="38" t="s">
        <v>738</v>
      </c>
      <c r="H83" s="38" t="s">
        <v>739</v>
      </c>
      <c r="I83" s="72">
        <v>5</v>
      </c>
      <c r="J83" s="53" t="s">
        <v>88</v>
      </c>
      <c r="K83" s="42">
        <v>0</v>
      </c>
      <c r="L83" s="42">
        <v>2</v>
      </c>
      <c r="M83" s="42">
        <v>1</v>
      </c>
      <c r="N83" s="42">
        <f t="shared" si="0"/>
        <v>2</v>
      </c>
      <c r="O83" s="53"/>
      <c r="P83" s="53"/>
      <c r="Q83" s="43">
        <v>47</v>
      </c>
      <c r="R83" s="44">
        <f t="shared" si="28"/>
        <v>2</v>
      </c>
      <c r="S83" s="45">
        <v>1</v>
      </c>
      <c r="T83" s="45">
        <f t="shared" si="2"/>
        <v>2</v>
      </c>
      <c r="V83" s="46"/>
      <c r="W83" s="58" t="s">
        <v>287</v>
      </c>
      <c r="X83" s="73">
        <v>3.5</v>
      </c>
      <c r="Y83" s="44">
        <f t="shared" si="3"/>
        <v>2</v>
      </c>
      <c r="Z83" s="45">
        <v>1</v>
      </c>
      <c r="AA83" s="45">
        <f t="shared" si="4"/>
        <v>2</v>
      </c>
      <c r="AB83" s="45">
        <v>1</v>
      </c>
      <c r="AD83" s="49" t="s">
        <v>163</v>
      </c>
      <c r="AE83" s="50" t="s">
        <v>146</v>
      </c>
      <c r="AF83" s="50">
        <v>2</v>
      </c>
      <c r="AG83" s="50">
        <v>3</v>
      </c>
      <c r="AH83" s="50">
        <v>2</v>
      </c>
      <c r="AI83" s="50">
        <f t="shared" si="5"/>
        <v>6</v>
      </c>
      <c r="AJ83" s="50">
        <v>1</v>
      </c>
      <c r="AK83" s="51"/>
      <c r="AL83" s="61">
        <v>18</v>
      </c>
      <c r="AM83" s="53" t="s">
        <v>146</v>
      </c>
      <c r="AN83" s="42">
        <v>2</v>
      </c>
      <c r="AO83" s="54">
        <f t="shared" si="29"/>
        <v>1</v>
      </c>
      <c r="AP83" s="53">
        <v>2</v>
      </c>
      <c r="AQ83" s="53">
        <f t="shared" si="7"/>
        <v>2</v>
      </c>
      <c r="AR83" s="53"/>
      <c r="AS83" s="55"/>
      <c r="AT83" s="42">
        <v>58</v>
      </c>
      <c r="AU83" s="42" t="s">
        <v>88</v>
      </c>
      <c r="AV83" s="56">
        <v>0</v>
      </c>
      <c r="AW83" s="44">
        <f t="shared" si="8"/>
        <v>1</v>
      </c>
      <c r="AX83" s="42">
        <v>1</v>
      </c>
      <c r="AY83" s="42">
        <f t="shared" si="9"/>
        <v>1</v>
      </c>
      <c r="AZ83" s="42"/>
      <c r="BA83" s="42"/>
      <c r="BB83" s="57" t="s">
        <v>602</v>
      </c>
      <c r="BC83" s="58" t="s">
        <v>603</v>
      </c>
      <c r="BD83" s="58" t="s">
        <v>609</v>
      </c>
      <c r="BE83" s="59">
        <v>1</v>
      </c>
      <c r="BF83" s="58">
        <v>2</v>
      </c>
      <c r="BG83" s="58">
        <f t="shared" si="10"/>
        <v>0</v>
      </c>
      <c r="BH83" s="58" t="s">
        <v>605</v>
      </c>
      <c r="BI83" s="58" t="s">
        <v>610</v>
      </c>
      <c r="BJ83" s="60" t="s">
        <v>90</v>
      </c>
      <c r="BK83" s="61">
        <v>1</v>
      </c>
      <c r="BL83" s="62">
        <v>1</v>
      </c>
      <c r="BM83" s="62">
        <f t="shared" si="11"/>
        <v>0</v>
      </c>
      <c r="BN83" s="58" t="s">
        <v>607</v>
      </c>
      <c r="BO83" s="59"/>
      <c r="BP83" s="59">
        <v>54.75</v>
      </c>
      <c r="BQ83" s="63">
        <f t="shared" si="30"/>
        <v>1</v>
      </c>
      <c r="BR83" s="45">
        <v>1</v>
      </c>
      <c r="BS83" s="45">
        <f t="shared" si="13"/>
        <v>0</v>
      </c>
      <c r="BU83" s="46"/>
      <c r="BV83" s="64">
        <v>3</v>
      </c>
      <c r="BW83" s="54">
        <f t="shared" si="31"/>
        <v>2</v>
      </c>
      <c r="BX83" s="45">
        <v>1</v>
      </c>
      <c r="BY83" s="45">
        <f t="shared" si="32"/>
        <v>0.3010299956639812</v>
      </c>
      <c r="BZ83" s="61" t="s">
        <v>99</v>
      </c>
      <c r="CA83" s="46"/>
      <c r="CB83" s="65">
        <v>11202</v>
      </c>
      <c r="CC83" s="45">
        <v>3</v>
      </c>
      <c r="CD83" s="45">
        <v>2</v>
      </c>
      <c r="CE83" s="45">
        <f t="shared" si="16"/>
        <v>0.95424250943932487</v>
      </c>
      <c r="CG83" s="46"/>
      <c r="CH83" s="66" t="s">
        <v>92</v>
      </c>
      <c r="CI83" s="67">
        <v>3</v>
      </c>
      <c r="CJ83" s="68">
        <v>2</v>
      </c>
      <c r="CK83" s="68">
        <f t="shared" si="17"/>
        <v>0.95424250943932487</v>
      </c>
      <c r="CL83" s="68"/>
      <c r="CM83" s="69" t="s">
        <v>144</v>
      </c>
      <c r="CO83" s="70">
        <f t="shared" si="33"/>
        <v>1.4444444444444444</v>
      </c>
      <c r="CQ83" s="45">
        <f t="shared" si="19"/>
        <v>0.24550166828251452</v>
      </c>
      <c r="CR83" s="45">
        <f t="shared" si="20"/>
        <v>1.7599554244151643</v>
      </c>
      <c r="CT83" s="71">
        <f t="shared" si="21"/>
        <v>1.7312669734959383</v>
      </c>
    </row>
    <row r="84" spans="1:98" ht="16">
      <c r="A84" s="36">
        <v>82</v>
      </c>
      <c r="B84" s="37"/>
      <c r="C84" s="37"/>
      <c r="D84" s="37"/>
      <c r="E84" s="38" t="s">
        <v>492</v>
      </c>
      <c r="F84" s="38" t="s">
        <v>493</v>
      </c>
      <c r="G84" s="38" t="s">
        <v>494</v>
      </c>
      <c r="H84" s="38" t="s">
        <v>336</v>
      </c>
      <c r="I84" s="72">
        <v>6.5</v>
      </c>
      <c r="J84" s="53" t="s">
        <v>88</v>
      </c>
      <c r="K84" s="42">
        <v>0</v>
      </c>
      <c r="L84" s="42">
        <v>2</v>
      </c>
      <c r="M84" s="42">
        <v>1</v>
      </c>
      <c r="N84" s="42">
        <f t="shared" si="0"/>
        <v>2</v>
      </c>
      <c r="O84" s="53"/>
      <c r="P84" s="53"/>
      <c r="Q84" s="43">
        <v>10.33333333</v>
      </c>
      <c r="R84" s="44">
        <f t="shared" si="28"/>
        <v>3</v>
      </c>
      <c r="S84" s="45">
        <v>1</v>
      </c>
      <c r="T84" s="45">
        <f t="shared" si="2"/>
        <v>3</v>
      </c>
      <c r="V84" s="46"/>
      <c r="W84" s="58" t="s">
        <v>495</v>
      </c>
      <c r="X84" s="73">
        <v>2.8</v>
      </c>
      <c r="Y84" s="44">
        <f t="shared" si="3"/>
        <v>2</v>
      </c>
      <c r="Z84" s="45">
        <v>1</v>
      </c>
      <c r="AA84" s="45">
        <f t="shared" si="4"/>
        <v>2</v>
      </c>
      <c r="AB84" s="45">
        <v>1</v>
      </c>
      <c r="AD84" s="49" t="s">
        <v>496</v>
      </c>
      <c r="AE84" s="50" t="s">
        <v>88</v>
      </c>
      <c r="AF84" s="50">
        <v>0</v>
      </c>
      <c r="AG84" s="50">
        <v>3</v>
      </c>
      <c r="AH84" s="50">
        <v>2</v>
      </c>
      <c r="AI84" s="50">
        <f t="shared" si="5"/>
        <v>6</v>
      </c>
      <c r="AJ84" s="50">
        <v>1</v>
      </c>
      <c r="AK84" s="51" t="s">
        <v>497</v>
      </c>
      <c r="AL84" s="61">
        <v>732</v>
      </c>
      <c r="AM84" s="53" t="s">
        <v>88</v>
      </c>
      <c r="AN84" s="42">
        <v>0</v>
      </c>
      <c r="AO84" s="54">
        <f t="shared" si="29"/>
        <v>1</v>
      </c>
      <c r="AP84" s="53">
        <v>2</v>
      </c>
      <c r="AQ84" s="53">
        <f t="shared" si="7"/>
        <v>2</v>
      </c>
      <c r="AR84" s="53"/>
      <c r="AS84" s="55"/>
      <c r="AT84" s="42">
        <v>18</v>
      </c>
      <c r="AU84" s="42" t="s">
        <v>88</v>
      </c>
      <c r="AV84" s="56">
        <v>0</v>
      </c>
      <c r="AW84" s="44">
        <f t="shared" si="8"/>
        <v>2</v>
      </c>
      <c r="AX84" s="42">
        <v>1</v>
      </c>
      <c r="AY84" s="42">
        <f t="shared" si="9"/>
        <v>2</v>
      </c>
      <c r="AZ84" s="42"/>
      <c r="BA84" s="42"/>
      <c r="BB84" s="57" t="s">
        <v>602</v>
      </c>
      <c r="BC84" s="58" t="s">
        <v>603</v>
      </c>
      <c r="BD84" s="58" t="s">
        <v>604</v>
      </c>
      <c r="BE84" s="59">
        <v>2</v>
      </c>
      <c r="BF84" s="58">
        <v>2</v>
      </c>
      <c r="BG84" s="58">
        <f t="shared" si="10"/>
        <v>0.6020599913279624</v>
      </c>
      <c r="BH84" s="58" t="s">
        <v>605</v>
      </c>
      <c r="BI84" s="58" t="s">
        <v>626</v>
      </c>
      <c r="BJ84" s="60" t="s">
        <v>90</v>
      </c>
      <c r="BK84" s="61">
        <v>1</v>
      </c>
      <c r="BL84" s="62">
        <v>1</v>
      </c>
      <c r="BM84" s="62">
        <f t="shared" si="11"/>
        <v>0</v>
      </c>
      <c r="BN84" s="58" t="s">
        <v>607</v>
      </c>
      <c r="BO84" s="59"/>
      <c r="BP84" s="59">
        <v>36.75</v>
      </c>
      <c r="BQ84" s="63">
        <f t="shared" si="30"/>
        <v>1</v>
      </c>
      <c r="BR84" s="45">
        <v>1</v>
      </c>
      <c r="BS84" s="45">
        <f t="shared" si="13"/>
        <v>0</v>
      </c>
      <c r="BU84" s="46"/>
      <c r="BV84" s="64">
        <v>2.125</v>
      </c>
      <c r="BW84" s="54">
        <f t="shared" si="31"/>
        <v>1</v>
      </c>
      <c r="BX84" s="45">
        <v>1</v>
      </c>
      <c r="BY84" s="45">
        <f t="shared" si="32"/>
        <v>0</v>
      </c>
      <c r="BZ84" s="61" t="s">
        <v>99</v>
      </c>
      <c r="CA84" s="46"/>
      <c r="CB84" s="65">
        <v>11193</v>
      </c>
      <c r="CC84" s="45">
        <v>3</v>
      </c>
      <c r="CD84" s="45">
        <v>2</v>
      </c>
      <c r="CE84" s="45">
        <f t="shared" si="16"/>
        <v>0.95424250943932487</v>
      </c>
      <c r="CG84" s="46"/>
      <c r="CH84" s="66" t="s">
        <v>92</v>
      </c>
      <c r="CI84" s="67">
        <v>3</v>
      </c>
      <c r="CJ84" s="68">
        <v>2</v>
      </c>
      <c r="CK84" s="68">
        <f t="shared" si="17"/>
        <v>0.95424250943932487</v>
      </c>
      <c r="CL84" s="68"/>
      <c r="CM84" s="69"/>
      <c r="CO84" s="70">
        <f t="shared" si="33"/>
        <v>1.6666666666666667</v>
      </c>
      <c r="CQ84" s="45">
        <f t="shared" si="19"/>
        <v>0.27894944557851242</v>
      </c>
      <c r="CR84" s="45">
        <f t="shared" si="20"/>
        <v>1.9008569961559403</v>
      </c>
      <c r="CT84" s="71">
        <f t="shared" si="21"/>
        <v>1.6091367577993119</v>
      </c>
    </row>
    <row r="85" spans="1:98" ht="16">
      <c r="A85" s="36">
        <v>83</v>
      </c>
      <c r="B85" s="37"/>
      <c r="C85" s="37"/>
      <c r="D85" s="37"/>
      <c r="E85" s="38" t="s">
        <v>557</v>
      </c>
      <c r="F85" s="38" t="s">
        <v>448</v>
      </c>
      <c r="G85" s="38" t="s">
        <v>558</v>
      </c>
      <c r="H85" s="38" t="s">
        <v>160</v>
      </c>
      <c r="I85" s="72">
        <v>21</v>
      </c>
      <c r="J85" s="53" t="s">
        <v>88</v>
      </c>
      <c r="K85" s="42">
        <v>0</v>
      </c>
      <c r="L85" s="42">
        <v>1</v>
      </c>
      <c r="M85" s="42">
        <v>1</v>
      </c>
      <c r="N85" s="42">
        <f t="shared" si="0"/>
        <v>1</v>
      </c>
      <c r="O85" s="214" t="s">
        <v>740</v>
      </c>
      <c r="P85" s="53" t="s">
        <v>652</v>
      </c>
      <c r="Q85" s="43">
        <v>38.333333330000002</v>
      </c>
      <c r="R85" s="44">
        <f t="shared" si="28"/>
        <v>2</v>
      </c>
      <c r="S85" s="45">
        <v>1</v>
      </c>
      <c r="T85" s="45">
        <f t="shared" si="2"/>
        <v>2</v>
      </c>
      <c r="V85" s="46"/>
      <c r="W85" s="58" t="s">
        <v>450</v>
      </c>
      <c r="X85" s="73">
        <v>2.7</v>
      </c>
      <c r="Y85" s="44">
        <f t="shared" si="3"/>
        <v>2</v>
      </c>
      <c r="Z85" s="45">
        <v>1</v>
      </c>
      <c r="AA85" s="45">
        <f t="shared" si="4"/>
        <v>2</v>
      </c>
      <c r="AB85" s="45">
        <v>1</v>
      </c>
      <c r="AD85" s="49" t="s">
        <v>163</v>
      </c>
      <c r="AE85" s="50" t="s">
        <v>146</v>
      </c>
      <c r="AF85" s="50">
        <v>2</v>
      </c>
      <c r="AG85" s="50">
        <v>3</v>
      </c>
      <c r="AH85" s="50">
        <v>2</v>
      </c>
      <c r="AI85" s="50">
        <f t="shared" si="5"/>
        <v>6</v>
      </c>
      <c r="AJ85" s="50">
        <v>1</v>
      </c>
      <c r="AK85" s="51" t="s">
        <v>165</v>
      </c>
      <c r="AL85" s="97">
        <v>230000</v>
      </c>
      <c r="AM85" s="53" t="s">
        <v>88</v>
      </c>
      <c r="AN85" s="42">
        <v>0</v>
      </c>
      <c r="AO85" s="54">
        <f t="shared" si="29"/>
        <v>3</v>
      </c>
      <c r="AP85" s="53">
        <v>2</v>
      </c>
      <c r="AQ85" s="53">
        <f t="shared" si="7"/>
        <v>6</v>
      </c>
      <c r="AR85" s="53"/>
      <c r="AS85" s="55"/>
      <c r="AT85" s="42">
        <v>19.5</v>
      </c>
      <c r="AU85" s="42" t="s">
        <v>88</v>
      </c>
      <c r="AV85" s="56">
        <v>0</v>
      </c>
      <c r="AW85" s="44">
        <f t="shared" si="8"/>
        <v>2</v>
      </c>
      <c r="AX85" s="42">
        <v>1</v>
      </c>
      <c r="AY85" s="42">
        <f t="shared" si="9"/>
        <v>2</v>
      </c>
      <c r="AZ85" s="42"/>
      <c r="BA85" s="42"/>
      <c r="BB85" s="57" t="s">
        <v>602</v>
      </c>
      <c r="BC85" s="58" t="s">
        <v>603</v>
      </c>
      <c r="BD85" s="58" t="s">
        <v>604</v>
      </c>
      <c r="BE85" s="59">
        <v>2</v>
      </c>
      <c r="BF85" s="58">
        <v>2</v>
      </c>
      <c r="BG85" s="58">
        <f t="shared" si="10"/>
        <v>0.6020599913279624</v>
      </c>
      <c r="BH85" s="58" t="s">
        <v>605</v>
      </c>
      <c r="BI85" s="58" t="s">
        <v>626</v>
      </c>
      <c r="BJ85" s="81" t="s">
        <v>166</v>
      </c>
      <c r="BK85" s="61">
        <v>3</v>
      </c>
      <c r="BL85" s="62">
        <v>1</v>
      </c>
      <c r="BM85" s="62">
        <f t="shared" si="11"/>
        <v>0.47712125471966244</v>
      </c>
      <c r="BN85" s="58" t="s">
        <v>607</v>
      </c>
      <c r="BO85" s="59"/>
      <c r="BP85" s="59">
        <v>18</v>
      </c>
      <c r="BQ85" s="63">
        <f t="shared" si="30"/>
        <v>2</v>
      </c>
      <c r="BR85" s="45">
        <v>1</v>
      </c>
      <c r="BS85" s="45">
        <f t="shared" si="13"/>
        <v>0.3010299956639812</v>
      </c>
      <c r="BU85" s="46"/>
      <c r="BV85" s="64">
        <v>2.125</v>
      </c>
      <c r="BW85" s="54">
        <f t="shared" si="31"/>
        <v>1</v>
      </c>
      <c r="BX85" s="45">
        <v>1</v>
      </c>
      <c r="BY85" s="45">
        <f t="shared" si="32"/>
        <v>0</v>
      </c>
      <c r="BZ85" s="61" t="s">
        <v>99</v>
      </c>
      <c r="CA85" s="46"/>
      <c r="CB85" s="65">
        <v>11123</v>
      </c>
      <c r="CC85" s="45">
        <v>3</v>
      </c>
      <c r="CD85" s="45">
        <v>2</v>
      </c>
      <c r="CE85" s="45">
        <f t="shared" si="16"/>
        <v>0.95424250943932487</v>
      </c>
      <c r="CG85" s="46"/>
      <c r="CH85" s="66" t="s">
        <v>180</v>
      </c>
      <c r="CI85" s="67">
        <v>3</v>
      </c>
      <c r="CJ85" s="68">
        <v>2</v>
      </c>
      <c r="CK85" s="68">
        <f t="shared" si="17"/>
        <v>0.95424250943932487</v>
      </c>
      <c r="CL85" s="78"/>
      <c r="CM85" s="79" t="s">
        <v>144</v>
      </c>
      <c r="CO85" s="70">
        <f t="shared" si="33"/>
        <v>2</v>
      </c>
      <c r="CQ85" s="45">
        <f t="shared" si="19"/>
        <v>0.36541069562113954</v>
      </c>
      <c r="CR85" s="45">
        <f t="shared" si="20"/>
        <v>2.3195871576575349</v>
      </c>
      <c r="CT85" s="71">
        <f t="shared" si="21"/>
        <v>1.655690268937609</v>
      </c>
    </row>
    <row r="86" spans="1:98" ht="16">
      <c r="A86" s="36">
        <v>84</v>
      </c>
      <c r="B86" s="37"/>
      <c r="C86" s="37"/>
      <c r="D86" s="37"/>
      <c r="E86" s="38" t="s">
        <v>741</v>
      </c>
      <c r="F86" s="38" t="s">
        <v>742</v>
      </c>
      <c r="G86" s="38" t="s">
        <v>117</v>
      </c>
      <c r="H86" s="38" t="s">
        <v>83</v>
      </c>
      <c r="I86" s="72">
        <v>6.5</v>
      </c>
      <c r="J86" s="53" t="s">
        <v>88</v>
      </c>
      <c r="K86" s="42">
        <v>0</v>
      </c>
      <c r="L86" s="42">
        <v>2</v>
      </c>
      <c r="M86" s="42">
        <v>1</v>
      </c>
      <c r="N86" s="42">
        <f t="shared" si="0"/>
        <v>2</v>
      </c>
      <c r="O86" s="53"/>
      <c r="P86" s="53"/>
      <c r="Q86" s="43">
        <v>15</v>
      </c>
      <c r="R86" s="44">
        <f t="shared" si="28"/>
        <v>3</v>
      </c>
      <c r="S86" s="45">
        <v>1</v>
      </c>
      <c r="T86" s="45">
        <f t="shared" si="2"/>
        <v>3</v>
      </c>
      <c r="V86" s="46"/>
      <c r="W86" s="58" t="s">
        <v>743</v>
      </c>
      <c r="X86" s="73">
        <v>3.7</v>
      </c>
      <c r="Y86" s="44">
        <f t="shared" si="3"/>
        <v>1</v>
      </c>
      <c r="Z86" s="45">
        <v>1</v>
      </c>
      <c r="AA86" s="45">
        <f t="shared" si="4"/>
        <v>1</v>
      </c>
      <c r="AB86" s="45">
        <v>1</v>
      </c>
      <c r="AD86" s="49" t="s">
        <v>87</v>
      </c>
      <c r="AE86" s="50" t="s">
        <v>88</v>
      </c>
      <c r="AF86" s="50">
        <v>0</v>
      </c>
      <c r="AG86" s="50">
        <v>3</v>
      </c>
      <c r="AH86" s="50">
        <v>2</v>
      </c>
      <c r="AI86" s="50">
        <f t="shared" si="5"/>
        <v>6</v>
      </c>
      <c r="AJ86" s="50">
        <v>1</v>
      </c>
      <c r="AK86" s="51" t="s">
        <v>89</v>
      </c>
      <c r="AL86" s="61">
        <v>102000</v>
      </c>
      <c r="AM86" s="53" t="s">
        <v>115</v>
      </c>
      <c r="AN86" s="42">
        <v>1</v>
      </c>
      <c r="AO86" s="54">
        <f t="shared" si="29"/>
        <v>3</v>
      </c>
      <c r="AP86" s="53">
        <v>2</v>
      </c>
      <c r="AQ86" s="53">
        <f t="shared" si="7"/>
        <v>6</v>
      </c>
      <c r="AR86" s="53"/>
      <c r="AS86" s="55" t="s">
        <v>744</v>
      </c>
      <c r="AT86" s="42">
        <v>29.9</v>
      </c>
      <c r="AU86" s="42" t="s">
        <v>88</v>
      </c>
      <c r="AV86" s="56">
        <v>0</v>
      </c>
      <c r="AW86" s="44">
        <f t="shared" si="8"/>
        <v>2</v>
      </c>
      <c r="AX86" s="42">
        <v>1</v>
      </c>
      <c r="AY86" s="42">
        <f t="shared" si="9"/>
        <v>2</v>
      </c>
      <c r="AZ86" s="42"/>
      <c r="BA86" s="42"/>
      <c r="BB86" s="57" t="s">
        <v>602</v>
      </c>
      <c r="BC86" s="58" t="s">
        <v>603</v>
      </c>
      <c r="BD86" s="58" t="s">
        <v>609</v>
      </c>
      <c r="BE86" s="59">
        <v>1</v>
      </c>
      <c r="BF86" s="58">
        <v>2</v>
      </c>
      <c r="BG86" s="58">
        <f t="shared" si="10"/>
        <v>0</v>
      </c>
      <c r="BH86" s="58" t="s">
        <v>605</v>
      </c>
      <c r="BI86" s="58" t="s">
        <v>731</v>
      </c>
      <c r="BJ86" s="60" t="s">
        <v>90</v>
      </c>
      <c r="BK86" s="61">
        <v>1</v>
      </c>
      <c r="BL86" s="62">
        <v>1</v>
      </c>
      <c r="BM86" s="62">
        <f t="shared" si="11"/>
        <v>0</v>
      </c>
      <c r="BN86" s="58" t="s">
        <v>607</v>
      </c>
      <c r="BO86" s="59"/>
      <c r="BP86" s="59">
        <v>31.5</v>
      </c>
      <c r="BQ86" s="63">
        <f t="shared" si="30"/>
        <v>1</v>
      </c>
      <c r="BR86" s="45">
        <v>1</v>
      </c>
      <c r="BS86" s="45">
        <f t="shared" si="13"/>
        <v>0</v>
      </c>
      <c r="BU86" s="46"/>
      <c r="BV86" s="64">
        <v>1.1666666670000001</v>
      </c>
      <c r="BW86" s="54">
        <f t="shared" si="31"/>
        <v>1</v>
      </c>
      <c r="BX86" s="45">
        <v>1</v>
      </c>
      <c r="BY86" s="45">
        <f t="shared" si="32"/>
        <v>0</v>
      </c>
      <c r="BZ86" s="61" t="s">
        <v>552</v>
      </c>
      <c r="CA86" s="46"/>
      <c r="CB86" s="65">
        <v>11051</v>
      </c>
      <c r="CC86" s="45">
        <v>3</v>
      </c>
      <c r="CD86" s="45">
        <v>2</v>
      </c>
      <c r="CE86" s="45">
        <f t="shared" si="16"/>
        <v>0.95424250943932487</v>
      </c>
      <c r="CG86" s="46"/>
      <c r="CH86" s="66" t="s">
        <v>250</v>
      </c>
      <c r="CI86" s="67">
        <v>3</v>
      </c>
      <c r="CJ86" s="68">
        <v>2</v>
      </c>
      <c r="CK86" s="68">
        <f t="shared" si="17"/>
        <v>0.95424250943932487</v>
      </c>
      <c r="CL86" s="68"/>
      <c r="CM86" s="69"/>
      <c r="CO86" s="70">
        <f t="shared" si="33"/>
        <v>2</v>
      </c>
      <c r="CQ86" s="45">
        <f t="shared" si="19"/>
        <v>0.21205389098651664</v>
      </c>
      <c r="CR86" s="45">
        <f t="shared" si="20"/>
        <v>1.6294982222188463</v>
      </c>
      <c r="CT86" s="71">
        <f t="shared" si="21"/>
        <v>1.1816378513642358</v>
      </c>
    </row>
    <row r="87" spans="1:98" ht="16">
      <c r="A87" s="36">
        <v>85</v>
      </c>
      <c r="B87" s="37"/>
      <c r="C87" s="37"/>
      <c r="D87" s="37"/>
      <c r="E87" s="38" t="s">
        <v>459</v>
      </c>
      <c r="F87" s="38" t="s">
        <v>392</v>
      </c>
      <c r="G87" s="38" t="s">
        <v>460</v>
      </c>
      <c r="H87" s="38" t="s">
        <v>110</v>
      </c>
      <c r="I87" s="72">
        <v>10</v>
      </c>
      <c r="J87" s="53" t="s">
        <v>88</v>
      </c>
      <c r="K87" s="42">
        <v>0</v>
      </c>
      <c r="L87" s="42">
        <v>2</v>
      </c>
      <c r="M87" s="42">
        <v>1</v>
      </c>
      <c r="N87" s="42">
        <f t="shared" si="0"/>
        <v>2</v>
      </c>
      <c r="O87" s="53"/>
      <c r="P87" s="53"/>
      <c r="Q87" s="43">
        <v>14</v>
      </c>
      <c r="R87" s="44">
        <f t="shared" si="28"/>
        <v>3</v>
      </c>
      <c r="S87" s="45">
        <v>1</v>
      </c>
      <c r="T87" s="45">
        <f t="shared" si="2"/>
        <v>3</v>
      </c>
      <c r="V87" s="46"/>
      <c r="W87" s="58" t="s">
        <v>178</v>
      </c>
      <c r="X87" s="73">
        <v>3.4</v>
      </c>
      <c r="Y87" s="44">
        <f t="shared" si="3"/>
        <v>2</v>
      </c>
      <c r="Z87" s="45">
        <v>1</v>
      </c>
      <c r="AA87" s="45">
        <f t="shared" si="4"/>
        <v>2</v>
      </c>
      <c r="AB87" s="45">
        <v>1</v>
      </c>
      <c r="AD87" s="49" t="s">
        <v>113</v>
      </c>
      <c r="AE87" s="50" t="s">
        <v>88</v>
      </c>
      <c r="AF87" s="50">
        <v>0</v>
      </c>
      <c r="AG87" s="50">
        <v>3</v>
      </c>
      <c r="AH87" s="50">
        <v>2</v>
      </c>
      <c r="AI87" s="50">
        <f t="shared" si="5"/>
        <v>6</v>
      </c>
      <c r="AJ87" s="50">
        <v>1</v>
      </c>
      <c r="AK87" s="51" t="s">
        <v>114</v>
      </c>
      <c r="AL87" s="61">
        <v>14990</v>
      </c>
      <c r="AM87" s="53" t="s">
        <v>146</v>
      </c>
      <c r="AN87" s="42">
        <v>2</v>
      </c>
      <c r="AO87" s="54">
        <f t="shared" si="29"/>
        <v>2</v>
      </c>
      <c r="AP87" s="53">
        <v>2</v>
      </c>
      <c r="AQ87" s="53">
        <f t="shared" si="7"/>
        <v>4</v>
      </c>
      <c r="AR87" s="53"/>
      <c r="AS87" s="55"/>
      <c r="AT87" s="42">
        <v>22.5</v>
      </c>
      <c r="AU87" s="42" t="s">
        <v>115</v>
      </c>
      <c r="AV87" s="44">
        <v>1</v>
      </c>
      <c r="AW87" s="44">
        <f t="shared" si="8"/>
        <v>2</v>
      </c>
      <c r="AX87" s="42">
        <v>1</v>
      </c>
      <c r="AY87" s="42">
        <f t="shared" si="9"/>
        <v>2</v>
      </c>
      <c r="AZ87" s="42" t="s">
        <v>340</v>
      </c>
      <c r="BA87" s="53" t="s">
        <v>393</v>
      </c>
      <c r="BB87" s="57" t="s">
        <v>602</v>
      </c>
      <c r="BC87" s="58" t="s">
        <v>603</v>
      </c>
      <c r="BD87" s="58" t="s">
        <v>609</v>
      </c>
      <c r="BE87" s="59">
        <v>1</v>
      </c>
      <c r="BF87" s="58">
        <v>2</v>
      </c>
      <c r="BG87" s="58">
        <f t="shared" si="10"/>
        <v>0</v>
      </c>
      <c r="BH87" s="58" t="s">
        <v>605</v>
      </c>
      <c r="BI87" s="58" t="s">
        <v>610</v>
      </c>
      <c r="BJ87" s="60" t="s">
        <v>90</v>
      </c>
      <c r="BK87" s="61">
        <v>1</v>
      </c>
      <c r="BL87" s="62">
        <v>1</v>
      </c>
      <c r="BM87" s="62">
        <f t="shared" si="11"/>
        <v>0</v>
      </c>
      <c r="BN87" s="58" t="s">
        <v>607</v>
      </c>
      <c r="BO87" s="59"/>
      <c r="BP87" s="59">
        <v>8.5</v>
      </c>
      <c r="BQ87" s="63">
        <f t="shared" si="30"/>
        <v>3</v>
      </c>
      <c r="BR87" s="45">
        <v>1</v>
      </c>
      <c r="BS87" s="45">
        <f t="shared" si="13"/>
        <v>0.47712125471966244</v>
      </c>
      <c r="BU87" s="46"/>
      <c r="BV87" s="64">
        <v>1.375</v>
      </c>
      <c r="BW87" s="54">
        <f t="shared" si="31"/>
        <v>1</v>
      </c>
      <c r="BX87" s="45">
        <v>1</v>
      </c>
      <c r="BY87" s="45">
        <f t="shared" si="32"/>
        <v>0</v>
      </c>
      <c r="BZ87" s="61" t="s">
        <v>99</v>
      </c>
      <c r="CA87" s="46"/>
      <c r="CB87" s="65">
        <v>10664</v>
      </c>
      <c r="CC87" s="45">
        <v>3</v>
      </c>
      <c r="CD87" s="45">
        <v>2</v>
      </c>
      <c r="CE87" s="45">
        <f t="shared" si="16"/>
        <v>0.95424250943932487</v>
      </c>
      <c r="CG87" s="46"/>
      <c r="CH87" s="66" t="s">
        <v>92</v>
      </c>
      <c r="CI87" s="67">
        <v>3</v>
      </c>
      <c r="CJ87" s="68">
        <v>2</v>
      </c>
      <c r="CK87" s="68">
        <f t="shared" si="17"/>
        <v>0.95424250943932487</v>
      </c>
      <c r="CL87" s="78"/>
      <c r="CM87" s="79" t="s">
        <v>144</v>
      </c>
      <c r="CO87" s="70">
        <f t="shared" si="33"/>
        <v>1.8888888888888888</v>
      </c>
      <c r="CQ87" s="45">
        <f t="shared" si="19"/>
        <v>0.26506736373314577</v>
      </c>
      <c r="CR87" s="45">
        <f t="shared" si="20"/>
        <v>1.841057547098748</v>
      </c>
      <c r="CT87" s="71">
        <f t="shared" si="21"/>
        <v>1.3935371178287039</v>
      </c>
    </row>
    <row r="88" spans="1:98" ht="16">
      <c r="A88" s="36">
        <v>86</v>
      </c>
      <c r="B88" s="37"/>
      <c r="C88" s="37"/>
      <c r="D88" s="37"/>
      <c r="E88" s="38" t="s">
        <v>745</v>
      </c>
      <c r="F88" s="38" t="s">
        <v>386</v>
      </c>
      <c r="G88" s="38" t="s">
        <v>304</v>
      </c>
      <c r="H88" s="38" t="s">
        <v>170</v>
      </c>
      <c r="I88" s="72">
        <v>5.5</v>
      </c>
      <c r="J88" s="53" t="s">
        <v>88</v>
      </c>
      <c r="K88" s="42">
        <v>0</v>
      </c>
      <c r="L88" s="42">
        <v>2</v>
      </c>
      <c r="M88" s="42">
        <v>1</v>
      </c>
      <c r="N88" s="42">
        <f t="shared" si="0"/>
        <v>2</v>
      </c>
      <c r="O88" s="53"/>
      <c r="P88" s="53"/>
      <c r="Q88" s="43">
        <v>10.5</v>
      </c>
      <c r="R88" s="44">
        <f t="shared" si="28"/>
        <v>3</v>
      </c>
      <c r="S88" s="45">
        <v>1</v>
      </c>
      <c r="T88" s="45">
        <f t="shared" si="2"/>
        <v>3</v>
      </c>
      <c r="V88" s="46"/>
      <c r="W88" s="58" t="s">
        <v>213</v>
      </c>
      <c r="X88" s="73">
        <v>2</v>
      </c>
      <c r="Y88" s="44">
        <f t="shared" si="3"/>
        <v>3</v>
      </c>
      <c r="Z88" s="45">
        <v>1</v>
      </c>
      <c r="AA88" s="45">
        <f t="shared" si="4"/>
        <v>3</v>
      </c>
      <c r="AB88" s="45">
        <v>1</v>
      </c>
      <c r="AD88" s="49" t="s">
        <v>455</v>
      </c>
      <c r="AE88" s="50" t="s">
        <v>88</v>
      </c>
      <c r="AF88" s="50">
        <v>0</v>
      </c>
      <c r="AG88" s="50">
        <v>3</v>
      </c>
      <c r="AH88" s="50">
        <v>2</v>
      </c>
      <c r="AI88" s="50">
        <f t="shared" si="5"/>
        <v>6</v>
      </c>
      <c r="AJ88" s="50">
        <v>1</v>
      </c>
      <c r="AK88" s="51" t="s">
        <v>114</v>
      </c>
      <c r="AL88" s="61">
        <v>8450</v>
      </c>
      <c r="AM88" s="53" t="s">
        <v>115</v>
      </c>
      <c r="AN88" s="42">
        <v>1</v>
      </c>
      <c r="AO88" s="54">
        <f t="shared" si="29"/>
        <v>2</v>
      </c>
      <c r="AP88" s="53">
        <v>2</v>
      </c>
      <c r="AQ88" s="53">
        <f t="shared" si="7"/>
        <v>4</v>
      </c>
      <c r="AR88" s="53"/>
      <c r="AS88" s="55" t="s">
        <v>746</v>
      </c>
      <c r="AT88" s="53">
        <v>44</v>
      </c>
      <c r="AU88" s="42" t="s">
        <v>146</v>
      </c>
      <c r="AV88" s="44">
        <v>2</v>
      </c>
      <c r="AW88" s="44">
        <f t="shared" si="8"/>
        <v>1</v>
      </c>
      <c r="AX88" s="42">
        <v>1</v>
      </c>
      <c r="AY88" s="42">
        <f t="shared" si="9"/>
        <v>1</v>
      </c>
      <c r="AZ88" s="42" t="s">
        <v>173</v>
      </c>
      <c r="BA88" s="53" t="s">
        <v>632</v>
      </c>
      <c r="BB88" s="57" t="s">
        <v>602</v>
      </c>
      <c r="BC88" s="58" t="s">
        <v>603</v>
      </c>
      <c r="BD88" s="58" t="s">
        <v>609</v>
      </c>
      <c r="BE88" s="59">
        <v>1</v>
      </c>
      <c r="BF88" s="58">
        <v>2</v>
      </c>
      <c r="BG88" s="58">
        <f t="shared" si="10"/>
        <v>0</v>
      </c>
      <c r="BH88" s="58" t="s">
        <v>605</v>
      </c>
      <c r="BI88" s="58" t="s">
        <v>610</v>
      </c>
      <c r="BJ88" s="60" t="s">
        <v>90</v>
      </c>
      <c r="BK88" s="61">
        <v>1</v>
      </c>
      <c r="BL88" s="62">
        <v>1</v>
      </c>
      <c r="BM88" s="62">
        <f t="shared" si="11"/>
        <v>0</v>
      </c>
      <c r="BN88" s="58" t="s">
        <v>607</v>
      </c>
      <c r="BO88" s="59"/>
      <c r="BP88" s="59">
        <v>13</v>
      </c>
      <c r="BQ88" s="63">
        <f t="shared" si="30"/>
        <v>2</v>
      </c>
      <c r="BR88" s="45">
        <v>1</v>
      </c>
      <c r="BS88" s="45">
        <f t="shared" si="13"/>
        <v>0.3010299956639812</v>
      </c>
      <c r="BU88" s="46"/>
      <c r="BV88" s="64">
        <v>1.375</v>
      </c>
      <c r="BW88" s="54">
        <f t="shared" si="31"/>
        <v>1</v>
      </c>
      <c r="BX88" s="45">
        <v>1</v>
      </c>
      <c r="BY88" s="45">
        <f t="shared" si="32"/>
        <v>0</v>
      </c>
      <c r="BZ88" s="61" t="s">
        <v>99</v>
      </c>
      <c r="CA88" s="46"/>
      <c r="CB88" s="65">
        <v>10657</v>
      </c>
      <c r="CC88" s="45">
        <v>3</v>
      </c>
      <c r="CD88" s="45">
        <v>2</v>
      </c>
      <c r="CE88" s="45">
        <f t="shared" si="16"/>
        <v>0.95424250943932487</v>
      </c>
      <c r="CG88" s="46"/>
      <c r="CH88" s="66" t="s">
        <v>137</v>
      </c>
      <c r="CI88" s="67">
        <v>2</v>
      </c>
      <c r="CJ88" s="68">
        <v>2</v>
      </c>
      <c r="CK88" s="68">
        <f t="shared" si="17"/>
        <v>0.6020599913279624</v>
      </c>
      <c r="CL88" s="68"/>
      <c r="CM88" s="69"/>
      <c r="CO88" s="70">
        <f t="shared" si="33"/>
        <v>1.8888888888888888</v>
      </c>
      <c r="CQ88" s="45">
        <f t="shared" si="19"/>
        <v>0.20637027738125205</v>
      </c>
      <c r="CR88" s="45">
        <f t="shared" si="20"/>
        <v>1.6083119076007948</v>
      </c>
      <c r="CT88" s="71">
        <f t="shared" si="21"/>
        <v>1.2667325203702184</v>
      </c>
    </row>
    <row r="89" spans="1:98" ht="16" hidden="1">
      <c r="A89" s="36">
        <v>87</v>
      </c>
      <c r="B89" s="37"/>
      <c r="C89" s="37" t="s">
        <v>144</v>
      </c>
      <c r="D89" s="37" t="s">
        <v>686</v>
      </c>
      <c r="E89" s="38" t="s">
        <v>747</v>
      </c>
      <c r="F89" s="38" t="s">
        <v>748</v>
      </c>
      <c r="G89" s="38" t="s">
        <v>688</v>
      </c>
      <c r="H89" s="38" t="s">
        <v>141</v>
      </c>
      <c r="I89" s="87"/>
      <c r="J89" s="53"/>
      <c r="K89" s="53"/>
      <c r="L89" s="53"/>
      <c r="M89" s="42">
        <v>1</v>
      </c>
      <c r="N89" s="42">
        <f t="shared" si="0"/>
        <v>0</v>
      </c>
      <c r="O89" s="53"/>
      <c r="P89" s="53"/>
      <c r="Q89" s="43"/>
      <c r="R89" s="44" t="str">
        <f>IF(Q89="","***",IF(Q89&lt;5,3,IF(Q89&lt;15,2,1)))</f>
        <v>***</v>
      </c>
      <c r="S89" s="45">
        <v>1</v>
      </c>
      <c r="T89" s="45" t="e">
        <f t="shared" si="2"/>
        <v>#VALUE!</v>
      </c>
      <c r="V89" s="46"/>
      <c r="W89" s="58" t="s">
        <v>749</v>
      </c>
      <c r="X89" s="73">
        <v>3.6</v>
      </c>
      <c r="Y89" s="44">
        <f t="shared" si="3"/>
        <v>1</v>
      </c>
      <c r="Z89" s="45">
        <v>1</v>
      </c>
      <c r="AA89" s="45">
        <f t="shared" si="4"/>
        <v>1</v>
      </c>
      <c r="AB89" s="45">
        <v>1</v>
      </c>
      <c r="AD89" s="49" t="s">
        <v>549</v>
      </c>
      <c r="AE89" s="50" t="s">
        <v>88</v>
      </c>
      <c r="AF89" s="50">
        <v>0</v>
      </c>
      <c r="AG89" s="50">
        <v>1</v>
      </c>
      <c r="AH89" s="50">
        <v>2</v>
      </c>
      <c r="AI89" s="50">
        <f t="shared" si="5"/>
        <v>2</v>
      </c>
      <c r="AJ89" s="50">
        <v>1</v>
      </c>
      <c r="AK89" s="51" t="s">
        <v>145</v>
      </c>
      <c r="AL89" s="61"/>
      <c r="AM89" s="53"/>
      <c r="AN89" s="53"/>
      <c r="AO89" s="53"/>
      <c r="AP89" s="53">
        <v>2</v>
      </c>
      <c r="AQ89" s="53">
        <f t="shared" si="7"/>
        <v>0</v>
      </c>
      <c r="AR89" s="53"/>
      <c r="AS89" s="55"/>
      <c r="AT89" s="89"/>
      <c r="AU89" s="89"/>
      <c r="AV89" s="44"/>
      <c r="AW89" s="44" t="str">
        <f t="shared" si="8"/>
        <v>***</v>
      </c>
      <c r="AX89" s="42">
        <v>1</v>
      </c>
      <c r="AY89" s="42" t="e">
        <f t="shared" si="9"/>
        <v>#VALUE!</v>
      </c>
      <c r="AZ89" s="89"/>
      <c r="BA89" s="89"/>
      <c r="BB89" s="57"/>
      <c r="BC89" s="58"/>
      <c r="BD89" s="58"/>
      <c r="BE89" s="58"/>
      <c r="BF89" s="58">
        <v>2</v>
      </c>
      <c r="BG89" s="58" t="e">
        <f t="shared" si="10"/>
        <v>#NUM!</v>
      </c>
      <c r="BH89" s="58" t="s">
        <v>605</v>
      </c>
      <c r="BI89" s="58"/>
      <c r="BJ89" s="60" t="s">
        <v>90</v>
      </c>
      <c r="BK89" s="61">
        <v>1</v>
      </c>
      <c r="BL89" s="62">
        <v>1</v>
      </c>
      <c r="BM89" s="62">
        <f t="shared" si="11"/>
        <v>0</v>
      </c>
      <c r="BN89" s="58" t="s">
        <v>607</v>
      </c>
      <c r="BO89" s="59"/>
      <c r="BP89" s="59"/>
      <c r="BQ89" s="90"/>
      <c r="BR89" s="45">
        <v>1</v>
      </c>
      <c r="BS89" s="45" t="e">
        <f t="shared" si="13"/>
        <v>#NUM!</v>
      </c>
      <c r="BU89" s="46"/>
      <c r="BV89" s="64"/>
      <c r="BW89" s="45"/>
      <c r="BX89" s="45">
        <v>1</v>
      </c>
      <c r="BY89" s="45" t="e">
        <f>BX89*LOG(BV89)</f>
        <v>#NUM!</v>
      </c>
      <c r="BZ89" s="61"/>
      <c r="CA89" s="46"/>
      <c r="CB89" s="65">
        <v>10510</v>
      </c>
      <c r="CC89" s="45">
        <v>3</v>
      </c>
      <c r="CD89" s="45">
        <v>2</v>
      </c>
      <c r="CE89" s="45">
        <f t="shared" si="16"/>
        <v>0.95424250943932487</v>
      </c>
      <c r="CG89" s="46"/>
      <c r="CH89" s="66" t="s">
        <v>92</v>
      </c>
      <c r="CI89" s="67">
        <v>3</v>
      </c>
      <c r="CJ89" s="68">
        <v>1</v>
      </c>
      <c r="CK89" s="68">
        <f t="shared" si="17"/>
        <v>0.47712125471966244</v>
      </c>
      <c r="CL89" s="68"/>
      <c r="CM89" s="69"/>
      <c r="CO89" s="70" t="e">
        <f>(SUM(N89,T89,AA89,AI89,AQ89,AY89)/SUM(M89,S89,Z89,AH89,AP89,AX89,BF89))</f>
        <v>#VALUE!</v>
      </c>
      <c r="CQ89" s="45" t="e">
        <f t="shared" si="19"/>
        <v>#NUM!</v>
      </c>
      <c r="CR89" s="45" t="e">
        <f t="shared" si="20"/>
        <v>#NUM!</v>
      </c>
      <c r="CT89" s="71" t="e">
        <f t="shared" si="21"/>
        <v>#VALUE!</v>
      </c>
    </row>
    <row r="90" spans="1:98" ht="16">
      <c r="A90" s="36">
        <v>88</v>
      </c>
      <c r="B90" s="37"/>
      <c r="C90" s="37"/>
      <c r="D90" s="37"/>
      <c r="E90" s="38" t="s">
        <v>750</v>
      </c>
      <c r="F90" s="38" t="s">
        <v>751</v>
      </c>
      <c r="G90" s="38" t="s">
        <v>752</v>
      </c>
      <c r="H90" s="38" t="s">
        <v>184</v>
      </c>
      <c r="I90" s="72">
        <v>7</v>
      </c>
      <c r="J90" s="53" t="s">
        <v>88</v>
      </c>
      <c r="K90" s="42">
        <v>0</v>
      </c>
      <c r="L90" s="42">
        <v>2</v>
      </c>
      <c r="M90" s="42">
        <v>1</v>
      </c>
      <c r="N90" s="42">
        <f t="shared" si="0"/>
        <v>2</v>
      </c>
      <c r="O90" s="53"/>
      <c r="P90" s="53"/>
      <c r="Q90" s="43">
        <v>8.25</v>
      </c>
      <c r="R90" s="44">
        <f>IF(Q90="","***",IF(Q90&lt;30,3,IF(Q90&gt;60,1,2)))</f>
        <v>3</v>
      </c>
      <c r="S90" s="45">
        <v>1</v>
      </c>
      <c r="T90" s="45">
        <f t="shared" si="2"/>
        <v>3</v>
      </c>
      <c r="V90" s="46"/>
      <c r="W90" s="58" t="s">
        <v>133</v>
      </c>
      <c r="X90" s="73">
        <v>3.3</v>
      </c>
      <c r="Y90" s="44">
        <f t="shared" si="3"/>
        <v>2</v>
      </c>
      <c r="Z90" s="45">
        <v>1</v>
      </c>
      <c r="AA90" s="45">
        <f t="shared" si="4"/>
        <v>2</v>
      </c>
      <c r="AB90" s="45">
        <v>1</v>
      </c>
      <c r="AD90" s="49" t="s">
        <v>163</v>
      </c>
      <c r="AE90" s="50" t="s">
        <v>146</v>
      </c>
      <c r="AF90" s="50">
        <v>2</v>
      </c>
      <c r="AG90" s="50">
        <v>3</v>
      </c>
      <c r="AH90" s="50">
        <v>2</v>
      </c>
      <c r="AI90" s="50">
        <f t="shared" si="5"/>
        <v>6</v>
      </c>
      <c r="AJ90" s="50" t="s">
        <v>645</v>
      </c>
      <c r="AK90" s="51" t="s">
        <v>186</v>
      </c>
      <c r="AL90" s="61">
        <v>700</v>
      </c>
      <c r="AM90" s="53" t="s">
        <v>115</v>
      </c>
      <c r="AN90" s="42">
        <v>1</v>
      </c>
      <c r="AO90" s="54">
        <f>IF(AL90="","***",IF(AL90&gt;15000,3,IF(AL90&lt;1000,1,2)))</f>
        <v>1</v>
      </c>
      <c r="AP90" s="53">
        <v>2</v>
      </c>
      <c r="AQ90" s="53">
        <f t="shared" si="7"/>
        <v>2</v>
      </c>
      <c r="AR90" s="53"/>
      <c r="AS90" s="55" t="s">
        <v>753</v>
      </c>
      <c r="AT90" s="42">
        <v>33.799999999999997</v>
      </c>
      <c r="AU90" s="42" t="s">
        <v>88</v>
      </c>
      <c r="AV90" s="56">
        <v>0</v>
      </c>
      <c r="AW90" s="44">
        <f t="shared" si="8"/>
        <v>1</v>
      </c>
      <c r="AX90" s="42">
        <v>1</v>
      </c>
      <c r="AY90" s="42">
        <f t="shared" si="9"/>
        <v>1</v>
      </c>
      <c r="AZ90" s="42"/>
      <c r="BA90" s="42"/>
      <c r="BB90" s="57" t="s">
        <v>602</v>
      </c>
      <c r="BC90" s="58" t="s">
        <v>603</v>
      </c>
      <c r="BD90" s="58" t="s">
        <v>604</v>
      </c>
      <c r="BE90" s="59">
        <v>2</v>
      </c>
      <c r="BF90" s="58">
        <v>2</v>
      </c>
      <c r="BG90" s="58">
        <f t="shared" si="10"/>
        <v>0.6020599913279624</v>
      </c>
      <c r="BH90" s="58" t="s">
        <v>605</v>
      </c>
      <c r="BI90" s="58" t="s">
        <v>626</v>
      </c>
      <c r="BJ90" s="60" t="s">
        <v>90</v>
      </c>
      <c r="BK90" s="61">
        <v>1</v>
      </c>
      <c r="BL90" s="62">
        <v>1</v>
      </c>
      <c r="BM90" s="62">
        <f t="shared" si="11"/>
        <v>0</v>
      </c>
      <c r="BN90" s="58" t="s">
        <v>607</v>
      </c>
      <c r="BO90" s="59"/>
      <c r="BP90" s="59">
        <v>16.5</v>
      </c>
      <c r="BQ90" s="63">
        <f>IF(BP90&lt;10,3,IF(BP90&lt;30,2,1))</f>
        <v>2</v>
      </c>
      <c r="BR90" s="45">
        <v>1</v>
      </c>
      <c r="BS90" s="45">
        <f t="shared" si="13"/>
        <v>0.3010299956639812</v>
      </c>
      <c r="BU90" s="46"/>
      <c r="BV90" s="64">
        <v>2.25</v>
      </c>
      <c r="BW90" s="54">
        <f>IF(BV90&lt;2.5,1,IF(BV90&gt;3.5,3,2))</f>
        <v>1</v>
      </c>
      <c r="BX90" s="45">
        <v>1</v>
      </c>
      <c r="BY90" s="45">
        <f>BX90*LOG(BW90)</f>
        <v>0</v>
      </c>
      <c r="BZ90" s="61" t="s">
        <v>504</v>
      </c>
      <c r="CA90" s="46"/>
      <c r="CB90" s="65">
        <v>10507</v>
      </c>
      <c r="CC90" s="45">
        <v>3</v>
      </c>
      <c r="CD90" s="45">
        <v>2</v>
      </c>
      <c r="CE90" s="45">
        <f t="shared" si="16"/>
        <v>0.95424250943932487</v>
      </c>
      <c r="CG90" s="46"/>
      <c r="CH90" s="66" t="s">
        <v>92</v>
      </c>
      <c r="CI90" s="67">
        <v>3</v>
      </c>
      <c r="CJ90" s="68">
        <v>2</v>
      </c>
      <c r="CK90" s="68">
        <f t="shared" si="17"/>
        <v>0.95424250943932487</v>
      </c>
      <c r="CL90" s="68"/>
      <c r="CM90" s="69" t="s">
        <v>144</v>
      </c>
      <c r="CO90" s="70">
        <f>(SUM(T90,AA90,AI90,AQ90,AY90)/SUM(S90,Z90,AH90,AP90,AX90,BF90))</f>
        <v>1.5555555555555556</v>
      </c>
      <c r="CQ90" s="45">
        <f t="shared" si="19"/>
        <v>0.31239722287451038</v>
      </c>
      <c r="CR90" s="45">
        <f t="shared" si="20"/>
        <v>2.0530391109397983</v>
      </c>
      <c r="CT90" s="71">
        <f t="shared" si="21"/>
        <v>1.7875433203856348</v>
      </c>
    </row>
    <row r="91" spans="1:98" ht="16">
      <c r="A91" s="36">
        <v>89</v>
      </c>
      <c r="B91" s="37"/>
      <c r="C91" s="37"/>
      <c r="D91" s="37"/>
      <c r="E91" s="38" t="s">
        <v>538</v>
      </c>
      <c r="F91" s="38" t="s">
        <v>429</v>
      </c>
      <c r="G91" s="38" t="s">
        <v>539</v>
      </c>
      <c r="H91" s="38" t="s">
        <v>152</v>
      </c>
      <c r="I91" s="72">
        <v>5.5</v>
      </c>
      <c r="J91" s="53" t="s">
        <v>88</v>
      </c>
      <c r="K91" s="42">
        <v>0</v>
      </c>
      <c r="L91" s="42">
        <v>2</v>
      </c>
      <c r="M91" s="42">
        <v>1</v>
      </c>
      <c r="N91" s="42">
        <f t="shared" si="0"/>
        <v>2</v>
      </c>
      <c r="O91" s="53"/>
      <c r="P91" s="53"/>
      <c r="Q91" s="43">
        <v>8</v>
      </c>
      <c r="R91" s="44">
        <f>IF(Q91="","***",IF(Q91&lt;30,3,IF(Q91&gt;60,1,2)))</f>
        <v>3</v>
      </c>
      <c r="S91" s="45">
        <v>1</v>
      </c>
      <c r="T91" s="45">
        <f t="shared" si="2"/>
        <v>3</v>
      </c>
      <c r="V91" s="46"/>
      <c r="W91" s="58" t="s">
        <v>178</v>
      </c>
      <c r="X91" s="73">
        <v>3.4</v>
      </c>
      <c r="Y91" s="44">
        <f t="shared" si="3"/>
        <v>2</v>
      </c>
      <c r="Z91" s="45">
        <v>1</v>
      </c>
      <c r="AA91" s="45">
        <f t="shared" si="4"/>
        <v>2</v>
      </c>
      <c r="AB91" s="45">
        <v>1</v>
      </c>
      <c r="AD91" s="49" t="s">
        <v>362</v>
      </c>
      <c r="AE91" s="50" t="s">
        <v>88</v>
      </c>
      <c r="AF91" s="50">
        <v>0</v>
      </c>
      <c r="AG91" s="50">
        <v>2</v>
      </c>
      <c r="AH91" s="50">
        <v>2</v>
      </c>
      <c r="AI91" s="50">
        <f t="shared" si="5"/>
        <v>4</v>
      </c>
      <c r="AJ91" s="50">
        <v>1</v>
      </c>
      <c r="AK91" s="51" t="s">
        <v>156</v>
      </c>
      <c r="AL91" s="61">
        <v>539520</v>
      </c>
      <c r="AM91" s="53" t="s">
        <v>146</v>
      </c>
      <c r="AN91" s="42">
        <v>2</v>
      </c>
      <c r="AO91" s="54">
        <f>IF(AL91="","***",IF(AL91&gt;15000,3,IF(AL91&lt;1000,1,2)))</f>
        <v>3</v>
      </c>
      <c r="AP91" s="53">
        <v>2</v>
      </c>
      <c r="AQ91" s="53">
        <f t="shared" si="7"/>
        <v>6</v>
      </c>
      <c r="AR91" s="53"/>
      <c r="AS91" s="55"/>
      <c r="AT91" s="53">
        <v>26.425000000000001</v>
      </c>
      <c r="AU91" s="42" t="s">
        <v>115</v>
      </c>
      <c r="AV91" s="44">
        <v>1</v>
      </c>
      <c r="AW91" s="44">
        <f t="shared" si="8"/>
        <v>2</v>
      </c>
      <c r="AX91" s="42">
        <v>1</v>
      </c>
      <c r="AY91" s="42">
        <f t="shared" si="9"/>
        <v>2</v>
      </c>
      <c r="AZ91" s="42" t="s">
        <v>340</v>
      </c>
      <c r="BA91" s="77" t="s">
        <v>540</v>
      </c>
      <c r="BB91" s="57" t="s">
        <v>642</v>
      </c>
      <c r="BC91" s="58" t="s">
        <v>643</v>
      </c>
      <c r="BD91" s="58" t="s">
        <v>604</v>
      </c>
      <c r="BE91" s="59">
        <v>3</v>
      </c>
      <c r="BF91" s="58">
        <v>2</v>
      </c>
      <c r="BG91" s="58">
        <f t="shared" si="10"/>
        <v>0.95424250943932487</v>
      </c>
      <c r="BH91" s="58" t="s">
        <v>605</v>
      </c>
      <c r="BI91" s="58" t="s">
        <v>691</v>
      </c>
      <c r="BJ91" s="60" t="s">
        <v>90</v>
      </c>
      <c r="BK91" s="61">
        <v>1</v>
      </c>
      <c r="BL91" s="62">
        <v>1</v>
      </c>
      <c r="BM91" s="62">
        <f t="shared" si="11"/>
        <v>0</v>
      </c>
      <c r="BN91" s="58" t="s">
        <v>607</v>
      </c>
      <c r="BO91" s="59"/>
      <c r="BP91" s="59">
        <v>29.5</v>
      </c>
      <c r="BQ91" s="63">
        <f>IF(BP91&lt;10,3,IF(BP91&lt;30,2,1))</f>
        <v>2</v>
      </c>
      <c r="BR91" s="45">
        <v>1</v>
      </c>
      <c r="BS91" s="45">
        <f t="shared" si="13"/>
        <v>0.3010299956639812</v>
      </c>
      <c r="BU91" s="46"/>
      <c r="BV91" s="64">
        <v>1.3333333329999999</v>
      </c>
      <c r="BW91" s="54">
        <f>IF(BV91&lt;2.5,1,IF(BV91&gt;3.5,3,2))</f>
        <v>1</v>
      </c>
      <c r="BX91" s="45">
        <v>1</v>
      </c>
      <c r="BY91" s="45">
        <f>BX91*LOG(BW91)</f>
        <v>0</v>
      </c>
      <c r="BZ91" s="61" t="s">
        <v>91</v>
      </c>
      <c r="CA91" s="46"/>
      <c r="CB91" s="65">
        <v>10319</v>
      </c>
      <c r="CC91" s="45">
        <v>3</v>
      </c>
      <c r="CD91" s="45">
        <v>2</v>
      </c>
      <c r="CE91" s="45">
        <f t="shared" si="16"/>
        <v>0.95424250943932487</v>
      </c>
      <c r="CG91" s="46"/>
      <c r="CH91" s="66" t="s">
        <v>137</v>
      </c>
      <c r="CI91" s="67">
        <v>2</v>
      </c>
      <c r="CJ91" s="68">
        <v>2</v>
      </c>
      <c r="CK91" s="68">
        <f t="shared" si="17"/>
        <v>0.6020599913279624</v>
      </c>
      <c r="CL91" s="68"/>
      <c r="CM91" s="69"/>
      <c r="CO91" s="70">
        <f>(SUM(T91,AA91,AI91,AQ91,AY91)/SUM(S91,Z91,AH91,AP91,AX91,BF91))</f>
        <v>1.8888888888888888</v>
      </c>
      <c r="CQ91" s="45">
        <f t="shared" si="19"/>
        <v>0.31239722287451038</v>
      </c>
      <c r="CR91" s="45">
        <f t="shared" si="20"/>
        <v>2.0530391109397983</v>
      </c>
      <c r="CT91" s="71">
        <f t="shared" si="21"/>
        <v>1.5308361344061125</v>
      </c>
    </row>
    <row r="92" spans="1:98" ht="16" hidden="1">
      <c r="A92" s="36">
        <v>90</v>
      </c>
      <c r="B92" s="37"/>
      <c r="C92" s="37" t="s">
        <v>144</v>
      </c>
      <c r="D92" s="37" t="s">
        <v>686</v>
      </c>
      <c r="E92" s="38" t="s">
        <v>754</v>
      </c>
      <c r="F92" s="38" t="s">
        <v>168</v>
      </c>
      <c r="G92" s="38" t="s">
        <v>688</v>
      </c>
      <c r="H92" s="38" t="s">
        <v>170</v>
      </c>
      <c r="I92" s="87"/>
      <c r="J92" s="53"/>
      <c r="K92" s="53"/>
      <c r="L92" s="53"/>
      <c r="M92" s="42">
        <v>1</v>
      </c>
      <c r="N92" s="42">
        <f t="shared" si="0"/>
        <v>0</v>
      </c>
      <c r="O92" s="53"/>
      <c r="P92" s="53"/>
      <c r="Q92" s="43"/>
      <c r="R92" s="44" t="str">
        <f>IF(Q92="","***",IF(Q92&lt;5,3,IF(Q92&lt;15,2,1)))</f>
        <v>***</v>
      </c>
      <c r="S92" s="45">
        <v>1</v>
      </c>
      <c r="T92" s="45" t="e">
        <f t="shared" si="2"/>
        <v>#VALUE!</v>
      </c>
      <c r="V92" s="46"/>
      <c r="W92" s="98"/>
      <c r="X92" s="88"/>
      <c r="Y92" s="44" t="str">
        <f t="shared" si="3"/>
        <v>***</v>
      </c>
      <c r="Z92" s="45">
        <v>1</v>
      </c>
      <c r="AA92" s="45" t="e">
        <f t="shared" si="4"/>
        <v>#VALUE!</v>
      </c>
      <c r="AB92" s="45">
        <v>1</v>
      </c>
      <c r="AD92" s="49" t="s">
        <v>163</v>
      </c>
      <c r="AE92" s="50" t="s">
        <v>146</v>
      </c>
      <c r="AF92" s="50">
        <v>2</v>
      </c>
      <c r="AG92" s="50">
        <v>3</v>
      </c>
      <c r="AH92" s="50">
        <v>2</v>
      </c>
      <c r="AI92" s="50">
        <f t="shared" si="5"/>
        <v>6</v>
      </c>
      <c r="AJ92" s="50" t="s">
        <v>755</v>
      </c>
      <c r="AK92" s="51"/>
      <c r="AL92" s="61"/>
      <c r="AM92" s="53"/>
      <c r="AN92" s="42"/>
      <c r="AO92" s="42"/>
      <c r="AP92" s="53">
        <v>2</v>
      </c>
      <c r="AQ92" s="53">
        <f t="shared" si="7"/>
        <v>0</v>
      </c>
      <c r="AR92" s="53"/>
      <c r="AS92" s="55"/>
      <c r="AT92" s="89"/>
      <c r="AU92" s="42"/>
      <c r="AV92" s="44"/>
      <c r="AW92" s="44" t="str">
        <f t="shared" si="8"/>
        <v>***</v>
      </c>
      <c r="AX92" s="42">
        <v>1</v>
      </c>
      <c r="AY92" s="42" t="e">
        <f t="shared" si="9"/>
        <v>#VALUE!</v>
      </c>
      <c r="AZ92" s="89"/>
      <c r="BA92" s="89"/>
      <c r="BB92" s="57"/>
      <c r="BC92" s="58"/>
      <c r="BD92" s="58"/>
      <c r="BE92" s="58"/>
      <c r="BF92" s="58">
        <v>2</v>
      </c>
      <c r="BG92" s="58" t="e">
        <f t="shared" si="10"/>
        <v>#NUM!</v>
      </c>
      <c r="BH92" s="58" t="s">
        <v>605</v>
      </c>
      <c r="BI92" s="58"/>
      <c r="BJ92" s="60" t="s">
        <v>90</v>
      </c>
      <c r="BK92" s="61">
        <v>1</v>
      </c>
      <c r="BL92" s="62">
        <v>1</v>
      </c>
      <c r="BM92" s="62">
        <f t="shared" si="11"/>
        <v>0</v>
      </c>
      <c r="BN92" s="58" t="s">
        <v>607</v>
      </c>
      <c r="BO92" s="59"/>
      <c r="BP92" s="59"/>
      <c r="BQ92" s="90"/>
      <c r="BR92" s="45">
        <v>1</v>
      </c>
      <c r="BS92" s="45" t="e">
        <f t="shared" si="13"/>
        <v>#NUM!</v>
      </c>
      <c r="BU92" s="46"/>
      <c r="BV92" s="64"/>
      <c r="BW92" s="45"/>
      <c r="BX92" s="45">
        <v>1</v>
      </c>
      <c r="BY92" s="45" t="e">
        <f>BX92*LOG(BV92)</f>
        <v>#NUM!</v>
      </c>
      <c r="BZ92" s="61"/>
      <c r="CA92" s="46"/>
      <c r="CB92" s="65">
        <v>10188</v>
      </c>
      <c r="CC92" s="45">
        <v>3</v>
      </c>
      <c r="CD92" s="45">
        <v>2</v>
      </c>
      <c r="CE92" s="45">
        <f t="shared" si="16"/>
        <v>0.95424250943932487</v>
      </c>
      <c r="CG92" s="46"/>
      <c r="CH92" s="66" t="s">
        <v>92</v>
      </c>
      <c r="CI92" s="67">
        <v>3</v>
      </c>
      <c r="CJ92" s="68">
        <v>1</v>
      </c>
      <c r="CK92" s="68">
        <f t="shared" si="17"/>
        <v>0.47712125471966244</v>
      </c>
      <c r="CL92" s="78"/>
      <c r="CM92" s="79" t="s">
        <v>144</v>
      </c>
      <c r="CO92" s="70" t="e">
        <f>(SUM(N92,T92,AA92,AI92,AQ92,AY92)/SUM(M92,S92,Z92,AH92,AP92,AX92,BF92))</f>
        <v>#VALUE!</v>
      </c>
      <c r="CQ92" s="45" t="e">
        <f t="shared" si="19"/>
        <v>#NUM!</v>
      </c>
      <c r="CR92" s="45" t="e">
        <f t="shared" si="20"/>
        <v>#NUM!</v>
      </c>
      <c r="CT92" s="71" t="e">
        <f t="shared" si="21"/>
        <v>#VALUE!</v>
      </c>
    </row>
    <row r="93" spans="1:98" ht="16" hidden="1">
      <c r="A93" s="36">
        <v>91</v>
      </c>
      <c r="B93" s="37"/>
      <c r="C93" s="37" t="s">
        <v>144</v>
      </c>
      <c r="D93" s="37" t="s">
        <v>686</v>
      </c>
      <c r="E93" s="38" t="s">
        <v>756</v>
      </c>
      <c r="F93" s="38" t="s">
        <v>94</v>
      </c>
      <c r="G93" s="38" t="s">
        <v>688</v>
      </c>
      <c r="H93" s="38" t="s">
        <v>83</v>
      </c>
      <c r="I93" s="87"/>
      <c r="J93" s="53"/>
      <c r="K93" s="53"/>
      <c r="L93" s="53"/>
      <c r="M93" s="42">
        <v>1</v>
      </c>
      <c r="N93" s="42">
        <f t="shared" si="0"/>
        <v>0</v>
      </c>
      <c r="O93" s="53"/>
      <c r="P93" s="53"/>
      <c r="Q93" s="43"/>
      <c r="R93" s="44" t="str">
        <f>IF(Q93="","***",IF(Q93&lt;5,3,IF(Q93&lt;15,2,1)))</f>
        <v>***</v>
      </c>
      <c r="S93" s="45">
        <v>1</v>
      </c>
      <c r="T93" s="45" t="e">
        <f t="shared" si="2"/>
        <v>#VALUE!</v>
      </c>
      <c r="V93" s="46"/>
      <c r="W93" s="98"/>
      <c r="X93" s="88"/>
      <c r="Y93" s="44" t="str">
        <f t="shared" si="3"/>
        <v>***</v>
      </c>
      <c r="Z93" s="45">
        <v>1</v>
      </c>
      <c r="AA93" s="45" t="e">
        <f t="shared" si="4"/>
        <v>#VALUE!</v>
      </c>
      <c r="AB93" s="45">
        <v>1</v>
      </c>
      <c r="AD93" s="49" t="s">
        <v>89</v>
      </c>
      <c r="AE93" s="50" t="s">
        <v>115</v>
      </c>
      <c r="AF93" s="50">
        <v>1</v>
      </c>
      <c r="AG93" s="50">
        <v>3</v>
      </c>
      <c r="AH93" s="50">
        <v>2</v>
      </c>
      <c r="AI93" s="50">
        <f t="shared" si="5"/>
        <v>6</v>
      </c>
      <c r="AJ93" s="50" t="s">
        <v>755</v>
      </c>
      <c r="AK93" s="51" t="s">
        <v>89</v>
      </c>
      <c r="AL93" s="61"/>
      <c r="AM93" s="53"/>
      <c r="AN93" s="42"/>
      <c r="AO93" s="42"/>
      <c r="AP93" s="53">
        <v>2</v>
      </c>
      <c r="AQ93" s="53">
        <f t="shared" si="7"/>
        <v>0</v>
      </c>
      <c r="AR93" s="53"/>
      <c r="AS93" s="55"/>
      <c r="AT93" s="89"/>
      <c r="AU93" s="42"/>
      <c r="AV93" s="44"/>
      <c r="AW93" s="44" t="str">
        <f t="shared" si="8"/>
        <v>***</v>
      </c>
      <c r="AX93" s="42">
        <v>1</v>
      </c>
      <c r="AY93" s="42" t="e">
        <f t="shared" si="9"/>
        <v>#VALUE!</v>
      </c>
      <c r="AZ93" s="89"/>
      <c r="BA93" s="89"/>
      <c r="BB93" s="57"/>
      <c r="BC93" s="58"/>
      <c r="BD93" s="58"/>
      <c r="BE93" s="58"/>
      <c r="BF93" s="58">
        <v>2</v>
      </c>
      <c r="BG93" s="58" t="e">
        <f t="shared" si="10"/>
        <v>#NUM!</v>
      </c>
      <c r="BH93" s="58" t="s">
        <v>605</v>
      </c>
      <c r="BI93" s="58"/>
      <c r="BJ93" s="60" t="s">
        <v>90</v>
      </c>
      <c r="BK93" s="61">
        <v>1</v>
      </c>
      <c r="BL93" s="62">
        <v>1</v>
      </c>
      <c r="BM93" s="62">
        <f t="shared" si="11"/>
        <v>0</v>
      </c>
      <c r="BN93" s="58" t="s">
        <v>607</v>
      </c>
      <c r="BO93" s="59"/>
      <c r="BP93" s="59"/>
      <c r="BQ93" s="90"/>
      <c r="BR93" s="45">
        <v>1</v>
      </c>
      <c r="BS93" s="45" t="e">
        <f t="shared" si="13"/>
        <v>#NUM!</v>
      </c>
      <c r="BU93" s="46"/>
      <c r="BV93" s="64"/>
      <c r="BW93" s="45"/>
      <c r="BX93" s="45">
        <v>1</v>
      </c>
      <c r="BY93" s="45" t="e">
        <f>BX93*LOG(BV93)</f>
        <v>#NUM!</v>
      </c>
      <c r="BZ93" s="61"/>
      <c r="CA93" s="46"/>
      <c r="CB93" s="65">
        <v>10077</v>
      </c>
      <c r="CC93" s="45">
        <v>3</v>
      </c>
      <c r="CD93" s="45">
        <v>2</v>
      </c>
      <c r="CE93" s="45">
        <f t="shared" si="16"/>
        <v>0.95424250943932487</v>
      </c>
      <c r="CG93" s="46"/>
      <c r="CH93" s="66" t="s">
        <v>92</v>
      </c>
      <c r="CI93" s="67">
        <v>3</v>
      </c>
      <c r="CJ93" s="68">
        <v>1</v>
      </c>
      <c r="CK93" s="68">
        <f t="shared" si="17"/>
        <v>0.47712125471966244</v>
      </c>
      <c r="CL93" s="68"/>
      <c r="CM93" s="69"/>
      <c r="CO93" s="70" t="e">
        <f>(SUM(N93,T93,AA93,AI93,AQ93,AY93)/SUM(M93,S93,Z93,AH93,AP93,AX93,BF93))</f>
        <v>#VALUE!</v>
      </c>
      <c r="CQ93" s="45" t="e">
        <f t="shared" si="19"/>
        <v>#NUM!</v>
      </c>
      <c r="CR93" s="45" t="e">
        <f t="shared" si="20"/>
        <v>#NUM!</v>
      </c>
      <c r="CT93" s="71" t="e">
        <f t="shared" si="21"/>
        <v>#VALUE!</v>
      </c>
    </row>
    <row r="94" spans="1:98" ht="16">
      <c r="A94" s="36">
        <v>92</v>
      </c>
      <c r="B94" s="37"/>
      <c r="C94" s="37"/>
      <c r="D94" s="37"/>
      <c r="E94" s="38" t="s">
        <v>364</v>
      </c>
      <c r="F94" s="38" t="s">
        <v>365</v>
      </c>
      <c r="G94" s="38" t="s">
        <v>366</v>
      </c>
      <c r="H94" s="38" t="s">
        <v>83</v>
      </c>
      <c r="I94" s="72">
        <v>4</v>
      </c>
      <c r="J94" s="53" t="s">
        <v>115</v>
      </c>
      <c r="K94" s="42">
        <v>1</v>
      </c>
      <c r="L94" s="42">
        <v>3</v>
      </c>
      <c r="M94" s="42">
        <v>1</v>
      </c>
      <c r="N94" s="42">
        <f t="shared" si="0"/>
        <v>3</v>
      </c>
      <c r="O94" s="214" t="s">
        <v>757</v>
      </c>
      <c r="P94" s="53" t="s">
        <v>652</v>
      </c>
      <c r="Q94" s="43">
        <v>11</v>
      </c>
      <c r="R94" s="44">
        <f t="shared" ref="R94:R103" si="34">IF(Q94="","***",IF(Q94&lt;30,3,IF(Q94&gt;60,1,2)))</f>
        <v>3</v>
      </c>
      <c r="S94" s="45">
        <v>1</v>
      </c>
      <c r="T94" s="45">
        <f t="shared" si="2"/>
        <v>3</v>
      </c>
      <c r="V94" s="46"/>
      <c r="W94" s="58" t="s">
        <v>367</v>
      </c>
      <c r="X94" s="73">
        <v>2.6</v>
      </c>
      <c r="Y94" s="44">
        <f t="shared" si="3"/>
        <v>2</v>
      </c>
      <c r="Z94" s="45">
        <v>1</v>
      </c>
      <c r="AA94" s="45">
        <f t="shared" si="4"/>
        <v>2</v>
      </c>
      <c r="AB94" s="45">
        <v>1</v>
      </c>
      <c r="AD94" s="49" t="s">
        <v>87</v>
      </c>
      <c r="AE94" s="50" t="s">
        <v>88</v>
      </c>
      <c r="AF94" s="50">
        <v>0</v>
      </c>
      <c r="AG94" s="50">
        <v>3</v>
      </c>
      <c r="AH94" s="50">
        <v>2</v>
      </c>
      <c r="AI94" s="50">
        <f t="shared" si="5"/>
        <v>6</v>
      </c>
      <c r="AJ94" s="50">
        <v>1</v>
      </c>
      <c r="AK94" s="51" t="s">
        <v>89</v>
      </c>
      <c r="AL94" s="52">
        <v>80000</v>
      </c>
      <c r="AM94" s="53" t="s">
        <v>115</v>
      </c>
      <c r="AN94" s="42">
        <v>1</v>
      </c>
      <c r="AO94" s="54">
        <f t="shared" ref="AO94:AO103" si="35">IF(AL94="","***",IF(AL94&gt;15000,3,IF(AL94&lt;1000,1,2)))</f>
        <v>3</v>
      </c>
      <c r="AP94" s="53">
        <v>2</v>
      </c>
      <c r="AQ94" s="53">
        <f t="shared" si="7"/>
        <v>6</v>
      </c>
      <c r="AR94" s="53"/>
      <c r="AS94" s="55" t="s">
        <v>368</v>
      </c>
      <c r="AT94" s="42">
        <v>15.7</v>
      </c>
      <c r="AU94" s="42" t="s">
        <v>88</v>
      </c>
      <c r="AV94" s="56">
        <v>0</v>
      </c>
      <c r="AW94" s="44">
        <f t="shared" si="8"/>
        <v>2</v>
      </c>
      <c r="AX94" s="42">
        <v>1</v>
      </c>
      <c r="AY94" s="42">
        <f t="shared" si="9"/>
        <v>2</v>
      </c>
      <c r="AZ94" s="42"/>
      <c r="BA94" s="42"/>
      <c r="BB94" s="57" t="s">
        <v>602</v>
      </c>
      <c r="BC94" s="58" t="s">
        <v>603</v>
      </c>
      <c r="BD94" s="58" t="s">
        <v>604</v>
      </c>
      <c r="BE94" s="59">
        <v>2</v>
      </c>
      <c r="BF94" s="58">
        <v>2</v>
      </c>
      <c r="BG94" s="58">
        <f t="shared" si="10"/>
        <v>0.6020599913279624</v>
      </c>
      <c r="BH94" s="58" t="s">
        <v>605</v>
      </c>
      <c r="BI94" s="58" t="s">
        <v>758</v>
      </c>
      <c r="BJ94" s="60" t="s">
        <v>90</v>
      </c>
      <c r="BK94" s="61">
        <v>1</v>
      </c>
      <c r="BL94" s="62">
        <v>1</v>
      </c>
      <c r="BM94" s="62">
        <f t="shared" si="11"/>
        <v>0</v>
      </c>
      <c r="BN94" s="58" t="s">
        <v>607</v>
      </c>
      <c r="BO94" s="59"/>
      <c r="BP94" s="59">
        <v>14</v>
      </c>
      <c r="BQ94" s="63">
        <f t="shared" ref="BQ94:BQ103" si="36">IF(BP94&lt;10,3,IF(BP94&lt;30,2,1))</f>
        <v>2</v>
      </c>
      <c r="BR94" s="45">
        <v>1</v>
      </c>
      <c r="BS94" s="45">
        <f t="shared" si="13"/>
        <v>0.3010299956639812</v>
      </c>
      <c r="BU94" s="46"/>
      <c r="BV94" s="64">
        <v>1.5</v>
      </c>
      <c r="BW94" s="54">
        <f t="shared" ref="BW94:BW103" si="37">IF(BV94&lt;2.5,1,IF(BV94&gt;3.5,3,2))</f>
        <v>1</v>
      </c>
      <c r="BX94" s="45">
        <v>1</v>
      </c>
      <c r="BY94" s="45">
        <f t="shared" ref="BY94:BY103" si="38">BX94*LOG(BW94)</f>
        <v>0</v>
      </c>
      <c r="BZ94" s="61" t="s">
        <v>273</v>
      </c>
      <c r="CA94" s="46"/>
      <c r="CB94" s="65">
        <v>9998</v>
      </c>
      <c r="CC94" s="45">
        <v>3</v>
      </c>
      <c r="CD94" s="45">
        <v>2</v>
      </c>
      <c r="CE94" s="45">
        <f t="shared" si="16"/>
        <v>0.95424250943932487</v>
      </c>
      <c r="CG94" s="46"/>
      <c r="CH94" s="66">
        <v>2</v>
      </c>
      <c r="CI94" s="67">
        <v>3</v>
      </c>
      <c r="CJ94" s="68">
        <v>2</v>
      </c>
      <c r="CK94" s="68">
        <f t="shared" si="17"/>
        <v>0.95424250943932487</v>
      </c>
      <c r="CL94" s="68"/>
      <c r="CM94" s="69"/>
      <c r="CO94" s="70">
        <f t="shared" ref="CO94:CO103" si="39">(SUM(T94,AA94,AI94,AQ94,AY94)/SUM(S94,Z94,AH94,AP94,AX94,BF94))</f>
        <v>2.1111111111111112</v>
      </c>
      <c r="CQ94" s="45">
        <f t="shared" si="19"/>
        <v>0.31239722287451038</v>
      </c>
      <c r="CR94" s="45">
        <f t="shared" si="20"/>
        <v>2.0530391109397983</v>
      </c>
      <c r="CT94" s="71">
        <f t="shared" si="21"/>
        <v>1.3780474686885804</v>
      </c>
    </row>
    <row r="95" spans="1:98" ht="16">
      <c r="A95" s="36">
        <v>93</v>
      </c>
      <c r="B95" s="37"/>
      <c r="C95" s="37"/>
      <c r="D95" s="37"/>
      <c r="E95" s="38" t="s">
        <v>759</v>
      </c>
      <c r="F95" s="38" t="s">
        <v>237</v>
      </c>
      <c r="G95" s="38" t="s">
        <v>760</v>
      </c>
      <c r="H95" s="38" t="s">
        <v>177</v>
      </c>
      <c r="I95" s="72">
        <v>20.75</v>
      </c>
      <c r="J95" s="53" t="s">
        <v>88</v>
      </c>
      <c r="K95" s="42">
        <v>0</v>
      </c>
      <c r="L95" s="42">
        <v>1</v>
      </c>
      <c r="M95" s="42">
        <v>1</v>
      </c>
      <c r="N95" s="42">
        <f t="shared" si="0"/>
        <v>1</v>
      </c>
      <c r="O95" s="53"/>
      <c r="P95" s="53"/>
      <c r="Q95" s="43">
        <v>38</v>
      </c>
      <c r="R95" s="44">
        <f t="shared" si="34"/>
        <v>2</v>
      </c>
      <c r="S95" s="45">
        <v>1</v>
      </c>
      <c r="T95" s="45">
        <f t="shared" si="2"/>
        <v>2</v>
      </c>
      <c r="V95" s="46"/>
      <c r="W95" s="58" t="s">
        <v>171</v>
      </c>
      <c r="X95" s="73">
        <v>2</v>
      </c>
      <c r="Y95" s="44">
        <f t="shared" si="3"/>
        <v>3</v>
      </c>
      <c r="Z95" s="45">
        <v>1</v>
      </c>
      <c r="AA95" s="45">
        <f t="shared" si="4"/>
        <v>3</v>
      </c>
      <c r="AB95" s="45">
        <v>1</v>
      </c>
      <c r="AD95" s="49" t="s">
        <v>761</v>
      </c>
      <c r="AE95" s="50" t="s">
        <v>88</v>
      </c>
      <c r="AF95" s="50">
        <v>0</v>
      </c>
      <c r="AG95" s="50">
        <v>3</v>
      </c>
      <c r="AH95" s="50">
        <v>2</v>
      </c>
      <c r="AI95" s="50">
        <f t="shared" si="5"/>
        <v>6</v>
      </c>
      <c r="AJ95" s="50">
        <v>1</v>
      </c>
      <c r="AK95" s="51" t="s">
        <v>135</v>
      </c>
      <c r="AL95" s="80">
        <v>38487</v>
      </c>
      <c r="AM95" s="53" t="s">
        <v>146</v>
      </c>
      <c r="AN95" s="42">
        <v>2</v>
      </c>
      <c r="AO95" s="54">
        <f t="shared" si="35"/>
        <v>3</v>
      </c>
      <c r="AP95" s="53">
        <v>2</v>
      </c>
      <c r="AQ95" s="53">
        <f t="shared" si="7"/>
        <v>6</v>
      </c>
      <c r="AR95" s="53"/>
      <c r="AS95" s="55"/>
      <c r="AT95" s="42">
        <v>39.799999999999997</v>
      </c>
      <c r="AU95" s="42" t="s">
        <v>88</v>
      </c>
      <c r="AV95" s="56">
        <v>0</v>
      </c>
      <c r="AW95" s="44">
        <f t="shared" si="8"/>
        <v>1</v>
      </c>
      <c r="AX95" s="42">
        <v>1</v>
      </c>
      <c r="AY95" s="42">
        <f t="shared" si="9"/>
        <v>1</v>
      </c>
      <c r="AZ95" s="42"/>
      <c r="BA95" s="42"/>
      <c r="BB95" s="57" t="s">
        <v>602</v>
      </c>
      <c r="BC95" s="58" t="s">
        <v>603</v>
      </c>
      <c r="BD95" s="58" t="s">
        <v>609</v>
      </c>
      <c r="BE95" s="59">
        <v>1</v>
      </c>
      <c r="BF95" s="58">
        <v>2</v>
      </c>
      <c r="BG95" s="58">
        <f t="shared" si="10"/>
        <v>0</v>
      </c>
      <c r="BH95" s="58" t="s">
        <v>605</v>
      </c>
      <c r="BI95" s="58" t="s">
        <v>610</v>
      </c>
      <c r="BJ95" s="81" t="s">
        <v>90</v>
      </c>
      <c r="BK95" s="61">
        <v>1</v>
      </c>
      <c r="BL95" s="62">
        <v>1</v>
      </c>
      <c r="BM95" s="62">
        <f t="shared" si="11"/>
        <v>0</v>
      </c>
      <c r="BN95" s="58" t="s">
        <v>607</v>
      </c>
      <c r="BO95" s="59"/>
      <c r="BP95" s="59">
        <v>10</v>
      </c>
      <c r="BQ95" s="63">
        <f t="shared" si="36"/>
        <v>2</v>
      </c>
      <c r="BR95" s="45">
        <v>1</v>
      </c>
      <c r="BS95" s="45">
        <f t="shared" si="13"/>
        <v>0.3010299956639812</v>
      </c>
      <c r="BU95" s="46"/>
      <c r="BV95" s="64">
        <v>3</v>
      </c>
      <c r="BW95" s="54">
        <f t="shared" si="37"/>
        <v>2</v>
      </c>
      <c r="BX95" s="45">
        <v>1</v>
      </c>
      <c r="BY95" s="45">
        <f t="shared" si="38"/>
        <v>0.3010299956639812</v>
      </c>
      <c r="BZ95" s="61" t="s">
        <v>91</v>
      </c>
      <c r="CA95" s="46"/>
      <c r="CB95" s="65">
        <v>9885</v>
      </c>
      <c r="CC95" s="45">
        <v>3</v>
      </c>
      <c r="CD95" s="45">
        <v>2</v>
      </c>
      <c r="CE95" s="45">
        <f t="shared" si="16"/>
        <v>0.95424250943932487</v>
      </c>
      <c r="CG95" s="46"/>
      <c r="CH95" s="66" t="s">
        <v>106</v>
      </c>
      <c r="CI95" s="67">
        <v>3</v>
      </c>
      <c r="CJ95" s="68">
        <v>2</v>
      </c>
      <c r="CK95" s="68">
        <f t="shared" si="17"/>
        <v>0.95424250943932487</v>
      </c>
      <c r="CL95" s="68"/>
      <c r="CM95" s="69"/>
      <c r="CO95" s="70">
        <f t="shared" si="39"/>
        <v>2</v>
      </c>
      <c r="CQ95" s="45">
        <f t="shared" si="19"/>
        <v>0.27894944557851242</v>
      </c>
      <c r="CR95" s="45">
        <f t="shared" si="20"/>
        <v>1.9008569961559403</v>
      </c>
      <c r="CT95" s="71">
        <f t="shared" si="21"/>
        <v>1.3459358556495564</v>
      </c>
    </row>
    <row r="96" spans="1:98" ht="16">
      <c r="A96" s="36">
        <v>94</v>
      </c>
      <c r="B96" s="37"/>
      <c r="C96" s="37"/>
      <c r="D96" s="37"/>
      <c r="E96" s="38" t="s">
        <v>560</v>
      </c>
      <c r="F96" s="38" t="s">
        <v>483</v>
      </c>
      <c r="G96" s="38" t="s">
        <v>561</v>
      </c>
      <c r="H96" s="38" t="s">
        <v>286</v>
      </c>
      <c r="I96" s="72">
        <v>7.5</v>
      </c>
      <c r="J96" s="53" t="s">
        <v>88</v>
      </c>
      <c r="K96" s="42">
        <v>0</v>
      </c>
      <c r="L96" s="42">
        <v>2</v>
      </c>
      <c r="M96" s="42">
        <v>1</v>
      </c>
      <c r="N96" s="42">
        <f t="shared" si="0"/>
        <v>2</v>
      </c>
      <c r="O96" s="53"/>
      <c r="P96" s="53"/>
      <c r="Q96" s="43">
        <v>20.5</v>
      </c>
      <c r="R96" s="44">
        <f t="shared" si="34"/>
        <v>3</v>
      </c>
      <c r="S96" s="45">
        <v>1</v>
      </c>
      <c r="T96" s="45">
        <f t="shared" si="2"/>
        <v>3</v>
      </c>
      <c r="V96" s="46"/>
      <c r="W96" s="58" t="s">
        <v>562</v>
      </c>
      <c r="X96" s="73">
        <v>3.7</v>
      </c>
      <c r="Y96" s="44">
        <f t="shared" si="3"/>
        <v>1</v>
      </c>
      <c r="Z96" s="45">
        <v>1</v>
      </c>
      <c r="AA96" s="45">
        <f t="shared" si="4"/>
        <v>1</v>
      </c>
      <c r="AB96" s="45">
        <v>1</v>
      </c>
      <c r="AD96" s="49" t="s">
        <v>288</v>
      </c>
      <c r="AE96" s="50" t="s">
        <v>88</v>
      </c>
      <c r="AF96" s="50">
        <v>0</v>
      </c>
      <c r="AG96" s="50">
        <v>3</v>
      </c>
      <c r="AH96" s="50">
        <v>2</v>
      </c>
      <c r="AI96" s="50">
        <f t="shared" si="5"/>
        <v>6</v>
      </c>
      <c r="AJ96" s="50">
        <v>1</v>
      </c>
      <c r="AK96" s="51" t="s">
        <v>135</v>
      </c>
      <c r="AL96" s="52">
        <v>10969</v>
      </c>
      <c r="AM96" s="53" t="s">
        <v>115</v>
      </c>
      <c r="AN96" s="42">
        <v>1</v>
      </c>
      <c r="AO96" s="54">
        <f t="shared" si="35"/>
        <v>2</v>
      </c>
      <c r="AP96" s="53">
        <v>2</v>
      </c>
      <c r="AQ96" s="53">
        <f t="shared" si="7"/>
        <v>4</v>
      </c>
      <c r="AR96" s="53"/>
      <c r="AS96" s="55"/>
      <c r="AT96" s="42">
        <v>43</v>
      </c>
      <c r="AU96" s="42" t="s">
        <v>88</v>
      </c>
      <c r="AV96" s="56">
        <v>0</v>
      </c>
      <c r="AW96" s="44">
        <f t="shared" si="8"/>
        <v>1</v>
      </c>
      <c r="AX96" s="42">
        <v>1</v>
      </c>
      <c r="AY96" s="42">
        <f t="shared" si="9"/>
        <v>1</v>
      </c>
      <c r="AZ96" s="42"/>
      <c r="BA96" s="42"/>
      <c r="BB96" s="57" t="s">
        <v>602</v>
      </c>
      <c r="BC96" s="58" t="s">
        <v>603</v>
      </c>
      <c r="BD96" s="58" t="s">
        <v>609</v>
      </c>
      <c r="BE96" s="59">
        <v>1</v>
      </c>
      <c r="BF96" s="58">
        <v>2</v>
      </c>
      <c r="BG96" s="58">
        <f t="shared" si="10"/>
        <v>0</v>
      </c>
      <c r="BH96" s="58" t="s">
        <v>605</v>
      </c>
      <c r="BI96" s="58" t="s">
        <v>610</v>
      </c>
      <c r="BJ96" s="81" t="s">
        <v>166</v>
      </c>
      <c r="BK96" s="61">
        <v>3</v>
      </c>
      <c r="BL96" s="62">
        <v>1</v>
      </c>
      <c r="BM96" s="62">
        <f t="shared" si="11"/>
        <v>0.47712125471966244</v>
      </c>
      <c r="BN96" s="58" t="s">
        <v>607</v>
      </c>
      <c r="BO96" s="59"/>
      <c r="BP96" s="59">
        <v>22.75</v>
      </c>
      <c r="BQ96" s="63">
        <f t="shared" si="36"/>
        <v>2</v>
      </c>
      <c r="BR96" s="45">
        <v>1</v>
      </c>
      <c r="BS96" s="45">
        <f t="shared" si="13"/>
        <v>0.3010299956639812</v>
      </c>
      <c r="BU96" s="46"/>
      <c r="BV96" s="64">
        <v>1.6666666670000001</v>
      </c>
      <c r="BW96" s="54">
        <f t="shared" si="37"/>
        <v>1</v>
      </c>
      <c r="BX96" s="45">
        <v>1</v>
      </c>
      <c r="BY96" s="45">
        <f t="shared" si="38"/>
        <v>0</v>
      </c>
      <c r="BZ96" s="61" t="s">
        <v>91</v>
      </c>
      <c r="CA96" s="46"/>
      <c r="CB96" s="65">
        <v>9638</v>
      </c>
      <c r="CC96" s="45">
        <v>3</v>
      </c>
      <c r="CD96" s="45">
        <v>2</v>
      </c>
      <c r="CE96" s="45">
        <f t="shared" si="16"/>
        <v>0.95424250943932487</v>
      </c>
      <c r="CG96" s="46"/>
      <c r="CH96" s="66" t="s">
        <v>92</v>
      </c>
      <c r="CI96" s="67">
        <v>3</v>
      </c>
      <c r="CJ96" s="68">
        <v>2</v>
      </c>
      <c r="CK96" s="68">
        <f t="shared" si="17"/>
        <v>0.95424250943932487</v>
      </c>
      <c r="CL96" s="68"/>
      <c r="CM96" s="69"/>
      <c r="CO96" s="70">
        <f t="shared" si="39"/>
        <v>1.6666666666666667</v>
      </c>
      <c r="CQ96" s="45">
        <f t="shared" si="19"/>
        <v>0.29851514102914373</v>
      </c>
      <c r="CR96" s="45">
        <f t="shared" si="20"/>
        <v>1.9884521336051839</v>
      </c>
      <c r="CT96" s="71">
        <f t="shared" si="21"/>
        <v>1.6597636573339043</v>
      </c>
    </row>
    <row r="97" spans="1:98" ht="16">
      <c r="A97" s="36">
        <v>95</v>
      </c>
      <c r="B97" s="37"/>
      <c r="C97" s="37"/>
      <c r="D97" s="37"/>
      <c r="E97" s="38" t="s">
        <v>376</v>
      </c>
      <c r="F97" s="38" t="s">
        <v>377</v>
      </c>
      <c r="G97" s="38" t="s">
        <v>378</v>
      </c>
      <c r="H97" s="38" t="s">
        <v>170</v>
      </c>
      <c r="I97" s="72">
        <v>4</v>
      </c>
      <c r="J97" s="53" t="s">
        <v>88</v>
      </c>
      <c r="K97" s="42">
        <v>0</v>
      </c>
      <c r="L97" s="42">
        <v>3</v>
      </c>
      <c r="M97" s="42">
        <v>1</v>
      </c>
      <c r="N97" s="42">
        <f t="shared" si="0"/>
        <v>3</v>
      </c>
      <c r="O97" s="53" t="s">
        <v>762</v>
      </c>
      <c r="P97" s="53" t="s">
        <v>665</v>
      </c>
      <c r="Q97" s="43">
        <v>14.5</v>
      </c>
      <c r="R97" s="44">
        <f t="shared" si="34"/>
        <v>3</v>
      </c>
      <c r="S97" s="45">
        <v>1</v>
      </c>
      <c r="T97" s="45">
        <f t="shared" si="2"/>
        <v>3</v>
      </c>
      <c r="V97" s="46"/>
      <c r="W97" s="58" t="s">
        <v>379</v>
      </c>
      <c r="X97" s="73">
        <v>4.3</v>
      </c>
      <c r="Y97" s="44">
        <f t="shared" si="3"/>
        <v>1</v>
      </c>
      <c r="Z97" s="45">
        <v>1</v>
      </c>
      <c r="AA97" s="45">
        <f t="shared" si="4"/>
        <v>1</v>
      </c>
      <c r="AB97" s="45">
        <v>1</v>
      </c>
      <c r="AD97" s="49" t="s">
        <v>172</v>
      </c>
      <c r="AE97" s="50" t="s">
        <v>88</v>
      </c>
      <c r="AF97" s="50">
        <v>0</v>
      </c>
      <c r="AG97" s="50">
        <v>3</v>
      </c>
      <c r="AH97" s="50">
        <v>2</v>
      </c>
      <c r="AI97" s="50">
        <f t="shared" si="5"/>
        <v>6</v>
      </c>
      <c r="AJ97" s="50">
        <v>1</v>
      </c>
      <c r="AK97" s="51" t="s">
        <v>114</v>
      </c>
      <c r="AL97" s="61">
        <v>119247</v>
      </c>
      <c r="AM97" s="53" t="s">
        <v>88</v>
      </c>
      <c r="AN97" s="42">
        <v>0</v>
      </c>
      <c r="AO97" s="54">
        <f t="shared" si="35"/>
        <v>3</v>
      </c>
      <c r="AP97" s="53">
        <v>2</v>
      </c>
      <c r="AQ97" s="53">
        <f t="shared" si="7"/>
        <v>6</v>
      </c>
      <c r="AR97" s="53">
        <v>118</v>
      </c>
      <c r="AS97" s="55"/>
      <c r="AT97" s="53">
        <v>44</v>
      </c>
      <c r="AU97" s="42" t="s">
        <v>146</v>
      </c>
      <c r="AV97" s="44">
        <v>2</v>
      </c>
      <c r="AW97" s="44">
        <f t="shared" si="8"/>
        <v>1</v>
      </c>
      <c r="AX97" s="42">
        <v>1</v>
      </c>
      <c r="AY97" s="42">
        <f t="shared" si="9"/>
        <v>1</v>
      </c>
      <c r="AZ97" s="42" t="s">
        <v>380</v>
      </c>
      <c r="BA97" s="53" t="s">
        <v>632</v>
      </c>
      <c r="BB97" s="57" t="s">
        <v>602</v>
      </c>
      <c r="BC97" s="58" t="s">
        <v>603</v>
      </c>
      <c r="BD97" s="58" t="s">
        <v>604</v>
      </c>
      <c r="BE97" s="59">
        <v>2</v>
      </c>
      <c r="BF97" s="58">
        <v>2</v>
      </c>
      <c r="BG97" s="58">
        <f t="shared" si="10"/>
        <v>0.6020599913279624</v>
      </c>
      <c r="BH97" s="58" t="s">
        <v>605</v>
      </c>
      <c r="BI97" s="58" t="s">
        <v>606</v>
      </c>
      <c r="BJ97" s="60" t="s">
        <v>90</v>
      </c>
      <c r="BK97" s="61">
        <v>1</v>
      </c>
      <c r="BL97" s="62">
        <v>1</v>
      </c>
      <c r="BM97" s="62">
        <f t="shared" si="11"/>
        <v>0</v>
      </c>
      <c r="BN97" s="58" t="s">
        <v>607</v>
      </c>
      <c r="BO97" s="59"/>
      <c r="BP97" s="59">
        <v>10.75</v>
      </c>
      <c r="BQ97" s="63">
        <f t="shared" si="36"/>
        <v>2</v>
      </c>
      <c r="BR97" s="45">
        <v>1</v>
      </c>
      <c r="BS97" s="45">
        <f t="shared" si="13"/>
        <v>0.3010299956639812</v>
      </c>
      <c r="BU97" s="46"/>
      <c r="BV97" s="64">
        <v>4</v>
      </c>
      <c r="BW97" s="54">
        <f t="shared" si="37"/>
        <v>3</v>
      </c>
      <c r="BX97" s="45">
        <v>1</v>
      </c>
      <c r="BY97" s="45">
        <f t="shared" si="38"/>
        <v>0.47712125471966244</v>
      </c>
      <c r="BZ97" s="61" t="s">
        <v>381</v>
      </c>
      <c r="CA97" s="46"/>
      <c r="CB97" s="65">
        <v>9572</v>
      </c>
      <c r="CC97" s="45">
        <v>3</v>
      </c>
      <c r="CD97" s="45">
        <v>2</v>
      </c>
      <c r="CE97" s="45">
        <f t="shared" si="16"/>
        <v>0.95424250943932487</v>
      </c>
      <c r="CG97" s="46"/>
      <c r="CH97" s="213" t="s">
        <v>92</v>
      </c>
      <c r="CI97" s="42">
        <v>3</v>
      </c>
      <c r="CJ97" s="68">
        <v>2</v>
      </c>
      <c r="CK97" s="68">
        <f t="shared" si="17"/>
        <v>0.95424250943932487</v>
      </c>
      <c r="CL97" s="68"/>
      <c r="CM97" s="69"/>
      <c r="CO97" s="70">
        <f t="shared" si="39"/>
        <v>1.8888888888888888</v>
      </c>
      <c r="CQ97" s="45">
        <f t="shared" si="19"/>
        <v>0.36541069562113948</v>
      </c>
      <c r="CR97" s="45">
        <f t="shared" si="20"/>
        <v>2.3195871576575349</v>
      </c>
      <c r="CT97" s="71">
        <f t="shared" si="21"/>
        <v>1.7250733804361076</v>
      </c>
    </row>
    <row r="98" spans="1:98" ht="16">
      <c r="A98" s="36">
        <v>96</v>
      </c>
      <c r="B98" s="37"/>
      <c r="C98" s="37"/>
      <c r="D98" s="37"/>
      <c r="E98" s="38" t="s">
        <v>763</v>
      </c>
      <c r="F98" s="91" t="s">
        <v>764</v>
      </c>
      <c r="G98" s="38" t="s">
        <v>765</v>
      </c>
      <c r="H98" s="83" t="s">
        <v>355</v>
      </c>
      <c r="I98" s="72">
        <v>3</v>
      </c>
      <c r="J98" s="53" t="s">
        <v>88</v>
      </c>
      <c r="K98" s="42">
        <v>0</v>
      </c>
      <c r="L98" s="42">
        <v>3</v>
      </c>
      <c r="M98" s="42">
        <v>1</v>
      </c>
      <c r="N98" s="42">
        <f t="shared" si="0"/>
        <v>3</v>
      </c>
      <c r="O98" s="53"/>
      <c r="P98" s="53"/>
      <c r="Q98" s="43">
        <v>12</v>
      </c>
      <c r="R98" s="44">
        <f t="shared" si="34"/>
        <v>3</v>
      </c>
      <c r="S98" s="45">
        <v>1</v>
      </c>
      <c r="T98" s="45">
        <f t="shared" si="2"/>
        <v>3</v>
      </c>
      <c r="V98" s="46"/>
      <c r="W98" s="58" t="s">
        <v>766</v>
      </c>
      <c r="X98" s="73">
        <v>3.6</v>
      </c>
      <c r="Y98" s="44">
        <f t="shared" si="3"/>
        <v>1</v>
      </c>
      <c r="Z98" s="45">
        <v>1</v>
      </c>
      <c r="AA98" s="45">
        <f t="shared" si="4"/>
        <v>1</v>
      </c>
      <c r="AB98" s="45">
        <v>1</v>
      </c>
      <c r="AD98" s="49" t="s">
        <v>401</v>
      </c>
      <c r="AE98" s="50" t="s">
        <v>115</v>
      </c>
      <c r="AF98" s="50">
        <v>1</v>
      </c>
      <c r="AG98" s="50">
        <v>3</v>
      </c>
      <c r="AH98" s="50">
        <v>2</v>
      </c>
      <c r="AI98" s="50">
        <f t="shared" si="5"/>
        <v>6</v>
      </c>
      <c r="AJ98" s="50">
        <v>1</v>
      </c>
      <c r="AK98" s="51"/>
      <c r="AL98" s="59">
        <v>149485</v>
      </c>
      <c r="AM98" s="53" t="s">
        <v>146</v>
      </c>
      <c r="AN98" s="42">
        <v>2</v>
      </c>
      <c r="AO98" s="54">
        <f t="shared" si="35"/>
        <v>3</v>
      </c>
      <c r="AP98" s="53">
        <v>2</v>
      </c>
      <c r="AQ98" s="53">
        <f t="shared" si="7"/>
        <v>6</v>
      </c>
      <c r="AR98" s="53"/>
      <c r="AS98" s="55"/>
      <c r="AT98" s="42">
        <v>26</v>
      </c>
      <c r="AU98" s="42" t="s">
        <v>115</v>
      </c>
      <c r="AV98" s="44">
        <v>1</v>
      </c>
      <c r="AW98" s="44">
        <f t="shared" si="8"/>
        <v>2</v>
      </c>
      <c r="AX98" s="42">
        <v>1</v>
      </c>
      <c r="AY98" s="42">
        <f t="shared" si="9"/>
        <v>2</v>
      </c>
      <c r="AZ98" s="42" t="s">
        <v>203</v>
      </c>
      <c r="BA98" s="53" t="s">
        <v>358</v>
      </c>
      <c r="BB98" s="57" t="s">
        <v>602</v>
      </c>
      <c r="BC98" s="58" t="s">
        <v>603</v>
      </c>
      <c r="BD98" s="58" t="s">
        <v>609</v>
      </c>
      <c r="BE98" s="59">
        <v>1</v>
      </c>
      <c r="BF98" s="58">
        <v>2</v>
      </c>
      <c r="BG98" s="58">
        <f t="shared" si="10"/>
        <v>0</v>
      </c>
      <c r="BH98" s="58" t="s">
        <v>605</v>
      </c>
      <c r="BI98" s="58" t="s">
        <v>610</v>
      </c>
      <c r="BJ98" s="60" t="s">
        <v>90</v>
      </c>
      <c r="BK98" s="61">
        <v>1</v>
      </c>
      <c r="BL98" s="62">
        <v>1</v>
      </c>
      <c r="BM98" s="62">
        <f t="shared" si="11"/>
        <v>0</v>
      </c>
      <c r="BN98" s="58" t="s">
        <v>607</v>
      </c>
      <c r="BO98" s="59"/>
      <c r="BP98" s="92">
        <v>21</v>
      </c>
      <c r="BQ98" s="90">
        <f t="shared" si="36"/>
        <v>2</v>
      </c>
      <c r="BR98" s="45">
        <v>1</v>
      </c>
      <c r="BS98" s="45">
        <f t="shared" si="13"/>
        <v>0.3010299956639812</v>
      </c>
      <c r="BT98" s="93"/>
      <c r="BU98" s="94"/>
      <c r="BV98" s="64">
        <v>2.8333333330000001</v>
      </c>
      <c r="BW98" s="54">
        <f t="shared" si="37"/>
        <v>2</v>
      </c>
      <c r="BX98" s="45">
        <v>1</v>
      </c>
      <c r="BY98" s="45">
        <f t="shared" si="38"/>
        <v>0.3010299956639812</v>
      </c>
      <c r="BZ98" s="61" t="s">
        <v>99</v>
      </c>
      <c r="CA98" s="46"/>
      <c r="CB98" s="65">
        <v>9491</v>
      </c>
      <c r="CC98" s="45">
        <v>3</v>
      </c>
      <c r="CD98" s="45">
        <v>2</v>
      </c>
      <c r="CE98" s="45">
        <f t="shared" si="16"/>
        <v>0.95424250943932487</v>
      </c>
      <c r="CG98" s="46"/>
      <c r="CH98" s="66" t="s">
        <v>92</v>
      </c>
      <c r="CI98" s="67">
        <v>3</v>
      </c>
      <c r="CJ98" s="68">
        <v>2</v>
      </c>
      <c r="CK98" s="68">
        <f t="shared" si="17"/>
        <v>0.95424250943932487</v>
      </c>
      <c r="CL98" s="68"/>
      <c r="CM98" s="69" t="s">
        <v>144</v>
      </c>
      <c r="CO98" s="70">
        <f t="shared" si="39"/>
        <v>2</v>
      </c>
      <c r="CQ98" s="45">
        <f t="shared" si="19"/>
        <v>0.27894944557851242</v>
      </c>
      <c r="CR98" s="45">
        <f t="shared" si="20"/>
        <v>1.9008569961559403</v>
      </c>
      <c r="CT98" s="71">
        <f t="shared" si="21"/>
        <v>1.3459358556495564</v>
      </c>
    </row>
    <row r="99" spans="1:98" ht="16">
      <c r="A99" s="36">
        <v>97</v>
      </c>
      <c r="B99" s="37"/>
      <c r="C99" s="37"/>
      <c r="D99" s="37"/>
      <c r="E99" s="38" t="s">
        <v>432</v>
      </c>
      <c r="F99" s="38" t="s">
        <v>237</v>
      </c>
      <c r="G99" s="38" t="s">
        <v>433</v>
      </c>
      <c r="H99" s="38" t="s">
        <v>177</v>
      </c>
      <c r="I99" s="72">
        <v>15.33</v>
      </c>
      <c r="J99" s="53" t="s">
        <v>88</v>
      </c>
      <c r="K99" s="42">
        <v>0</v>
      </c>
      <c r="L99" s="42">
        <v>1</v>
      </c>
      <c r="M99" s="42">
        <v>1</v>
      </c>
      <c r="N99" s="42">
        <f t="shared" si="0"/>
        <v>1</v>
      </c>
      <c r="O99" s="53"/>
      <c r="P99" s="53"/>
      <c r="Q99" s="43">
        <v>27</v>
      </c>
      <c r="R99" s="44">
        <f t="shared" si="34"/>
        <v>3</v>
      </c>
      <c r="S99" s="45">
        <v>1</v>
      </c>
      <c r="T99" s="45">
        <f t="shared" si="2"/>
        <v>3</v>
      </c>
      <c r="V99" s="46"/>
      <c r="W99" s="58" t="s">
        <v>213</v>
      </c>
      <c r="X99" s="73">
        <v>2</v>
      </c>
      <c r="Y99" s="44">
        <f t="shared" si="3"/>
        <v>3</v>
      </c>
      <c r="Z99" s="45">
        <v>1</v>
      </c>
      <c r="AA99" s="45">
        <f t="shared" si="4"/>
        <v>3</v>
      </c>
      <c r="AB99" s="45">
        <v>1</v>
      </c>
      <c r="AD99" s="49" t="s">
        <v>163</v>
      </c>
      <c r="AE99" s="50" t="s">
        <v>146</v>
      </c>
      <c r="AF99" s="50">
        <v>2</v>
      </c>
      <c r="AG99" s="50">
        <v>3</v>
      </c>
      <c r="AH99" s="50">
        <v>2</v>
      </c>
      <c r="AI99" s="50">
        <f t="shared" si="5"/>
        <v>6</v>
      </c>
      <c r="AJ99" s="50" t="s">
        <v>645</v>
      </c>
      <c r="AK99" s="51" t="s">
        <v>240</v>
      </c>
      <c r="AL99" s="80">
        <v>38487</v>
      </c>
      <c r="AM99" s="53" t="s">
        <v>146</v>
      </c>
      <c r="AN99" s="42">
        <v>2</v>
      </c>
      <c r="AO99" s="54">
        <f t="shared" si="35"/>
        <v>3</v>
      </c>
      <c r="AP99" s="53">
        <v>2</v>
      </c>
      <c r="AQ99" s="53">
        <f t="shared" si="7"/>
        <v>6</v>
      </c>
      <c r="AR99" s="53"/>
      <c r="AS99" s="55"/>
      <c r="AT99" s="53">
        <v>53.1</v>
      </c>
      <c r="AU99" s="42" t="s">
        <v>115</v>
      </c>
      <c r="AV99" s="44">
        <v>1</v>
      </c>
      <c r="AW99" s="44">
        <f t="shared" si="8"/>
        <v>1</v>
      </c>
      <c r="AX99" s="42">
        <v>1</v>
      </c>
      <c r="AY99" s="42">
        <f t="shared" si="9"/>
        <v>1</v>
      </c>
      <c r="AZ99" s="42" t="s">
        <v>187</v>
      </c>
      <c r="BA99" s="53" t="s">
        <v>434</v>
      </c>
      <c r="BB99" s="57" t="s">
        <v>602</v>
      </c>
      <c r="BC99" s="58" t="s">
        <v>603</v>
      </c>
      <c r="BD99" s="58" t="s">
        <v>609</v>
      </c>
      <c r="BE99" s="59">
        <v>1</v>
      </c>
      <c r="BF99" s="58">
        <v>2</v>
      </c>
      <c r="BG99" s="58">
        <f t="shared" si="10"/>
        <v>0</v>
      </c>
      <c r="BH99" s="58" t="s">
        <v>605</v>
      </c>
      <c r="BI99" s="58" t="s">
        <v>610</v>
      </c>
      <c r="BJ99" s="81" t="s">
        <v>166</v>
      </c>
      <c r="BK99" s="61">
        <v>3</v>
      </c>
      <c r="BL99" s="62">
        <v>1</v>
      </c>
      <c r="BM99" s="62">
        <f t="shared" si="11"/>
        <v>0.47712125471966244</v>
      </c>
      <c r="BN99" s="58" t="s">
        <v>607</v>
      </c>
      <c r="BO99" s="59"/>
      <c r="BP99" s="59">
        <v>31.5</v>
      </c>
      <c r="BQ99" s="63">
        <f t="shared" si="36"/>
        <v>1</v>
      </c>
      <c r="BR99" s="45">
        <v>1</v>
      </c>
      <c r="BS99" s="45">
        <f t="shared" si="13"/>
        <v>0</v>
      </c>
      <c r="BU99" s="46"/>
      <c r="BV99" s="64">
        <v>1.875</v>
      </c>
      <c r="BW99" s="54">
        <f t="shared" si="37"/>
        <v>1</v>
      </c>
      <c r="BX99" s="45">
        <v>1</v>
      </c>
      <c r="BY99" s="45">
        <f t="shared" si="38"/>
        <v>0</v>
      </c>
      <c r="BZ99" s="61" t="s">
        <v>99</v>
      </c>
      <c r="CA99" s="46"/>
      <c r="CB99" s="65">
        <v>9333</v>
      </c>
      <c r="CC99" s="45">
        <v>3</v>
      </c>
      <c r="CD99" s="45">
        <v>2</v>
      </c>
      <c r="CE99" s="45">
        <f t="shared" si="16"/>
        <v>0.95424250943932487</v>
      </c>
      <c r="CG99" s="46"/>
      <c r="CH99" s="66" t="s">
        <v>106</v>
      </c>
      <c r="CI99" s="67">
        <v>3</v>
      </c>
      <c r="CJ99" s="68">
        <v>2</v>
      </c>
      <c r="CK99" s="68">
        <f t="shared" si="17"/>
        <v>0.95424250943932487</v>
      </c>
      <c r="CL99" s="68"/>
      <c r="CM99" s="69"/>
      <c r="CO99" s="70">
        <f t="shared" si="39"/>
        <v>2.1111111111111112</v>
      </c>
      <c r="CQ99" s="45">
        <f t="shared" si="19"/>
        <v>0.26506736373314577</v>
      </c>
      <c r="CR99" s="45">
        <f t="shared" si="20"/>
        <v>1.841057547098748</v>
      </c>
      <c r="CT99" s="71">
        <f t="shared" si="21"/>
        <v>1.2237243375539633</v>
      </c>
    </row>
    <row r="100" spans="1:98" ht="16">
      <c r="A100" s="36">
        <v>98</v>
      </c>
      <c r="B100" s="37"/>
      <c r="C100" s="37"/>
      <c r="D100" s="37"/>
      <c r="E100" s="38" t="s">
        <v>767</v>
      </c>
      <c r="F100" s="38" t="s">
        <v>395</v>
      </c>
      <c r="G100" s="38" t="s">
        <v>768</v>
      </c>
      <c r="H100" s="38" t="s">
        <v>83</v>
      </c>
      <c r="I100" s="72">
        <v>7.2</v>
      </c>
      <c r="J100" s="53" t="s">
        <v>115</v>
      </c>
      <c r="K100" s="42">
        <v>1</v>
      </c>
      <c r="L100" s="42">
        <v>2</v>
      </c>
      <c r="M100" s="42">
        <v>1</v>
      </c>
      <c r="N100" s="42">
        <f t="shared" si="0"/>
        <v>2</v>
      </c>
      <c r="O100" s="53"/>
      <c r="P100" s="53" t="s">
        <v>769</v>
      </c>
      <c r="Q100" s="43">
        <v>9.3333333330000006</v>
      </c>
      <c r="R100" s="44">
        <f t="shared" si="34"/>
        <v>3</v>
      </c>
      <c r="S100" s="45">
        <v>1</v>
      </c>
      <c r="T100" s="45">
        <f t="shared" si="2"/>
        <v>3</v>
      </c>
      <c r="V100" s="46"/>
      <c r="W100" s="58" t="s">
        <v>258</v>
      </c>
      <c r="X100" s="73">
        <v>2.7</v>
      </c>
      <c r="Y100" s="44">
        <f t="shared" si="3"/>
        <v>2</v>
      </c>
      <c r="Z100" s="45">
        <v>1</v>
      </c>
      <c r="AA100" s="45">
        <f t="shared" si="4"/>
        <v>2</v>
      </c>
      <c r="AB100" s="45">
        <v>1</v>
      </c>
      <c r="AD100" s="49" t="s">
        <v>87</v>
      </c>
      <c r="AE100" s="50" t="s">
        <v>88</v>
      </c>
      <c r="AF100" s="50">
        <v>0</v>
      </c>
      <c r="AG100" s="50">
        <v>3</v>
      </c>
      <c r="AH100" s="50">
        <v>2</v>
      </c>
      <c r="AI100" s="50">
        <f t="shared" si="5"/>
        <v>6</v>
      </c>
      <c r="AJ100" s="50">
        <v>1</v>
      </c>
      <c r="AK100" s="51" t="s">
        <v>89</v>
      </c>
      <c r="AL100" s="61">
        <v>3714</v>
      </c>
      <c r="AM100" s="53" t="s">
        <v>88</v>
      </c>
      <c r="AN100" s="42">
        <v>0</v>
      </c>
      <c r="AO100" s="54">
        <f t="shared" si="35"/>
        <v>2</v>
      </c>
      <c r="AP100" s="53">
        <v>2</v>
      </c>
      <c r="AQ100" s="53">
        <f t="shared" si="7"/>
        <v>4</v>
      </c>
      <c r="AR100" s="53"/>
      <c r="AS100" s="55"/>
      <c r="AT100" s="42">
        <v>20.14</v>
      </c>
      <c r="AU100" s="42" t="s">
        <v>115</v>
      </c>
      <c r="AV100" s="44">
        <v>1</v>
      </c>
      <c r="AW100" s="44">
        <f t="shared" si="8"/>
        <v>2</v>
      </c>
      <c r="AX100" s="42">
        <v>1</v>
      </c>
      <c r="AY100" s="42">
        <f t="shared" si="9"/>
        <v>2</v>
      </c>
      <c r="AZ100" s="42" t="s">
        <v>720</v>
      </c>
      <c r="BA100" s="53" t="s">
        <v>721</v>
      </c>
      <c r="BB100" s="57" t="s">
        <v>602</v>
      </c>
      <c r="BC100" s="58" t="s">
        <v>603</v>
      </c>
      <c r="BD100" s="58" t="s">
        <v>609</v>
      </c>
      <c r="BE100" s="59">
        <v>1</v>
      </c>
      <c r="BF100" s="58">
        <v>2</v>
      </c>
      <c r="BG100" s="58">
        <f t="shared" si="10"/>
        <v>0</v>
      </c>
      <c r="BH100" s="58" t="s">
        <v>605</v>
      </c>
      <c r="BI100" s="58" t="s">
        <v>610</v>
      </c>
      <c r="BJ100" s="60" t="s">
        <v>90</v>
      </c>
      <c r="BK100" s="61">
        <v>1</v>
      </c>
      <c r="BL100" s="62">
        <v>1</v>
      </c>
      <c r="BM100" s="62">
        <f t="shared" si="11"/>
        <v>0</v>
      </c>
      <c r="BN100" s="58" t="s">
        <v>607</v>
      </c>
      <c r="BO100" s="59"/>
      <c r="BP100" s="59">
        <v>10.5</v>
      </c>
      <c r="BQ100" s="63">
        <f t="shared" si="36"/>
        <v>2</v>
      </c>
      <c r="BR100" s="45">
        <v>1</v>
      </c>
      <c r="BS100" s="45">
        <f t="shared" si="13"/>
        <v>0.3010299956639812</v>
      </c>
      <c r="BU100" s="46"/>
      <c r="BV100" s="64">
        <v>1.25</v>
      </c>
      <c r="BW100" s="54">
        <f t="shared" si="37"/>
        <v>1</v>
      </c>
      <c r="BX100" s="45">
        <v>1</v>
      </c>
      <c r="BY100" s="45">
        <f t="shared" si="38"/>
        <v>0</v>
      </c>
      <c r="BZ100" s="61" t="s">
        <v>99</v>
      </c>
      <c r="CA100" s="46"/>
      <c r="CB100" s="65">
        <v>9118</v>
      </c>
      <c r="CC100" s="45">
        <v>3</v>
      </c>
      <c r="CD100" s="45">
        <v>2</v>
      </c>
      <c r="CE100" s="45">
        <f t="shared" si="16"/>
        <v>0.95424250943932487</v>
      </c>
      <c r="CG100" s="46"/>
      <c r="CH100" s="66" t="s">
        <v>92</v>
      </c>
      <c r="CI100" s="67">
        <v>3</v>
      </c>
      <c r="CJ100" s="68">
        <v>2</v>
      </c>
      <c r="CK100" s="68">
        <f t="shared" si="17"/>
        <v>0.95424250943932487</v>
      </c>
      <c r="CL100" s="78"/>
      <c r="CM100" s="79" t="s">
        <v>144</v>
      </c>
      <c r="CO100" s="70">
        <f t="shared" si="39"/>
        <v>1.8888888888888888</v>
      </c>
      <c r="CQ100" s="45">
        <f t="shared" si="19"/>
        <v>0.24550166828251452</v>
      </c>
      <c r="CR100" s="45">
        <f t="shared" si="20"/>
        <v>1.7599554244151643</v>
      </c>
      <c r="CT100" s="71">
        <f t="shared" si="21"/>
        <v>1.3461426924113953</v>
      </c>
    </row>
    <row r="101" spans="1:98" ht="16">
      <c r="A101" s="36">
        <v>99</v>
      </c>
      <c r="B101" s="37"/>
      <c r="C101" s="37"/>
      <c r="D101" s="37"/>
      <c r="E101" s="38" t="s">
        <v>770</v>
      </c>
      <c r="F101" s="38" t="s">
        <v>268</v>
      </c>
      <c r="G101" s="38" t="s">
        <v>771</v>
      </c>
      <c r="H101" s="38" t="s">
        <v>184</v>
      </c>
      <c r="I101" s="72">
        <v>6.5</v>
      </c>
      <c r="J101" s="53" t="s">
        <v>88</v>
      </c>
      <c r="K101" s="42">
        <v>0</v>
      </c>
      <c r="L101" s="42">
        <v>2</v>
      </c>
      <c r="M101" s="42">
        <v>1</v>
      </c>
      <c r="N101" s="42">
        <f t="shared" si="0"/>
        <v>2</v>
      </c>
      <c r="O101" s="53"/>
      <c r="P101" s="53"/>
      <c r="Q101" s="43">
        <v>6.1</v>
      </c>
      <c r="R101" s="44">
        <f t="shared" si="34"/>
        <v>3</v>
      </c>
      <c r="S101" s="45">
        <v>1</v>
      </c>
      <c r="T101" s="45">
        <f t="shared" si="2"/>
        <v>3</v>
      </c>
      <c r="V101" s="46"/>
      <c r="W101" s="58" t="s">
        <v>772</v>
      </c>
      <c r="X101" s="73">
        <v>3.3</v>
      </c>
      <c r="Y101" s="44">
        <f t="shared" si="3"/>
        <v>2</v>
      </c>
      <c r="Z101" s="45">
        <v>1</v>
      </c>
      <c r="AA101" s="45">
        <f t="shared" si="4"/>
        <v>2</v>
      </c>
      <c r="AB101" s="45">
        <v>1</v>
      </c>
      <c r="AD101" s="49" t="s">
        <v>773</v>
      </c>
      <c r="AE101" s="50" t="s">
        <v>88</v>
      </c>
      <c r="AF101" s="50">
        <v>0</v>
      </c>
      <c r="AG101" s="50">
        <v>3</v>
      </c>
      <c r="AH101" s="50">
        <v>2</v>
      </c>
      <c r="AI101" s="50">
        <f t="shared" si="5"/>
        <v>6</v>
      </c>
      <c r="AJ101" s="50">
        <v>1</v>
      </c>
      <c r="AK101" s="51" t="s">
        <v>114</v>
      </c>
      <c r="AL101" s="61">
        <v>39175</v>
      </c>
      <c r="AM101" s="53" t="s">
        <v>88</v>
      </c>
      <c r="AN101" s="42">
        <v>0</v>
      </c>
      <c r="AO101" s="54">
        <f t="shared" si="35"/>
        <v>3</v>
      </c>
      <c r="AP101" s="53">
        <v>2</v>
      </c>
      <c r="AQ101" s="53">
        <f t="shared" si="7"/>
        <v>6</v>
      </c>
      <c r="AR101" s="53"/>
      <c r="AS101" s="55"/>
      <c r="AT101" s="53">
        <v>36.65</v>
      </c>
      <c r="AU101" s="42" t="s">
        <v>115</v>
      </c>
      <c r="AV101" s="44">
        <v>1</v>
      </c>
      <c r="AW101" s="44">
        <f t="shared" si="8"/>
        <v>1</v>
      </c>
      <c r="AX101" s="42">
        <v>1</v>
      </c>
      <c r="AY101" s="42">
        <f t="shared" si="9"/>
        <v>1</v>
      </c>
      <c r="AZ101" s="42" t="s">
        <v>270</v>
      </c>
      <c r="BA101" s="53" t="s">
        <v>669</v>
      </c>
      <c r="BB101" s="57" t="s">
        <v>602</v>
      </c>
      <c r="BC101" s="58" t="s">
        <v>603</v>
      </c>
      <c r="BD101" s="58" t="s">
        <v>604</v>
      </c>
      <c r="BE101" s="59">
        <v>2</v>
      </c>
      <c r="BF101" s="58">
        <v>2</v>
      </c>
      <c r="BG101" s="58">
        <f t="shared" si="10"/>
        <v>0.6020599913279624</v>
      </c>
      <c r="BH101" s="58" t="s">
        <v>605</v>
      </c>
      <c r="BI101" s="58" t="s">
        <v>606</v>
      </c>
      <c r="BJ101" s="60" t="s">
        <v>90</v>
      </c>
      <c r="BK101" s="61">
        <v>1</v>
      </c>
      <c r="BL101" s="62">
        <v>1</v>
      </c>
      <c r="BM101" s="62">
        <f t="shared" si="11"/>
        <v>0</v>
      </c>
      <c r="BN101" s="58" t="s">
        <v>607</v>
      </c>
      <c r="BO101" s="59"/>
      <c r="BP101" s="59">
        <v>10.25</v>
      </c>
      <c r="BQ101" s="63">
        <f t="shared" si="36"/>
        <v>2</v>
      </c>
      <c r="BR101" s="45">
        <v>1</v>
      </c>
      <c r="BS101" s="45">
        <f t="shared" si="13"/>
        <v>0.3010299956639812</v>
      </c>
      <c r="BU101" s="46"/>
      <c r="BV101" s="64">
        <v>1.375</v>
      </c>
      <c r="BW101" s="54">
        <f t="shared" si="37"/>
        <v>1</v>
      </c>
      <c r="BX101" s="45">
        <v>1</v>
      </c>
      <c r="BY101" s="45">
        <f t="shared" si="38"/>
        <v>0</v>
      </c>
      <c r="BZ101" s="61" t="s">
        <v>99</v>
      </c>
      <c r="CA101" s="46"/>
      <c r="CB101" s="65">
        <v>9095</v>
      </c>
      <c r="CC101" s="45">
        <v>3</v>
      </c>
      <c r="CD101" s="45">
        <v>2</v>
      </c>
      <c r="CE101" s="45">
        <f t="shared" si="16"/>
        <v>0.95424250943932487</v>
      </c>
      <c r="CG101" s="46"/>
      <c r="CH101" s="66" t="s">
        <v>92</v>
      </c>
      <c r="CI101" s="67">
        <v>3</v>
      </c>
      <c r="CJ101" s="68">
        <v>2</v>
      </c>
      <c r="CK101" s="68">
        <f t="shared" si="17"/>
        <v>0.95424250943932487</v>
      </c>
      <c r="CL101" s="68"/>
      <c r="CM101" s="69"/>
      <c r="CO101" s="70">
        <f t="shared" si="39"/>
        <v>2</v>
      </c>
      <c r="CQ101" s="45">
        <f t="shared" si="19"/>
        <v>0.31239722287451038</v>
      </c>
      <c r="CR101" s="45">
        <f t="shared" si="20"/>
        <v>2.0530391109397983</v>
      </c>
      <c r="CT101" s="71">
        <f t="shared" si="21"/>
        <v>1.4522022480250061</v>
      </c>
    </row>
    <row r="102" spans="1:98" ht="16">
      <c r="A102" s="36">
        <v>100</v>
      </c>
      <c r="B102" s="37"/>
      <c r="C102" s="37"/>
      <c r="D102" s="37"/>
      <c r="E102" s="38" t="s">
        <v>439</v>
      </c>
      <c r="F102" s="38" t="s">
        <v>124</v>
      </c>
      <c r="G102" s="38" t="s">
        <v>440</v>
      </c>
      <c r="H102" s="38" t="s">
        <v>83</v>
      </c>
      <c r="I102" s="72">
        <v>7</v>
      </c>
      <c r="J102" s="53" t="s">
        <v>88</v>
      </c>
      <c r="K102" s="42">
        <v>0</v>
      </c>
      <c r="L102" s="42">
        <v>2</v>
      </c>
      <c r="M102" s="42">
        <v>1</v>
      </c>
      <c r="N102" s="42">
        <f t="shared" si="0"/>
        <v>2</v>
      </c>
      <c r="O102" s="53"/>
      <c r="P102" s="53"/>
      <c r="Q102" s="43">
        <v>12.66666667</v>
      </c>
      <c r="R102" s="44">
        <f t="shared" si="34"/>
        <v>3</v>
      </c>
      <c r="S102" s="45">
        <v>1</v>
      </c>
      <c r="T102" s="45">
        <f t="shared" si="2"/>
        <v>3</v>
      </c>
      <c r="V102" s="46"/>
      <c r="W102" s="58" t="s">
        <v>258</v>
      </c>
      <c r="X102" s="73">
        <v>2.7</v>
      </c>
      <c r="Y102" s="44">
        <f t="shared" si="3"/>
        <v>2</v>
      </c>
      <c r="Z102" s="45">
        <v>1</v>
      </c>
      <c r="AA102" s="45">
        <f t="shared" si="4"/>
        <v>2</v>
      </c>
      <c r="AB102" s="45">
        <v>1</v>
      </c>
      <c r="AD102" s="49" t="s">
        <v>441</v>
      </c>
      <c r="AE102" s="50" t="s">
        <v>88</v>
      </c>
      <c r="AF102" s="50">
        <v>0</v>
      </c>
      <c r="AG102" s="50">
        <v>3</v>
      </c>
      <c r="AH102" s="50">
        <v>2</v>
      </c>
      <c r="AI102" s="50">
        <f t="shared" si="5"/>
        <v>6</v>
      </c>
      <c r="AJ102" s="50">
        <v>1</v>
      </c>
      <c r="AK102" s="51" t="s">
        <v>89</v>
      </c>
      <c r="AL102" s="52">
        <v>12730</v>
      </c>
      <c r="AM102" s="53" t="s">
        <v>115</v>
      </c>
      <c r="AN102" s="42">
        <v>1</v>
      </c>
      <c r="AO102" s="54">
        <f t="shared" si="35"/>
        <v>2</v>
      </c>
      <c r="AP102" s="53">
        <v>2</v>
      </c>
      <c r="AQ102" s="53">
        <f t="shared" si="7"/>
        <v>4</v>
      </c>
      <c r="AR102" s="53"/>
      <c r="AS102" s="55"/>
      <c r="AT102" s="42">
        <v>11</v>
      </c>
      <c r="AU102" s="42" t="s">
        <v>88</v>
      </c>
      <c r="AV102" s="56">
        <v>0</v>
      </c>
      <c r="AW102" s="44">
        <f t="shared" si="8"/>
        <v>3</v>
      </c>
      <c r="AX102" s="42">
        <v>1</v>
      </c>
      <c r="AY102" s="42">
        <f t="shared" si="9"/>
        <v>3</v>
      </c>
      <c r="AZ102" s="42"/>
      <c r="BA102" s="42"/>
      <c r="BB102" s="57" t="s">
        <v>602</v>
      </c>
      <c r="BC102" s="58" t="s">
        <v>603</v>
      </c>
      <c r="BD102" s="58" t="s">
        <v>604</v>
      </c>
      <c r="BE102" s="59">
        <v>2</v>
      </c>
      <c r="BF102" s="58">
        <v>2</v>
      </c>
      <c r="BG102" s="58">
        <f t="shared" si="10"/>
        <v>0.6020599913279624</v>
      </c>
      <c r="BH102" s="58" t="s">
        <v>605</v>
      </c>
      <c r="BI102" s="58" t="s">
        <v>774</v>
      </c>
      <c r="BJ102" s="60" t="s">
        <v>90</v>
      </c>
      <c r="BK102" s="61">
        <v>1</v>
      </c>
      <c r="BL102" s="62">
        <v>1</v>
      </c>
      <c r="BM102" s="62">
        <f t="shared" si="11"/>
        <v>0</v>
      </c>
      <c r="BN102" s="58" t="s">
        <v>607</v>
      </c>
      <c r="BO102" s="59"/>
      <c r="BP102" s="59">
        <v>16</v>
      </c>
      <c r="BQ102" s="63">
        <f t="shared" si="36"/>
        <v>2</v>
      </c>
      <c r="BR102" s="45">
        <v>1</v>
      </c>
      <c r="BS102" s="45">
        <f t="shared" si="13"/>
        <v>0.3010299956639812</v>
      </c>
      <c r="BU102" s="46"/>
      <c r="BV102" s="64">
        <v>2</v>
      </c>
      <c r="BW102" s="54">
        <f t="shared" si="37"/>
        <v>1</v>
      </c>
      <c r="BX102" s="45">
        <v>1</v>
      </c>
      <c r="BY102" s="45">
        <f t="shared" si="38"/>
        <v>0</v>
      </c>
      <c r="BZ102" s="61" t="s">
        <v>99</v>
      </c>
      <c r="CA102" s="46"/>
      <c r="CB102" s="65">
        <v>9053</v>
      </c>
      <c r="CC102" s="45">
        <v>3</v>
      </c>
      <c r="CD102" s="45">
        <v>2</v>
      </c>
      <c r="CE102" s="45">
        <f t="shared" si="16"/>
        <v>0.95424250943932487</v>
      </c>
      <c r="CG102" s="46"/>
      <c r="CH102" s="66" t="s">
        <v>106</v>
      </c>
      <c r="CI102" s="67">
        <v>3</v>
      </c>
      <c r="CJ102" s="68">
        <v>2</v>
      </c>
      <c r="CK102" s="68">
        <f t="shared" si="17"/>
        <v>0.95424250943932487</v>
      </c>
      <c r="CL102" s="68"/>
      <c r="CM102" s="69"/>
      <c r="CO102" s="70">
        <f t="shared" si="39"/>
        <v>2</v>
      </c>
      <c r="CQ102" s="45">
        <f t="shared" si="19"/>
        <v>0.31239722287451038</v>
      </c>
      <c r="CR102" s="45">
        <f t="shared" si="20"/>
        <v>2.0530391109397983</v>
      </c>
      <c r="CT102" s="71">
        <f t="shared" si="21"/>
        <v>1.4522022480250061</v>
      </c>
    </row>
    <row r="103" spans="1:98" ht="16">
      <c r="A103" s="36">
        <v>101</v>
      </c>
      <c r="B103" s="37"/>
      <c r="C103" s="37"/>
      <c r="D103" s="37"/>
      <c r="E103" s="38" t="s">
        <v>385</v>
      </c>
      <c r="F103" s="38" t="s">
        <v>386</v>
      </c>
      <c r="G103" s="38" t="s">
        <v>387</v>
      </c>
      <c r="H103" s="38" t="s">
        <v>170</v>
      </c>
      <c r="I103" s="72">
        <v>3.5</v>
      </c>
      <c r="J103" s="53" t="s">
        <v>88</v>
      </c>
      <c r="K103" s="42">
        <v>0</v>
      </c>
      <c r="L103" s="42">
        <v>3</v>
      </c>
      <c r="M103" s="42">
        <v>1</v>
      </c>
      <c r="N103" s="42">
        <f t="shared" si="0"/>
        <v>3</v>
      </c>
      <c r="O103" s="53"/>
      <c r="P103" s="53"/>
      <c r="Q103" s="43">
        <v>6</v>
      </c>
      <c r="R103" s="44">
        <f t="shared" si="34"/>
        <v>3</v>
      </c>
      <c r="S103" s="45">
        <v>1</v>
      </c>
      <c r="T103" s="45">
        <f t="shared" si="2"/>
        <v>3</v>
      </c>
      <c r="V103" s="46"/>
      <c r="W103" s="58" t="s">
        <v>213</v>
      </c>
      <c r="X103" s="73">
        <v>2</v>
      </c>
      <c r="Y103" s="44">
        <f t="shared" si="3"/>
        <v>3</v>
      </c>
      <c r="Z103" s="45">
        <v>1</v>
      </c>
      <c r="AA103" s="45">
        <f t="shared" si="4"/>
        <v>3</v>
      </c>
      <c r="AB103" s="45">
        <v>1</v>
      </c>
      <c r="AD103" s="49" t="s">
        <v>172</v>
      </c>
      <c r="AE103" s="50" t="s">
        <v>88</v>
      </c>
      <c r="AF103" s="50">
        <v>0</v>
      </c>
      <c r="AG103" s="50">
        <v>3</v>
      </c>
      <c r="AH103" s="50">
        <v>2</v>
      </c>
      <c r="AI103" s="50">
        <f t="shared" si="5"/>
        <v>6</v>
      </c>
      <c r="AJ103" s="50">
        <v>1</v>
      </c>
      <c r="AK103" s="51" t="s">
        <v>114</v>
      </c>
      <c r="AL103" s="61">
        <v>5200</v>
      </c>
      <c r="AM103" s="53" t="s">
        <v>88</v>
      </c>
      <c r="AN103" s="42">
        <v>0</v>
      </c>
      <c r="AO103" s="54">
        <f t="shared" si="35"/>
        <v>2</v>
      </c>
      <c r="AP103" s="53">
        <v>2</v>
      </c>
      <c r="AQ103" s="53">
        <f t="shared" si="7"/>
        <v>4</v>
      </c>
      <c r="AR103" s="53"/>
      <c r="AS103" s="55"/>
      <c r="AT103" s="53">
        <v>44</v>
      </c>
      <c r="AU103" s="42" t="s">
        <v>146</v>
      </c>
      <c r="AV103" s="44">
        <v>2</v>
      </c>
      <c r="AW103" s="44">
        <f t="shared" si="8"/>
        <v>1</v>
      </c>
      <c r="AX103" s="42">
        <v>1</v>
      </c>
      <c r="AY103" s="42">
        <f t="shared" si="9"/>
        <v>1</v>
      </c>
      <c r="AZ103" s="42" t="s">
        <v>173</v>
      </c>
      <c r="BA103" s="53" t="s">
        <v>632</v>
      </c>
      <c r="BB103" s="57" t="s">
        <v>622</v>
      </c>
      <c r="BC103" s="58" t="s">
        <v>622</v>
      </c>
      <c r="BD103" s="58" t="s">
        <v>623</v>
      </c>
      <c r="BE103" s="59">
        <v>3</v>
      </c>
      <c r="BF103" s="58">
        <v>2</v>
      </c>
      <c r="BG103" s="58">
        <f t="shared" si="10"/>
        <v>0.95424250943932487</v>
      </c>
      <c r="BH103" s="58" t="s">
        <v>605</v>
      </c>
      <c r="BI103" s="58" t="s">
        <v>775</v>
      </c>
      <c r="BJ103" s="60" t="s">
        <v>90</v>
      </c>
      <c r="BK103" s="61">
        <v>1</v>
      </c>
      <c r="BL103" s="62">
        <v>1</v>
      </c>
      <c r="BM103" s="62">
        <f t="shared" si="11"/>
        <v>0</v>
      </c>
      <c r="BN103" s="58" t="s">
        <v>607</v>
      </c>
      <c r="BO103" s="59"/>
      <c r="BP103" s="59">
        <v>8</v>
      </c>
      <c r="BQ103" s="63">
        <f t="shared" si="36"/>
        <v>3</v>
      </c>
      <c r="BR103" s="45">
        <v>1</v>
      </c>
      <c r="BS103" s="45">
        <f t="shared" si="13"/>
        <v>0.47712125471966244</v>
      </c>
      <c r="BU103" s="46"/>
      <c r="BV103" s="64">
        <v>1.3333333329999999</v>
      </c>
      <c r="BW103" s="54">
        <f t="shared" si="37"/>
        <v>1</v>
      </c>
      <c r="BX103" s="45">
        <v>1</v>
      </c>
      <c r="BY103" s="45">
        <f t="shared" si="38"/>
        <v>0</v>
      </c>
      <c r="BZ103" s="61" t="s">
        <v>91</v>
      </c>
      <c r="CA103" s="46"/>
      <c r="CB103" s="65">
        <v>8998</v>
      </c>
      <c r="CC103" s="45">
        <v>3</v>
      </c>
      <c r="CD103" s="45">
        <v>2</v>
      </c>
      <c r="CE103" s="45">
        <f t="shared" si="16"/>
        <v>0.95424250943932487</v>
      </c>
      <c r="CG103" s="46"/>
      <c r="CH103" s="66" t="s">
        <v>137</v>
      </c>
      <c r="CI103" s="67">
        <v>2</v>
      </c>
      <c r="CJ103" s="68">
        <v>2</v>
      </c>
      <c r="CK103" s="68">
        <f t="shared" si="17"/>
        <v>0.6020599913279624</v>
      </c>
      <c r="CL103" s="68"/>
      <c r="CM103" s="69"/>
      <c r="CO103" s="70">
        <f t="shared" si="39"/>
        <v>1.8888888888888888</v>
      </c>
      <c r="CQ103" s="45">
        <f t="shared" si="19"/>
        <v>0.33196291832514163</v>
      </c>
      <c r="CR103" s="45">
        <f t="shared" si="20"/>
        <v>2.1476470922214639</v>
      </c>
      <c r="CT103" s="71">
        <f t="shared" si="21"/>
        <v>1.5973921714841817</v>
      </c>
    </row>
    <row r="104" spans="1:98" ht="16" hidden="1">
      <c r="A104" s="36">
        <v>102</v>
      </c>
      <c r="B104" s="37"/>
      <c r="C104" s="37" t="s">
        <v>144</v>
      </c>
      <c r="D104" s="37" t="s">
        <v>686</v>
      </c>
      <c r="E104" s="38" t="s">
        <v>776</v>
      </c>
      <c r="F104" s="38" t="s">
        <v>81</v>
      </c>
      <c r="G104" s="38" t="s">
        <v>688</v>
      </c>
      <c r="H104" s="38" t="s">
        <v>83</v>
      </c>
      <c r="I104" s="87"/>
      <c r="J104" s="53"/>
      <c r="K104" s="53"/>
      <c r="L104" s="53"/>
      <c r="M104" s="42">
        <v>1</v>
      </c>
      <c r="N104" s="42">
        <f t="shared" si="0"/>
        <v>0</v>
      </c>
      <c r="O104" s="53"/>
      <c r="P104" s="53"/>
      <c r="Q104" s="43"/>
      <c r="R104" s="44" t="str">
        <f>IF(Q104="","***",IF(Q104&lt;5,3,IF(Q104&lt;15,2,1)))</f>
        <v>***</v>
      </c>
      <c r="S104" s="45">
        <v>1</v>
      </c>
      <c r="T104" s="45" t="e">
        <f t="shared" si="2"/>
        <v>#VALUE!</v>
      </c>
      <c r="V104" s="46"/>
      <c r="W104" s="58" t="s">
        <v>777</v>
      </c>
      <c r="X104" s="73">
        <v>3</v>
      </c>
      <c r="Y104" s="44">
        <f t="shared" si="3"/>
        <v>2</v>
      </c>
      <c r="Z104" s="45">
        <v>1</v>
      </c>
      <c r="AA104" s="45">
        <f t="shared" si="4"/>
        <v>2</v>
      </c>
      <c r="AB104" s="45">
        <v>1</v>
      </c>
      <c r="AD104" s="49" t="s">
        <v>87</v>
      </c>
      <c r="AE104" s="50" t="s">
        <v>88</v>
      </c>
      <c r="AF104" s="50">
        <v>0</v>
      </c>
      <c r="AG104" s="50">
        <v>3</v>
      </c>
      <c r="AH104" s="50">
        <v>2</v>
      </c>
      <c r="AI104" s="50">
        <f t="shared" si="5"/>
        <v>6</v>
      </c>
      <c r="AJ104" s="50">
        <v>1</v>
      </c>
      <c r="AK104" s="51" t="s">
        <v>89</v>
      </c>
      <c r="AL104" s="61"/>
      <c r="AM104" s="53"/>
      <c r="AN104" s="53"/>
      <c r="AO104" s="53"/>
      <c r="AP104" s="53">
        <v>2</v>
      </c>
      <c r="AQ104" s="53">
        <f t="shared" si="7"/>
        <v>0</v>
      </c>
      <c r="AR104" s="53"/>
      <c r="AS104" s="55"/>
      <c r="AT104" s="89">
        <v>23.7</v>
      </c>
      <c r="AU104" s="42" t="s">
        <v>88</v>
      </c>
      <c r="AV104" s="56">
        <v>0</v>
      </c>
      <c r="AW104" s="44">
        <f t="shared" si="8"/>
        <v>2</v>
      </c>
      <c r="AX104" s="42">
        <v>1</v>
      </c>
      <c r="AY104" s="42">
        <f t="shared" si="9"/>
        <v>2</v>
      </c>
      <c r="AZ104" s="89"/>
      <c r="BA104" s="89"/>
      <c r="BB104" s="57"/>
      <c r="BC104" s="58"/>
      <c r="BD104" s="58"/>
      <c r="BE104" s="58"/>
      <c r="BF104" s="58">
        <v>2</v>
      </c>
      <c r="BG104" s="58" t="e">
        <f t="shared" si="10"/>
        <v>#NUM!</v>
      </c>
      <c r="BH104" s="58" t="s">
        <v>605</v>
      </c>
      <c r="BI104" s="58"/>
      <c r="BJ104" s="60" t="s">
        <v>90</v>
      </c>
      <c r="BK104" s="61">
        <v>1</v>
      </c>
      <c r="BL104" s="62">
        <v>1</v>
      </c>
      <c r="BM104" s="62">
        <f t="shared" si="11"/>
        <v>0</v>
      </c>
      <c r="BN104" s="58" t="s">
        <v>607</v>
      </c>
      <c r="BO104" s="59"/>
      <c r="BP104" s="59"/>
      <c r="BQ104" s="90"/>
      <c r="BR104" s="45">
        <v>1</v>
      </c>
      <c r="BS104" s="45" t="e">
        <f t="shared" si="13"/>
        <v>#NUM!</v>
      </c>
      <c r="BU104" s="46"/>
      <c r="BV104" s="64"/>
      <c r="BW104" s="45"/>
      <c r="BX104" s="45">
        <v>1</v>
      </c>
      <c r="BY104" s="45" t="e">
        <f>BX104*LOG(BV104)</f>
        <v>#NUM!</v>
      </c>
      <c r="BZ104" s="61"/>
      <c r="CA104" s="46"/>
      <c r="CB104" s="65">
        <v>8790</v>
      </c>
      <c r="CC104" s="45">
        <v>3</v>
      </c>
      <c r="CD104" s="45">
        <v>2</v>
      </c>
      <c r="CE104" s="45">
        <f t="shared" si="16"/>
        <v>0.95424250943932487</v>
      </c>
      <c r="CG104" s="46"/>
      <c r="CH104" s="66" t="s">
        <v>216</v>
      </c>
      <c r="CI104" s="67">
        <v>3</v>
      </c>
      <c r="CJ104" s="68">
        <v>1</v>
      </c>
      <c r="CK104" s="68">
        <f t="shared" si="17"/>
        <v>0.47712125471966244</v>
      </c>
      <c r="CL104" s="68"/>
      <c r="CM104" s="69"/>
      <c r="CO104" s="70" t="e">
        <f>(SUM(N104,T104,AA104,AI104,AQ104,AY104)/SUM(M104,S104,Z104,AH104,AP104,AX104,BF104))</f>
        <v>#VALUE!</v>
      </c>
      <c r="CQ104" s="45" t="e">
        <f t="shared" si="19"/>
        <v>#NUM!</v>
      </c>
      <c r="CR104" s="45" t="e">
        <f t="shared" si="20"/>
        <v>#NUM!</v>
      </c>
      <c r="CT104" s="71" t="e">
        <f t="shared" si="21"/>
        <v>#VALUE!</v>
      </c>
    </row>
    <row r="105" spans="1:98" ht="16">
      <c r="A105" s="36">
        <v>103</v>
      </c>
      <c r="B105" s="37"/>
      <c r="C105" s="37"/>
      <c r="D105" s="37"/>
      <c r="E105" s="38" t="s">
        <v>414</v>
      </c>
      <c r="F105" s="38" t="s">
        <v>360</v>
      </c>
      <c r="G105" s="38" t="s">
        <v>322</v>
      </c>
      <c r="H105" s="38" t="s">
        <v>152</v>
      </c>
      <c r="I105" s="72">
        <v>2</v>
      </c>
      <c r="J105" s="53" t="s">
        <v>88</v>
      </c>
      <c r="K105" s="42">
        <v>0</v>
      </c>
      <c r="L105" s="42">
        <v>3</v>
      </c>
      <c r="M105" s="42">
        <v>1</v>
      </c>
      <c r="N105" s="42">
        <f t="shared" si="0"/>
        <v>3</v>
      </c>
      <c r="O105" s="53"/>
      <c r="P105" s="53"/>
      <c r="Q105" s="43">
        <v>12</v>
      </c>
      <c r="R105" s="44">
        <f t="shared" ref="R105:R138" si="40">IF(Q105="","***",IF(Q105&lt;30,3,IF(Q105&gt;60,1,2)))</f>
        <v>3</v>
      </c>
      <c r="S105" s="45">
        <v>1</v>
      </c>
      <c r="T105" s="45">
        <f t="shared" si="2"/>
        <v>3</v>
      </c>
      <c r="V105" s="46"/>
      <c r="W105" s="58" t="s">
        <v>415</v>
      </c>
      <c r="X105" s="73">
        <v>2.9</v>
      </c>
      <c r="Y105" s="44">
        <f t="shared" si="3"/>
        <v>2</v>
      </c>
      <c r="Z105" s="45">
        <v>1</v>
      </c>
      <c r="AA105" s="45">
        <f t="shared" si="4"/>
        <v>2</v>
      </c>
      <c r="AB105" s="45">
        <v>1</v>
      </c>
      <c r="AD105" s="49" t="s">
        <v>362</v>
      </c>
      <c r="AE105" s="50" t="s">
        <v>88</v>
      </c>
      <c r="AF105" s="50">
        <v>0</v>
      </c>
      <c r="AG105" s="50">
        <v>2</v>
      </c>
      <c r="AH105" s="50">
        <v>2</v>
      </c>
      <c r="AI105" s="50">
        <f t="shared" si="5"/>
        <v>4</v>
      </c>
      <c r="AJ105" s="50">
        <v>1</v>
      </c>
      <c r="AK105" s="51" t="s">
        <v>156</v>
      </c>
      <c r="AL105" s="61">
        <v>517850</v>
      </c>
      <c r="AM105" s="53" t="s">
        <v>115</v>
      </c>
      <c r="AN105" s="42">
        <v>1</v>
      </c>
      <c r="AO105" s="54">
        <f t="shared" ref="AO105:AO138" si="41">IF(AL105="","***",IF(AL105&gt;15000,3,IF(AL105&lt;1000,1,2)))</f>
        <v>3</v>
      </c>
      <c r="AP105" s="53">
        <v>2</v>
      </c>
      <c r="AQ105" s="53">
        <f t="shared" si="7"/>
        <v>6</v>
      </c>
      <c r="AR105" s="53"/>
      <c r="AS105" s="55"/>
      <c r="AT105" s="42">
        <v>24.5</v>
      </c>
      <c r="AU105" s="42" t="s">
        <v>88</v>
      </c>
      <c r="AV105" s="56">
        <v>0</v>
      </c>
      <c r="AW105" s="44">
        <f t="shared" si="8"/>
        <v>2</v>
      </c>
      <c r="AX105" s="42">
        <v>1</v>
      </c>
      <c r="AY105" s="42">
        <f t="shared" si="9"/>
        <v>2</v>
      </c>
      <c r="AZ105" s="42"/>
      <c r="BA105" s="42"/>
      <c r="BB105" s="57" t="s">
        <v>602</v>
      </c>
      <c r="BC105" s="58" t="s">
        <v>603</v>
      </c>
      <c r="BD105" s="58" t="s">
        <v>609</v>
      </c>
      <c r="BE105" s="59">
        <v>1</v>
      </c>
      <c r="BF105" s="58">
        <v>2</v>
      </c>
      <c r="BG105" s="58">
        <f t="shared" si="10"/>
        <v>0</v>
      </c>
      <c r="BH105" s="58" t="s">
        <v>605</v>
      </c>
      <c r="BI105" s="58" t="s">
        <v>610</v>
      </c>
      <c r="BJ105" s="60" t="s">
        <v>90</v>
      </c>
      <c r="BK105" s="61">
        <v>1</v>
      </c>
      <c r="BL105" s="62">
        <v>1</v>
      </c>
      <c r="BM105" s="62">
        <f t="shared" si="11"/>
        <v>0</v>
      </c>
      <c r="BN105" s="58" t="s">
        <v>607</v>
      </c>
      <c r="BO105" s="59"/>
      <c r="BP105" s="59">
        <v>9.25</v>
      </c>
      <c r="BQ105" s="63">
        <f t="shared" ref="BQ105:BQ138" si="42">IF(BP105&lt;10,3,IF(BP105&lt;30,2,1))</f>
        <v>3</v>
      </c>
      <c r="BR105" s="45">
        <v>1</v>
      </c>
      <c r="BS105" s="45">
        <f t="shared" si="13"/>
        <v>0.47712125471966244</v>
      </c>
      <c r="BU105" s="46"/>
      <c r="BV105" s="64">
        <v>1.625</v>
      </c>
      <c r="BW105" s="54">
        <f t="shared" ref="BW105:BW138" si="43">IF(BV105&lt;2.5,1,IF(BV105&gt;3.5,3,2))</f>
        <v>1</v>
      </c>
      <c r="BX105" s="45">
        <v>1</v>
      </c>
      <c r="BY105" s="45">
        <f t="shared" ref="BY105:BY138" si="44">BX105*LOG(BW105)</f>
        <v>0</v>
      </c>
      <c r="BZ105" s="61" t="s">
        <v>99</v>
      </c>
      <c r="CA105" s="46"/>
      <c r="CB105" s="65">
        <v>8722</v>
      </c>
      <c r="CC105" s="45">
        <v>3</v>
      </c>
      <c r="CD105" s="45">
        <v>2</v>
      </c>
      <c r="CE105" s="45">
        <f t="shared" si="16"/>
        <v>0.95424250943932487</v>
      </c>
      <c r="CG105" s="46"/>
      <c r="CH105" s="66" t="s">
        <v>92</v>
      </c>
      <c r="CI105" s="67">
        <v>3</v>
      </c>
      <c r="CJ105" s="68">
        <v>2</v>
      </c>
      <c r="CK105" s="68">
        <f t="shared" si="17"/>
        <v>0.95424250943932487</v>
      </c>
      <c r="CL105" s="68"/>
      <c r="CM105" s="69" t="s">
        <v>144</v>
      </c>
      <c r="CO105" s="70">
        <f t="shared" ref="CO105:CO138" si="45">(SUM(T105,AA105,AI105,AQ105,AY105)/SUM(S105,Z105,AH105,AP105,AX105,BF105))</f>
        <v>1.8888888888888888</v>
      </c>
      <c r="CQ105" s="45">
        <f t="shared" si="19"/>
        <v>0.26506736373314577</v>
      </c>
      <c r="CR105" s="45">
        <f t="shared" si="20"/>
        <v>1.841057547098748</v>
      </c>
      <c r="CT105" s="71">
        <f t="shared" si="21"/>
        <v>1.3935371178287039</v>
      </c>
    </row>
    <row r="106" spans="1:98" ht="16">
      <c r="A106" s="36">
        <v>104</v>
      </c>
      <c r="B106" s="37"/>
      <c r="C106" s="37"/>
      <c r="D106" s="37"/>
      <c r="E106" s="38" t="s">
        <v>778</v>
      </c>
      <c r="F106" s="38" t="s">
        <v>779</v>
      </c>
      <c r="G106" s="99" t="s">
        <v>780</v>
      </c>
      <c r="H106" s="38" t="s">
        <v>141</v>
      </c>
      <c r="I106" s="72">
        <v>2.5</v>
      </c>
      <c r="J106" s="53" t="s">
        <v>88</v>
      </c>
      <c r="K106" s="42">
        <v>0</v>
      </c>
      <c r="L106" s="42">
        <v>3</v>
      </c>
      <c r="M106" s="42">
        <v>1</v>
      </c>
      <c r="N106" s="42">
        <f t="shared" si="0"/>
        <v>3</v>
      </c>
      <c r="O106" s="53"/>
      <c r="P106" s="53"/>
      <c r="Q106" s="43">
        <v>6</v>
      </c>
      <c r="R106" s="44">
        <f t="shared" si="40"/>
        <v>3</v>
      </c>
      <c r="S106" s="45">
        <v>1</v>
      </c>
      <c r="T106" s="45">
        <f t="shared" si="2"/>
        <v>3</v>
      </c>
      <c r="V106" s="46"/>
      <c r="W106" s="58" t="s">
        <v>225</v>
      </c>
      <c r="X106" s="73">
        <v>3.5</v>
      </c>
      <c r="Y106" s="44">
        <f t="shared" si="3"/>
        <v>2</v>
      </c>
      <c r="Z106" s="45">
        <v>1</v>
      </c>
      <c r="AA106" s="45">
        <f t="shared" si="4"/>
        <v>2</v>
      </c>
      <c r="AB106" s="45">
        <v>1</v>
      </c>
      <c r="AD106" s="49" t="s">
        <v>781</v>
      </c>
      <c r="AE106" s="50" t="s">
        <v>88</v>
      </c>
      <c r="AF106" s="50">
        <v>0</v>
      </c>
      <c r="AG106" s="50">
        <v>1</v>
      </c>
      <c r="AH106" s="50">
        <v>2</v>
      </c>
      <c r="AI106" s="50">
        <f t="shared" si="5"/>
        <v>2</v>
      </c>
      <c r="AJ106" s="50">
        <v>1</v>
      </c>
      <c r="AK106" s="51" t="s">
        <v>145</v>
      </c>
      <c r="AL106" s="61">
        <v>600</v>
      </c>
      <c r="AM106" s="53" t="s">
        <v>88</v>
      </c>
      <c r="AN106" s="42">
        <v>0</v>
      </c>
      <c r="AO106" s="54">
        <f t="shared" si="41"/>
        <v>1</v>
      </c>
      <c r="AP106" s="53">
        <v>2</v>
      </c>
      <c r="AQ106" s="53">
        <f t="shared" si="7"/>
        <v>2</v>
      </c>
      <c r="AR106" s="53"/>
      <c r="AS106" s="55"/>
      <c r="AT106" s="53">
        <v>21</v>
      </c>
      <c r="AU106" s="42" t="s">
        <v>146</v>
      </c>
      <c r="AV106" s="44">
        <v>2</v>
      </c>
      <c r="AW106" s="44">
        <f t="shared" si="8"/>
        <v>2</v>
      </c>
      <c r="AX106" s="42">
        <v>1</v>
      </c>
      <c r="AY106" s="42">
        <f t="shared" si="9"/>
        <v>2</v>
      </c>
      <c r="AZ106" s="42" t="s">
        <v>782</v>
      </c>
      <c r="BA106" s="53" t="s">
        <v>783</v>
      </c>
      <c r="BB106" s="57" t="s">
        <v>602</v>
      </c>
      <c r="BC106" s="58" t="s">
        <v>603</v>
      </c>
      <c r="BD106" s="58" t="s">
        <v>604</v>
      </c>
      <c r="BE106" s="59">
        <v>2</v>
      </c>
      <c r="BF106" s="58">
        <v>2</v>
      </c>
      <c r="BG106" s="58">
        <f t="shared" si="10"/>
        <v>0.6020599913279624</v>
      </c>
      <c r="BH106" s="58" t="s">
        <v>605</v>
      </c>
      <c r="BI106" s="58" t="s">
        <v>606</v>
      </c>
      <c r="BJ106" s="60" t="s">
        <v>90</v>
      </c>
      <c r="BK106" s="61">
        <v>1</v>
      </c>
      <c r="BL106" s="62">
        <v>1</v>
      </c>
      <c r="BM106" s="62">
        <f t="shared" si="11"/>
        <v>0</v>
      </c>
      <c r="BN106" s="58" t="s">
        <v>607</v>
      </c>
      <c r="BO106" s="59"/>
      <c r="BP106" s="92">
        <v>6.5</v>
      </c>
      <c r="BQ106" s="90">
        <f t="shared" si="42"/>
        <v>3</v>
      </c>
      <c r="BR106" s="45">
        <v>1</v>
      </c>
      <c r="BS106" s="45">
        <f t="shared" si="13"/>
        <v>0.47712125471966244</v>
      </c>
      <c r="BT106" s="93"/>
      <c r="BU106" s="94"/>
      <c r="BV106" s="64">
        <v>1.3333333329999999</v>
      </c>
      <c r="BW106" s="54">
        <f t="shared" si="43"/>
        <v>1</v>
      </c>
      <c r="BX106" s="45">
        <v>1</v>
      </c>
      <c r="BY106" s="45">
        <f t="shared" si="44"/>
        <v>0</v>
      </c>
      <c r="BZ106" s="61" t="s">
        <v>91</v>
      </c>
      <c r="CA106" s="46"/>
      <c r="CB106" s="65">
        <v>8605</v>
      </c>
      <c r="CC106" s="45">
        <v>3</v>
      </c>
      <c r="CD106" s="45">
        <v>2</v>
      </c>
      <c r="CE106" s="45">
        <f t="shared" si="16"/>
        <v>0.95424250943932487</v>
      </c>
      <c r="CG106" s="46"/>
      <c r="CH106" s="66" t="s">
        <v>92</v>
      </c>
      <c r="CI106" s="67">
        <v>3</v>
      </c>
      <c r="CJ106" s="68">
        <v>2</v>
      </c>
      <c r="CK106" s="68">
        <f t="shared" si="17"/>
        <v>0.95424250943932487</v>
      </c>
      <c r="CL106" s="78"/>
      <c r="CM106" s="79" t="s">
        <v>144</v>
      </c>
      <c r="CO106" s="70">
        <f t="shared" si="45"/>
        <v>1.2222222222222223</v>
      </c>
      <c r="CQ106" s="45">
        <f t="shared" si="19"/>
        <v>0.33196291832514163</v>
      </c>
      <c r="CR106" s="45">
        <f t="shared" si="20"/>
        <v>2.1476470922214639</v>
      </c>
      <c r="CT106" s="71">
        <f t="shared" si="21"/>
        <v>2.1160311140068035</v>
      </c>
    </row>
    <row r="107" spans="1:98" ht="16">
      <c r="A107" s="36">
        <v>105</v>
      </c>
      <c r="B107" s="37"/>
      <c r="C107" s="37"/>
      <c r="D107" s="37"/>
      <c r="E107" s="38" t="s">
        <v>784</v>
      </c>
      <c r="F107" s="38" t="s">
        <v>785</v>
      </c>
      <c r="G107" s="38" t="s">
        <v>786</v>
      </c>
      <c r="H107" s="38" t="s">
        <v>787</v>
      </c>
      <c r="I107" s="72">
        <v>10</v>
      </c>
      <c r="J107" s="53" t="s">
        <v>88</v>
      </c>
      <c r="K107" s="42">
        <v>0</v>
      </c>
      <c r="L107" s="42">
        <v>2</v>
      </c>
      <c r="M107" s="42">
        <v>1</v>
      </c>
      <c r="N107" s="42">
        <f t="shared" si="0"/>
        <v>2</v>
      </c>
      <c r="O107" s="53"/>
      <c r="P107" s="53"/>
      <c r="Q107" s="43">
        <v>91</v>
      </c>
      <c r="R107" s="44">
        <f t="shared" si="40"/>
        <v>1</v>
      </c>
      <c r="S107" s="45">
        <v>1</v>
      </c>
      <c r="T107" s="45">
        <f t="shared" si="2"/>
        <v>1</v>
      </c>
      <c r="V107" s="46"/>
      <c r="W107" s="58" t="s">
        <v>788</v>
      </c>
      <c r="X107" s="73">
        <v>3.7</v>
      </c>
      <c r="Y107" s="44">
        <f t="shared" si="3"/>
        <v>1</v>
      </c>
      <c r="Z107" s="45">
        <v>1</v>
      </c>
      <c r="AA107" s="45">
        <f t="shared" si="4"/>
        <v>1</v>
      </c>
      <c r="AB107" s="45">
        <v>1</v>
      </c>
      <c r="AD107" s="49" t="s">
        <v>165</v>
      </c>
      <c r="AE107" s="50" t="s">
        <v>146</v>
      </c>
      <c r="AF107" s="50">
        <v>2</v>
      </c>
      <c r="AG107" s="50">
        <v>3</v>
      </c>
      <c r="AH107" s="50">
        <v>2</v>
      </c>
      <c r="AI107" s="50">
        <f t="shared" si="5"/>
        <v>6</v>
      </c>
      <c r="AJ107" s="50" t="s">
        <v>633</v>
      </c>
      <c r="AK107" s="51" t="s">
        <v>165</v>
      </c>
      <c r="AL107" s="61">
        <v>200000</v>
      </c>
      <c r="AM107" s="53" t="s">
        <v>88</v>
      </c>
      <c r="AN107" s="42">
        <v>0</v>
      </c>
      <c r="AO107" s="54">
        <f t="shared" si="41"/>
        <v>3</v>
      </c>
      <c r="AP107" s="53">
        <v>2</v>
      </c>
      <c r="AQ107" s="53">
        <f t="shared" si="7"/>
        <v>6</v>
      </c>
      <c r="AR107" s="53"/>
      <c r="AS107" s="55"/>
      <c r="AT107" s="42">
        <v>40.799999999999997</v>
      </c>
      <c r="AU107" s="42" t="s">
        <v>146</v>
      </c>
      <c r="AV107" s="44">
        <v>2</v>
      </c>
      <c r="AW107" s="44">
        <f t="shared" si="8"/>
        <v>1</v>
      </c>
      <c r="AX107" s="42">
        <v>1</v>
      </c>
      <c r="AY107" s="42">
        <f t="shared" si="9"/>
        <v>1</v>
      </c>
      <c r="AZ107" s="42" t="s">
        <v>340</v>
      </c>
      <c r="BA107" s="53" t="s">
        <v>789</v>
      </c>
      <c r="BB107" s="57" t="s">
        <v>602</v>
      </c>
      <c r="BC107" s="58" t="s">
        <v>603</v>
      </c>
      <c r="BD107" s="58" t="s">
        <v>609</v>
      </c>
      <c r="BE107" s="59">
        <v>1</v>
      </c>
      <c r="BF107" s="58">
        <v>2</v>
      </c>
      <c r="BG107" s="58">
        <f t="shared" si="10"/>
        <v>0</v>
      </c>
      <c r="BH107" s="58" t="s">
        <v>605</v>
      </c>
      <c r="BI107" s="58" t="s">
        <v>610</v>
      </c>
      <c r="BJ107" s="60" t="s">
        <v>90</v>
      </c>
      <c r="BK107" s="61">
        <v>1</v>
      </c>
      <c r="BL107" s="62">
        <v>1</v>
      </c>
      <c r="BM107" s="62">
        <f t="shared" si="11"/>
        <v>0</v>
      </c>
      <c r="BN107" s="58" t="s">
        <v>607</v>
      </c>
      <c r="BO107" s="59"/>
      <c r="BP107" s="59">
        <v>25.5</v>
      </c>
      <c r="BQ107" s="63">
        <f t="shared" si="42"/>
        <v>2</v>
      </c>
      <c r="BR107" s="45">
        <v>1</v>
      </c>
      <c r="BS107" s="45">
        <f t="shared" si="13"/>
        <v>0.3010299956639812</v>
      </c>
      <c r="BU107" s="46"/>
      <c r="BV107" s="64">
        <v>3</v>
      </c>
      <c r="BW107" s="54">
        <f t="shared" si="43"/>
        <v>2</v>
      </c>
      <c r="BX107" s="45">
        <v>1</v>
      </c>
      <c r="BY107" s="45">
        <f t="shared" si="44"/>
        <v>0.3010299956639812</v>
      </c>
      <c r="BZ107" s="61" t="s">
        <v>273</v>
      </c>
      <c r="CA107" s="46"/>
      <c r="CB107" s="65">
        <v>8591</v>
      </c>
      <c r="CC107" s="45">
        <v>3</v>
      </c>
      <c r="CD107" s="45">
        <v>2</v>
      </c>
      <c r="CE107" s="45">
        <f t="shared" si="16"/>
        <v>0.95424250943932487</v>
      </c>
      <c r="CG107" s="46"/>
      <c r="CH107" s="66" t="s">
        <v>106</v>
      </c>
      <c r="CI107" s="67">
        <v>3</v>
      </c>
      <c r="CJ107" s="68">
        <v>2</v>
      </c>
      <c r="CK107" s="68">
        <f t="shared" si="17"/>
        <v>0.95424250943932487</v>
      </c>
      <c r="CL107" s="68"/>
      <c r="CM107" s="69"/>
      <c r="CO107" s="70">
        <f t="shared" si="45"/>
        <v>1.6666666666666667</v>
      </c>
      <c r="CQ107" s="45">
        <f t="shared" si="19"/>
        <v>0.27894944557851242</v>
      </c>
      <c r="CR107" s="45">
        <f t="shared" si="20"/>
        <v>1.9008569961559403</v>
      </c>
      <c r="CT107" s="71">
        <f t="shared" si="21"/>
        <v>1.6091367577993119</v>
      </c>
    </row>
    <row r="108" spans="1:98" ht="16">
      <c r="A108" s="36">
        <v>106</v>
      </c>
      <c r="B108" s="37"/>
      <c r="C108" s="37"/>
      <c r="D108" s="37"/>
      <c r="E108" s="38" t="s">
        <v>403</v>
      </c>
      <c r="F108" s="38" t="s">
        <v>404</v>
      </c>
      <c r="G108" s="38" t="s">
        <v>405</v>
      </c>
      <c r="H108" s="38" t="s">
        <v>286</v>
      </c>
      <c r="I108" s="72">
        <v>7.5</v>
      </c>
      <c r="J108" s="53" t="s">
        <v>88</v>
      </c>
      <c r="K108" s="42">
        <v>0</v>
      </c>
      <c r="L108" s="42">
        <v>2</v>
      </c>
      <c r="M108" s="42">
        <v>1</v>
      </c>
      <c r="N108" s="42">
        <f t="shared" si="0"/>
        <v>2</v>
      </c>
      <c r="O108" s="53"/>
      <c r="P108" s="53"/>
      <c r="Q108" s="43">
        <v>22</v>
      </c>
      <c r="R108" s="44">
        <f t="shared" si="40"/>
        <v>3</v>
      </c>
      <c r="S108" s="45">
        <v>1</v>
      </c>
      <c r="T108" s="45">
        <f t="shared" si="2"/>
        <v>3</v>
      </c>
      <c r="V108" s="46"/>
      <c r="W108" s="58" t="s">
        <v>406</v>
      </c>
      <c r="X108" s="73">
        <v>3.1</v>
      </c>
      <c r="Y108" s="44">
        <f t="shared" si="3"/>
        <v>2</v>
      </c>
      <c r="Z108" s="45">
        <v>1</v>
      </c>
      <c r="AA108" s="45">
        <f t="shared" si="4"/>
        <v>2</v>
      </c>
      <c r="AB108" s="45">
        <v>1</v>
      </c>
      <c r="AD108" s="49" t="s">
        <v>288</v>
      </c>
      <c r="AE108" s="50" t="s">
        <v>88</v>
      </c>
      <c r="AF108" s="50">
        <v>0</v>
      </c>
      <c r="AG108" s="50">
        <v>3</v>
      </c>
      <c r="AH108" s="50">
        <v>2</v>
      </c>
      <c r="AI108" s="50">
        <f t="shared" si="5"/>
        <v>6</v>
      </c>
      <c r="AJ108" s="50">
        <v>1</v>
      </c>
      <c r="AK108" s="51" t="s">
        <v>135</v>
      </c>
      <c r="AL108" s="61">
        <v>1001</v>
      </c>
      <c r="AM108" s="53" t="s">
        <v>88</v>
      </c>
      <c r="AN108" s="42">
        <v>0</v>
      </c>
      <c r="AO108" s="54">
        <f t="shared" si="41"/>
        <v>2</v>
      </c>
      <c r="AP108" s="53">
        <v>2</v>
      </c>
      <c r="AQ108" s="53">
        <f t="shared" si="7"/>
        <v>4</v>
      </c>
      <c r="AR108" s="53"/>
      <c r="AS108" s="55" t="s">
        <v>790</v>
      </c>
      <c r="AT108" s="42">
        <v>50.7</v>
      </c>
      <c r="AU108" s="42" t="s">
        <v>88</v>
      </c>
      <c r="AV108" s="56">
        <v>0</v>
      </c>
      <c r="AW108" s="44">
        <f t="shared" si="8"/>
        <v>1</v>
      </c>
      <c r="AX108" s="42">
        <v>1</v>
      </c>
      <c r="AY108" s="42">
        <f t="shared" si="9"/>
        <v>1</v>
      </c>
      <c r="AZ108" s="42"/>
      <c r="BA108" s="42"/>
      <c r="BB108" s="57" t="s">
        <v>602</v>
      </c>
      <c r="BC108" s="58" t="s">
        <v>603</v>
      </c>
      <c r="BD108" s="58" t="s">
        <v>609</v>
      </c>
      <c r="BE108" s="59">
        <v>1</v>
      </c>
      <c r="BF108" s="58">
        <v>2</v>
      </c>
      <c r="BG108" s="58">
        <f t="shared" si="10"/>
        <v>0</v>
      </c>
      <c r="BH108" s="58" t="s">
        <v>605</v>
      </c>
      <c r="BI108" s="58" t="s">
        <v>610</v>
      </c>
      <c r="BJ108" s="81" t="s">
        <v>166</v>
      </c>
      <c r="BK108" s="61">
        <v>3</v>
      </c>
      <c r="BL108" s="62">
        <v>1</v>
      </c>
      <c r="BM108" s="62">
        <f t="shared" si="11"/>
        <v>0.47712125471966244</v>
      </c>
      <c r="BN108" s="58" t="s">
        <v>607</v>
      </c>
      <c r="BO108" s="59"/>
      <c r="BP108" s="59">
        <v>73.5</v>
      </c>
      <c r="BQ108" s="63">
        <f t="shared" si="42"/>
        <v>1</v>
      </c>
      <c r="BR108" s="45">
        <v>1</v>
      </c>
      <c r="BS108" s="45">
        <f t="shared" si="13"/>
        <v>0</v>
      </c>
      <c r="BU108" s="46"/>
      <c r="BV108" s="64">
        <v>2.25</v>
      </c>
      <c r="BW108" s="54">
        <f t="shared" si="43"/>
        <v>1</v>
      </c>
      <c r="BX108" s="45">
        <v>1</v>
      </c>
      <c r="BY108" s="45">
        <f t="shared" si="44"/>
        <v>0</v>
      </c>
      <c r="BZ108" s="61" t="s">
        <v>99</v>
      </c>
      <c r="CA108" s="46"/>
      <c r="CB108" s="65">
        <v>8573</v>
      </c>
      <c r="CC108" s="45">
        <v>3</v>
      </c>
      <c r="CD108" s="45">
        <v>2</v>
      </c>
      <c r="CE108" s="45">
        <f t="shared" si="16"/>
        <v>0.95424250943932487</v>
      </c>
      <c r="CG108" s="46"/>
      <c r="CH108" s="66" t="s">
        <v>92</v>
      </c>
      <c r="CI108" s="67">
        <v>3</v>
      </c>
      <c r="CJ108" s="68">
        <v>2</v>
      </c>
      <c r="CK108" s="68">
        <f t="shared" si="17"/>
        <v>0.95424250943932487</v>
      </c>
      <c r="CL108" s="68"/>
      <c r="CM108" s="69"/>
      <c r="CO108" s="70">
        <f t="shared" si="45"/>
        <v>1.7777777777777777</v>
      </c>
      <c r="CQ108" s="45">
        <f t="shared" si="19"/>
        <v>0.26506736373314577</v>
      </c>
      <c r="CR108" s="45">
        <f t="shared" si="20"/>
        <v>1.841057547098748</v>
      </c>
      <c r="CT108" s="71">
        <f t="shared" si="21"/>
        <v>1.4836458330833509</v>
      </c>
    </row>
    <row r="109" spans="1:98" ht="16">
      <c r="A109" s="36">
        <v>107</v>
      </c>
      <c r="B109" s="37"/>
      <c r="C109" s="37"/>
      <c r="D109" s="37"/>
      <c r="E109" s="38" t="s">
        <v>411</v>
      </c>
      <c r="F109" s="38" t="s">
        <v>365</v>
      </c>
      <c r="G109" s="38" t="s">
        <v>412</v>
      </c>
      <c r="H109" s="38" t="s">
        <v>83</v>
      </c>
      <c r="I109" s="72">
        <v>4</v>
      </c>
      <c r="J109" s="53" t="s">
        <v>88</v>
      </c>
      <c r="K109" s="42">
        <v>0</v>
      </c>
      <c r="L109" s="42">
        <v>3</v>
      </c>
      <c r="M109" s="42">
        <v>1</v>
      </c>
      <c r="N109" s="42">
        <f t="shared" si="0"/>
        <v>3</v>
      </c>
      <c r="O109" s="214" t="s">
        <v>757</v>
      </c>
      <c r="P109" s="53"/>
      <c r="Q109" s="43">
        <v>10</v>
      </c>
      <c r="R109" s="44">
        <f t="shared" si="40"/>
        <v>3</v>
      </c>
      <c r="S109" s="45">
        <v>1</v>
      </c>
      <c r="T109" s="45">
        <f t="shared" si="2"/>
        <v>3</v>
      </c>
      <c r="V109" s="46"/>
      <c r="W109" s="58" t="s">
        <v>258</v>
      </c>
      <c r="X109" s="73">
        <v>2.7</v>
      </c>
      <c r="Y109" s="44">
        <f t="shared" si="3"/>
        <v>2</v>
      </c>
      <c r="Z109" s="45">
        <v>1</v>
      </c>
      <c r="AA109" s="45">
        <f t="shared" si="4"/>
        <v>2</v>
      </c>
      <c r="AB109" s="45">
        <v>1</v>
      </c>
      <c r="AD109" s="49" t="s">
        <v>87</v>
      </c>
      <c r="AE109" s="50" t="s">
        <v>88</v>
      </c>
      <c r="AF109" s="50">
        <v>0</v>
      </c>
      <c r="AG109" s="50">
        <v>3</v>
      </c>
      <c r="AH109" s="50">
        <v>2</v>
      </c>
      <c r="AI109" s="50">
        <f t="shared" si="5"/>
        <v>6</v>
      </c>
      <c r="AJ109" s="50">
        <v>1</v>
      </c>
      <c r="AK109" s="51" t="s">
        <v>89</v>
      </c>
      <c r="AL109" s="52">
        <v>80000</v>
      </c>
      <c r="AM109" s="53" t="s">
        <v>115</v>
      </c>
      <c r="AN109" s="42">
        <v>1</v>
      </c>
      <c r="AO109" s="54">
        <f t="shared" si="41"/>
        <v>3</v>
      </c>
      <c r="AP109" s="53">
        <v>2</v>
      </c>
      <c r="AQ109" s="53">
        <f t="shared" si="7"/>
        <v>6</v>
      </c>
      <c r="AR109" s="53"/>
      <c r="AS109" s="55"/>
      <c r="AT109" s="42">
        <v>20</v>
      </c>
      <c r="AU109" s="42" t="s">
        <v>88</v>
      </c>
      <c r="AV109" s="56">
        <v>0</v>
      </c>
      <c r="AW109" s="44">
        <f t="shared" si="8"/>
        <v>2</v>
      </c>
      <c r="AX109" s="42">
        <v>1</v>
      </c>
      <c r="AY109" s="42">
        <f t="shared" si="9"/>
        <v>2</v>
      </c>
      <c r="AZ109" s="42"/>
      <c r="BA109" s="42"/>
      <c r="BB109" s="57" t="s">
        <v>602</v>
      </c>
      <c r="BC109" s="58" t="s">
        <v>603</v>
      </c>
      <c r="BD109" s="58" t="s">
        <v>604</v>
      </c>
      <c r="BE109" s="59">
        <v>2</v>
      </c>
      <c r="BF109" s="58">
        <v>2</v>
      </c>
      <c r="BG109" s="58">
        <f t="shared" si="10"/>
        <v>0.6020599913279624</v>
      </c>
      <c r="BH109" s="58" t="s">
        <v>605</v>
      </c>
      <c r="BI109" s="58" t="s">
        <v>626</v>
      </c>
      <c r="BJ109" s="60" t="s">
        <v>90</v>
      </c>
      <c r="BK109" s="61">
        <v>1</v>
      </c>
      <c r="BL109" s="62">
        <v>1</v>
      </c>
      <c r="BM109" s="62">
        <f t="shared" si="11"/>
        <v>0</v>
      </c>
      <c r="BN109" s="58" t="s">
        <v>607</v>
      </c>
      <c r="BO109" s="59"/>
      <c r="BP109" s="59">
        <v>11.75</v>
      </c>
      <c r="BQ109" s="63">
        <f t="shared" si="42"/>
        <v>2</v>
      </c>
      <c r="BR109" s="45">
        <v>1</v>
      </c>
      <c r="BS109" s="45">
        <f t="shared" si="13"/>
        <v>0.3010299956639812</v>
      </c>
      <c r="BU109" s="46"/>
      <c r="BV109" s="64">
        <v>1.1666666670000001</v>
      </c>
      <c r="BW109" s="54">
        <f t="shared" si="43"/>
        <v>1</v>
      </c>
      <c r="BX109" s="45">
        <v>1</v>
      </c>
      <c r="BY109" s="45">
        <f t="shared" si="44"/>
        <v>0</v>
      </c>
      <c r="BZ109" s="61" t="s">
        <v>91</v>
      </c>
      <c r="CA109" s="46"/>
      <c r="CB109" s="65">
        <v>8566</v>
      </c>
      <c r="CC109" s="45">
        <v>3</v>
      </c>
      <c r="CD109" s="45">
        <v>2</v>
      </c>
      <c r="CE109" s="45">
        <f t="shared" si="16"/>
        <v>0.95424250943932487</v>
      </c>
      <c r="CG109" s="46"/>
      <c r="CH109" s="66">
        <v>2</v>
      </c>
      <c r="CI109" s="67">
        <v>3</v>
      </c>
      <c r="CJ109" s="68">
        <v>2</v>
      </c>
      <c r="CK109" s="68">
        <f t="shared" si="17"/>
        <v>0.95424250943932487</v>
      </c>
      <c r="CL109" s="68"/>
      <c r="CM109" s="69"/>
      <c r="CO109" s="70">
        <f t="shared" si="45"/>
        <v>2.1111111111111112</v>
      </c>
      <c r="CQ109" s="45">
        <f t="shared" si="19"/>
        <v>0.31239722287451038</v>
      </c>
      <c r="CR109" s="45">
        <f t="shared" si="20"/>
        <v>2.0530391109397983</v>
      </c>
      <c r="CT109" s="71">
        <f t="shared" si="21"/>
        <v>1.3780474686885804</v>
      </c>
    </row>
    <row r="110" spans="1:98" ht="16">
      <c r="A110" s="36">
        <v>108</v>
      </c>
      <c r="B110" s="37"/>
      <c r="C110" s="37"/>
      <c r="D110" s="37"/>
      <c r="E110" s="38" t="s">
        <v>791</v>
      </c>
      <c r="F110" s="38" t="s">
        <v>792</v>
      </c>
      <c r="G110" s="38" t="s">
        <v>793</v>
      </c>
      <c r="H110" s="38" t="s">
        <v>794</v>
      </c>
      <c r="I110" s="72">
        <v>10</v>
      </c>
      <c r="J110" s="53" t="s">
        <v>88</v>
      </c>
      <c r="K110" s="42">
        <v>0</v>
      </c>
      <c r="L110" s="42">
        <v>2</v>
      </c>
      <c r="M110" s="42">
        <v>1</v>
      </c>
      <c r="N110" s="42">
        <f t="shared" si="0"/>
        <v>2</v>
      </c>
      <c r="O110" s="53"/>
      <c r="P110" s="53"/>
      <c r="Q110" s="43">
        <v>70</v>
      </c>
      <c r="R110" s="44">
        <f t="shared" si="40"/>
        <v>1</v>
      </c>
      <c r="S110" s="45">
        <v>1</v>
      </c>
      <c r="T110" s="45">
        <f t="shared" si="2"/>
        <v>1</v>
      </c>
      <c r="V110" s="46"/>
      <c r="W110" s="58" t="s">
        <v>795</v>
      </c>
      <c r="X110" s="73">
        <v>4.5</v>
      </c>
      <c r="Y110" s="44">
        <f t="shared" si="3"/>
        <v>1</v>
      </c>
      <c r="Z110" s="45">
        <v>1</v>
      </c>
      <c r="AA110" s="45">
        <f t="shared" si="4"/>
        <v>1</v>
      </c>
      <c r="AB110" s="45">
        <v>1</v>
      </c>
      <c r="AD110" s="49" t="s">
        <v>796</v>
      </c>
      <c r="AE110" s="50" t="s">
        <v>88</v>
      </c>
      <c r="AF110" s="50">
        <v>0</v>
      </c>
      <c r="AG110" s="50">
        <v>3</v>
      </c>
      <c r="AH110" s="50">
        <v>2</v>
      </c>
      <c r="AI110" s="50">
        <f t="shared" si="5"/>
        <v>6</v>
      </c>
      <c r="AJ110" s="50">
        <v>1</v>
      </c>
      <c r="AK110" s="51" t="s">
        <v>165</v>
      </c>
      <c r="AL110" s="52">
        <v>125341</v>
      </c>
      <c r="AM110" s="53" t="s">
        <v>88</v>
      </c>
      <c r="AN110" s="42">
        <v>0</v>
      </c>
      <c r="AO110" s="54">
        <f t="shared" si="41"/>
        <v>3</v>
      </c>
      <c r="AP110" s="53">
        <v>2</v>
      </c>
      <c r="AQ110" s="53">
        <f t="shared" si="7"/>
        <v>6</v>
      </c>
      <c r="AR110" s="53"/>
      <c r="AS110" s="55"/>
      <c r="AT110" s="42">
        <v>24</v>
      </c>
      <c r="AU110" s="42" t="s">
        <v>88</v>
      </c>
      <c r="AV110" s="56">
        <v>0</v>
      </c>
      <c r="AW110" s="44">
        <f t="shared" si="8"/>
        <v>2</v>
      </c>
      <c r="AX110" s="42">
        <v>1</v>
      </c>
      <c r="AY110" s="42">
        <f t="shared" si="9"/>
        <v>2</v>
      </c>
      <c r="AZ110" s="42"/>
      <c r="BA110" s="42"/>
      <c r="BB110" s="57" t="s">
        <v>602</v>
      </c>
      <c r="BC110" s="58" t="s">
        <v>603</v>
      </c>
      <c r="BD110" s="58" t="s">
        <v>609</v>
      </c>
      <c r="BE110" s="59">
        <v>1</v>
      </c>
      <c r="BF110" s="58">
        <v>2</v>
      </c>
      <c r="BG110" s="58">
        <f t="shared" si="10"/>
        <v>0</v>
      </c>
      <c r="BH110" s="58" t="s">
        <v>605</v>
      </c>
      <c r="BI110" s="58" t="s">
        <v>610</v>
      </c>
      <c r="BJ110" s="60" t="s">
        <v>90</v>
      </c>
      <c r="BK110" s="61">
        <v>1</v>
      </c>
      <c r="BL110" s="62">
        <v>1</v>
      </c>
      <c r="BM110" s="62">
        <f t="shared" si="11"/>
        <v>0</v>
      </c>
      <c r="BN110" s="58" t="s">
        <v>607</v>
      </c>
      <c r="BO110" s="59"/>
      <c r="BP110" s="59">
        <v>20.5</v>
      </c>
      <c r="BQ110" s="63">
        <f t="shared" si="42"/>
        <v>2</v>
      </c>
      <c r="BR110" s="45">
        <v>1</v>
      </c>
      <c r="BS110" s="45">
        <f t="shared" si="13"/>
        <v>0.3010299956639812</v>
      </c>
      <c r="BU110" s="46"/>
      <c r="BV110" s="64">
        <v>3</v>
      </c>
      <c r="BW110" s="54">
        <f t="shared" si="43"/>
        <v>2</v>
      </c>
      <c r="BX110" s="45">
        <v>1</v>
      </c>
      <c r="BY110" s="45">
        <f t="shared" si="44"/>
        <v>0.3010299956639812</v>
      </c>
      <c r="BZ110" s="61" t="s">
        <v>91</v>
      </c>
      <c r="CA110" s="46"/>
      <c r="CB110" s="65">
        <v>8510</v>
      </c>
      <c r="CC110" s="45">
        <v>3</v>
      </c>
      <c r="CD110" s="45">
        <v>2</v>
      </c>
      <c r="CE110" s="45">
        <f t="shared" si="16"/>
        <v>0.95424250943932487</v>
      </c>
      <c r="CG110" s="46"/>
      <c r="CH110" s="66" t="s">
        <v>250</v>
      </c>
      <c r="CI110" s="67">
        <v>3</v>
      </c>
      <c r="CJ110" s="68">
        <v>2</v>
      </c>
      <c r="CK110" s="68">
        <f t="shared" si="17"/>
        <v>0.95424250943932487</v>
      </c>
      <c r="CL110" s="68"/>
      <c r="CM110" s="69"/>
      <c r="CO110" s="70">
        <f t="shared" si="45"/>
        <v>1.7777777777777777</v>
      </c>
      <c r="CQ110" s="45">
        <f t="shared" si="19"/>
        <v>0.27894944557851242</v>
      </c>
      <c r="CR110" s="45">
        <f t="shared" si="20"/>
        <v>1.9008569961559403</v>
      </c>
      <c r="CT110" s="71">
        <f t="shared" si="21"/>
        <v>1.5183446538967795</v>
      </c>
    </row>
    <row r="111" spans="1:98" ht="16">
      <c r="A111" s="36">
        <v>109</v>
      </c>
      <c r="B111" s="37"/>
      <c r="C111" s="37"/>
      <c r="D111" s="37"/>
      <c r="E111" s="38" t="s">
        <v>388</v>
      </c>
      <c r="F111" s="38" t="s">
        <v>158</v>
      </c>
      <c r="G111" s="38" t="s">
        <v>389</v>
      </c>
      <c r="H111" s="38" t="s">
        <v>160</v>
      </c>
      <c r="I111" s="72">
        <v>10</v>
      </c>
      <c r="J111" s="53" t="s">
        <v>88</v>
      </c>
      <c r="K111" s="42">
        <v>0</v>
      </c>
      <c r="L111" s="42">
        <v>2</v>
      </c>
      <c r="M111" s="42">
        <v>1</v>
      </c>
      <c r="N111" s="42">
        <f t="shared" si="0"/>
        <v>2</v>
      </c>
      <c r="O111" s="214" t="s">
        <v>797</v>
      </c>
      <c r="P111" s="53"/>
      <c r="Q111" s="43">
        <v>11.33333333</v>
      </c>
      <c r="R111" s="44">
        <f t="shared" si="40"/>
        <v>3</v>
      </c>
      <c r="S111" s="45">
        <v>1</v>
      </c>
      <c r="T111" s="45">
        <f t="shared" si="2"/>
        <v>3</v>
      </c>
      <c r="V111" s="46"/>
      <c r="W111" s="58" t="s">
        <v>390</v>
      </c>
      <c r="X111" s="73">
        <v>2.8</v>
      </c>
      <c r="Y111" s="44">
        <f t="shared" si="3"/>
        <v>2</v>
      </c>
      <c r="Z111" s="45">
        <v>1</v>
      </c>
      <c r="AA111" s="45">
        <f t="shared" si="4"/>
        <v>2</v>
      </c>
      <c r="AB111" s="45">
        <v>1</v>
      </c>
      <c r="AD111" s="49" t="s">
        <v>163</v>
      </c>
      <c r="AE111" s="50" t="s">
        <v>146</v>
      </c>
      <c r="AF111" s="50">
        <v>2</v>
      </c>
      <c r="AG111" s="50">
        <v>3</v>
      </c>
      <c r="AH111" s="50">
        <v>2</v>
      </c>
      <c r="AI111" s="50">
        <f t="shared" si="5"/>
        <v>6</v>
      </c>
      <c r="AJ111" s="50" t="s">
        <v>633</v>
      </c>
      <c r="AK111" s="51" t="s">
        <v>165</v>
      </c>
      <c r="AL111" s="61">
        <v>53556</v>
      </c>
      <c r="AM111" s="53" t="s">
        <v>115</v>
      </c>
      <c r="AN111" s="42">
        <v>1</v>
      </c>
      <c r="AO111" s="54">
        <f t="shared" si="41"/>
        <v>3</v>
      </c>
      <c r="AP111" s="53">
        <v>2</v>
      </c>
      <c r="AQ111" s="53">
        <f t="shared" si="7"/>
        <v>6</v>
      </c>
      <c r="AR111" s="53"/>
      <c r="AS111" s="55"/>
      <c r="AT111" s="42">
        <v>32</v>
      </c>
      <c r="AU111" s="42" t="s">
        <v>88</v>
      </c>
      <c r="AV111" s="56">
        <v>0</v>
      </c>
      <c r="AW111" s="44">
        <f t="shared" si="8"/>
        <v>1</v>
      </c>
      <c r="AX111" s="42">
        <v>1</v>
      </c>
      <c r="AY111" s="42">
        <f t="shared" si="9"/>
        <v>1</v>
      </c>
      <c r="AZ111" s="42"/>
      <c r="BA111" s="42"/>
      <c r="BB111" s="57" t="s">
        <v>602</v>
      </c>
      <c r="BC111" s="58" t="s">
        <v>603</v>
      </c>
      <c r="BD111" s="58" t="s">
        <v>609</v>
      </c>
      <c r="BE111" s="59">
        <v>1</v>
      </c>
      <c r="BF111" s="58">
        <v>2</v>
      </c>
      <c r="BG111" s="58">
        <f t="shared" si="10"/>
        <v>0</v>
      </c>
      <c r="BH111" s="58" t="s">
        <v>605</v>
      </c>
      <c r="BI111" s="58" t="s">
        <v>610</v>
      </c>
      <c r="BJ111" s="81" t="s">
        <v>166</v>
      </c>
      <c r="BK111" s="61">
        <v>3</v>
      </c>
      <c r="BL111" s="62">
        <v>1</v>
      </c>
      <c r="BM111" s="62">
        <f t="shared" si="11"/>
        <v>0.47712125471966244</v>
      </c>
      <c r="BN111" s="58" t="s">
        <v>607</v>
      </c>
      <c r="BO111" s="59"/>
      <c r="BP111" s="59">
        <v>37</v>
      </c>
      <c r="BQ111" s="63">
        <f t="shared" si="42"/>
        <v>1</v>
      </c>
      <c r="BR111" s="45">
        <v>1</v>
      </c>
      <c r="BS111" s="45">
        <f t="shared" si="13"/>
        <v>0</v>
      </c>
      <c r="BU111" s="46"/>
      <c r="BV111" s="64">
        <v>2</v>
      </c>
      <c r="BW111" s="54">
        <f t="shared" si="43"/>
        <v>1</v>
      </c>
      <c r="BX111" s="45">
        <v>1</v>
      </c>
      <c r="BY111" s="45">
        <f t="shared" si="44"/>
        <v>0</v>
      </c>
      <c r="BZ111" s="61" t="s">
        <v>99</v>
      </c>
      <c r="CA111" s="46"/>
      <c r="CB111" s="65">
        <v>8474</v>
      </c>
      <c r="CC111" s="45">
        <v>3</v>
      </c>
      <c r="CD111" s="45">
        <v>2</v>
      </c>
      <c r="CE111" s="45">
        <f t="shared" si="16"/>
        <v>0.95424250943932487</v>
      </c>
      <c r="CG111" s="46"/>
      <c r="CH111" s="66" t="s">
        <v>92</v>
      </c>
      <c r="CI111" s="67">
        <v>3</v>
      </c>
      <c r="CJ111" s="68">
        <v>2</v>
      </c>
      <c r="CK111" s="68">
        <f t="shared" si="17"/>
        <v>0.95424250943932487</v>
      </c>
      <c r="CL111" s="68"/>
      <c r="CM111" s="69"/>
      <c r="CO111" s="70">
        <f t="shared" si="45"/>
        <v>2</v>
      </c>
      <c r="CQ111" s="45">
        <f t="shared" si="19"/>
        <v>0.26506736373314577</v>
      </c>
      <c r="CR111" s="45">
        <f t="shared" si="20"/>
        <v>1.841057547098748</v>
      </c>
      <c r="CT111" s="71">
        <f t="shared" si="21"/>
        <v>1.3066666742255895</v>
      </c>
    </row>
    <row r="112" spans="1:98" ht="16">
      <c r="A112" s="36">
        <v>110</v>
      </c>
      <c r="B112" s="37"/>
      <c r="C112" s="37"/>
      <c r="D112" s="37"/>
      <c r="E112" s="38" t="s">
        <v>394</v>
      </c>
      <c r="F112" s="38" t="s">
        <v>395</v>
      </c>
      <c r="G112" s="38" t="s">
        <v>396</v>
      </c>
      <c r="H112" s="38" t="s">
        <v>83</v>
      </c>
      <c r="I112" s="72">
        <v>7.2</v>
      </c>
      <c r="J112" s="53" t="s">
        <v>115</v>
      </c>
      <c r="K112" s="42">
        <v>1</v>
      </c>
      <c r="L112" s="42">
        <v>2</v>
      </c>
      <c r="M112" s="42">
        <v>1</v>
      </c>
      <c r="N112" s="42">
        <f t="shared" si="0"/>
        <v>2</v>
      </c>
      <c r="O112" s="53"/>
      <c r="P112" s="53" t="s">
        <v>769</v>
      </c>
      <c r="Q112" s="43">
        <v>9</v>
      </c>
      <c r="R112" s="44">
        <f t="shared" si="40"/>
        <v>3</v>
      </c>
      <c r="S112" s="45">
        <v>1</v>
      </c>
      <c r="T112" s="45">
        <f t="shared" si="2"/>
        <v>3</v>
      </c>
      <c r="V112" s="46"/>
      <c r="W112" s="58" t="s">
        <v>397</v>
      </c>
      <c r="X112" s="73">
        <v>2.6</v>
      </c>
      <c r="Y112" s="44">
        <f t="shared" si="3"/>
        <v>2</v>
      </c>
      <c r="Z112" s="45">
        <v>1</v>
      </c>
      <c r="AA112" s="45">
        <f t="shared" si="4"/>
        <v>2</v>
      </c>
      <c r="AB112" s="45">
        <v>1</v>
      </c>
      <c r="AD112" s="49" t="s">
        <v>87</v>
      </c>
      <c r="AE112" s="50" t="s">
        <v>88</v>
      </c>
      <c r="AF112" s="50">
        <v>0</v>
      </c>
      <c r="AG112" s="50">
        <v>3</v>
      </c>
      <c r="AH112" s="50">
        <v>2</v>
      </c>
      <c r="AI112" s="50">
        <f t="shared" si="5"/>
        <v>6</v>
      </c>
      <c r="AJ112" s="50">
        <v>1</v>
      </c>
      <c r="AK112" s="51" t="s">
        <v>89</v>
      </c>
      <c r="AL112" s="61">
        <v>2225</v>
      </c>
      <c r="AM112" s="53" t="s">
        <v>115</v>
      </c>
      <c r="AN112" s="42">
        <v>1</v>
      </c>
      <c r="AO112" s="54">
        <f t="shared" si="41"/>
        <v>2</v>
      </c>
      <c r="AP112" s="53">
        <v>2</v>
      </c>
      <c r="AQ112" s="53">
        <f t="shared" si="7"/>
        <v>4</v>
      </c>
      <c r="AR112" s="53"/>
      <c r="AS112" s="55"/>
      <c r="AT112" s="42">
        <v>17</v>
      </c>
      <c r="AU112" s="42" t="s">
        <v>88</v>
      </c>
      <c r="AV112" s="56">
        <v>0</v>
      </c>
      <c r="AW112" s="44">
        <f t="shared" si="8"/>
        <v>2</v>
      </c>
      <c r="AX112" s="42">
        <v>1</v>
      </c>
      <c r="AY112" s="42">
        <f t="shared" si="9"/>
        <v>2</v>
      </c>
      <c r="AZ112" s="42"/>
      <c r="BA112" s="42"/>
      <c r="BB112" s="57" t="s">
        <v>602</v>
      </c>
      <c r="BC112" s="58" t="s">
        <v>603</v>
      </c>
      <c r="BD112" s="58" t="s">
        <v>609</v>
      </c>
      <c r="BE112" s="59">
        <v>1</v>
      </c>
      <c r="BF112" s="58">
        <v>2</v>
      </c>
      <c r="BG112" s="58">
        <f t="shared" si="10"/>
        <v>0</v>
      </c>
      <c r="BH112" s="58" t="s">
        <v>605</v>
      </c>
      <c r="BI112" s="58" t="s">
        <v>610</v>
      </c>
      <c r="BJ112" s="60" t="s">
        <v>90</v>
      </c>
      <c r="BK112" s="61">
        <v>1</v>
      </c>
      <c r="BL112" s="62">
        <v>1</v>
      </c>
      <c r="BM112" s="62">
        <f t="shared" si="11"/>
        <v>0</v>
      </c>
      <c r="BN112" s="58" t="s">
        <v>607</v>
      </c>
      <c r="BO112" s="59"/>
      <c r="BP112" s="59">
        <v>2</v>
      </c>
      <c r="BQ112" s="63">
        <f t="shared" si="42"/>
        <v>3</v>
      </c>
      <c r="BR112" s="45">
        <v>1</v>
      </c>
      <c r="BS112" s="45">
        <f t="shared" si="13"/>
        <v>0.47712125471966244</v>
      </c>
      <c r="BU112" s="46"/>
      <c r="BV112" s="64">
        <v>3.5</v>
      </c>
      <c r="BW112" s="54">
        <f t="shared" si="43"/>
        <v>2</v>
      </c>
      <c r="BX112" s="45">
        <v>1</v>
      </c>
      <c r="BY112" s="45">
        <f t="shared" si="44"/>
        <v>0.3010299956639812</v>
      </c>
      <c r="BZ112" s="61" t="s">
        <v>273</v>
      </c>
      <c r="CA112" s="46"/>
      <c r="CB112" s="65">
        <v>8410</v>
      </c>
      <c r="CC112" s="45">
        <v>3</v>
      </c>
      <c r="CD112" s="45">
        <v>2</v>
      </c>
      <c r="CE112" s="45">
        <f t="shared" si="16"/>
        <v>0.95424250943932487</v>
      </c>
      <c r="CG112" s="46"/>
      <c r="CH112" s="66" t="s">
        <v>92</v>
      </c>
      <c r="CI112" s="67">
        <v>3</v>
      </c>
      <c r="CJ112" s="68">
        <v>2</v>
      </c>
      <c r="CK112" s="68">
        <f t="shared" si="17"/>
        <v>0.95424250943932487</v>
      </c>
      <c r="CL112" s="78"/>
      <c r="CM112" s="79" t="s">
        <v>144</v>
      </c>
      <c r="CO112" s="70">
        <f t="shared" si="45"/>
        <v>1.8888888888888888</v>
      </c>
      <c r="CQ112" s="45">
        <f t="shared" si="19"/>
        <v>0.29851514102914373</v>
      </c>
      <c r="CR112" s="45">
        <f t="shared" si="20"/>
        <v>1.9884521336051839</v>
      </c>
      <c r="CT112" s="71">
        <f t="shared" si="21"/>
        <v>1.4871467720649527</v>
      </c>
    </row>
    <row r="113" spans="1:98" ht="16">
      <c r="A113" s="36">
        <v>111</v>
      </c>
      <c r="B113" s="37"/>
      <c r="C113" s="37"/>
      <c r="D113" s="37"/>
      <c r="E113" s="38" t="s">
        <v>486</v>
      </c>
      <c r="F113" s="38" t="s">
        <v>158</v>
      </c>
      <c r="G113" s="38" t="s">
        <v>487</v>
      </c>
      <c r="H113" s="38" t="s">
        <v>160</v>
      </c>
      <c r="I113" s="72">
        <v>5</v>
      </c>
      <c r="J113" s="53" t="s">
        <v>88</v>
      </c>
      <c r="K113" s="42">
        <v>0</v>
      </c>
      <c r="L113" s="42">
        <v>2</v>
      </c>
      <c r="M113" s="42">
        <v>1</v>
      </c>
      <c r="N113" s="42">
        <f t="shared" si="0"/>
        <v>2</v>
      </c>
      <c r="O113" s="53"/>
      <c r="P113" s="53"/>
      <c r="Q113" s="43">
        <v>12</v>
      </c>
      <c r="R113" s="44">
        <f t="shared" si="40"/>
        <v>3</v>
      </c>
      <c r="S113" s="45">
        <v>1</v>
      </c>
      <c r="T113" s="45">
        <f t="shared" si="2"/>
        <v>3</v>
      </c>
      <c r="V113" s="46"/>
      <c r="W113" s="58" t="s">
        <v>298</v>
      </c>
      <c r="X113" s="73">
        <v>2.8</v>
      </c>
      <c r="Y113" s="44">
        <f t="shared" si="3"/>
        <v>2</v>
      </c>
      <c r="Z113" s="45">
        <v>1</v>
      </c>
      <c r="AA113" s="45">
        <f t="shared" si="4"/>
        <v>2</v>
      </c>
      <c r="AB113" s="45">
        <v>1</v>
      </c>
      <c r="AD113" s="49" t="s">
        <v>488</v>
      </c>
      <c r="AE113" s="50" t="s">
        <v>88</v>
      </c>
      <c r="AF113" s="50">
        <v>0</v>
      </c>
      <c r="AG113" s="50">
        <v>3</v>
      </c>
      <c r="AH113" s="50">
        <v>2</v>
      </c>
      <c r="AI113" s="50">
        <f t="shared" si="5"/>
        <v>6</v>
      </c>
      <c r="AJ113" s="50">
        <v>1</v>
      </c>
      <c r="AK113" s="51" t="s">
        <v>135</v>
      </c>
      <c r="AL113" s="61">
        <v>53556</v>
      </c>
      <c r="AM113" s="53" t="s">
        <v>115</v>
      </c>
      <c r="AN113" s="42">
        <v>1</v>
      </c>
      <c r="AO113" s="54">
        <f t="shared" si="41"/>
        <v>3</v>
      </c>
      <c r="AP113" s="53">
        <v>2</v>
      </c>
      <c r="AQ113" s="53">
        <f t="shared" si="7"/>
        <v>6</v>
      </c>
      <c r="AR113" s="53"/>
      <c r="AS113" s="55"/>
      <c r="AT113" s="42">
        <v>29</v>
      </c>
      <c r="AU113" s="42" t="s">
        <v>88</v>
      </c>
      <c r="AV113" s="56">
        <v>0</v>
      </c>
      <c r="AW113" s="44">
        <f t="shared" si="8"/>
        <v>2</v>
      </c>
      <c r="AX113" s="42">
        <v>1</v>
      </c>
      <c r="AY113" s="42">
        <f t="shared" si="9"/>
        <v>2</v>
      </c>
      <c r="AZ113" s="42"/>
      <c r="BA113" s="42"/>
      <c r="BB113" s="57" t="s">
        <v>602</v>
      </c>
      <c r="BC113" s="58" t="s">
        <v>603</v>
      </c>
      <c r="BD113" s="58" t="s">
        <v>604</v>
      </c>
      <c r="BE113" s="59">
        <v>2</v>
      </c>
      <c r="BF113" s="58">
        <v>2</v>
      </c>
      <c r="BG113" s="58">
        <f t="shared" si="10"/>
        <v>0.6020599913279624</v>
      </c>
      <c r="BH113" s="58" t="s">
        <v>605</v>
      </c>
      <c r="BI113" s="58" t="s">
        <v>626</v>
      </c>
      <c r="BJ113" s="81" t="s">
        <v>166</v>
      </c>
      <c r="BK113" s="61">
        <v>3</v>
      </c>
      <c r="BL113" s="62">
        <v>1</v>
      </c>
      <c r="BM113" s="62">
        <f t="shared" si="11"/>
        <v>0.47712125471966244</v>
      </c>
      <c r="BN113" s="58" t="s">
        <v>607</v>
      </c>
      <c r="BO113" s="59"/>
      <c r="BP113" s="59">
        <v>13.5</v>
      </c>
      <c r="BQ113" s="63">
        <f t="shared" si="42"/>
        <v>2</v>
      </c>
      <c r="BR113" s="45">
        <v>1</v>
      </c>
      <c r="BS113" s="45">
        <f t="shared" si="13"/>
        <v>0.3010299956639812</v>
      </c>
      <c r="BU113" s="46"/>
      <c r="BV113" s="64">
        <v>2</v>
      </c>
      <c r="BW113" s="54">
        <f t="shared" si="43"/>
        <v>1</v>
      </c>
      <c r="BX113" s="45">
        <v>1</v>
      </c>
      <c r="BY113" s="45">
        <f t="shared" si="44"/>
        <v>0</v>
      </c>
      <c r="BZ113" s="61" t="s">
        <v>91</v>
      </c>
      <c r="CA113" s="46"/>
      <c r="CB113" s="65">
        <v>8317</v>
      </c>
      <c r="CC113" s="45">
        <v>3</v>
      </c>
      <c r="CD113" s="45">
        <v>2</v>
      </c>
      <c r="CE113" s="45">
        <f t="shared" si="16"/>
        <v>0.95424250943932487</v>
      </c>
      <c r="CG113" s="46"/>
      <c r="CH113" s="66" t="s">
        <v>92</v>
      </c>
      <c r="CI113" s="67">
        <v>3</v>
      </c>
      <c r="CJ113" s="68">
        <v>2</v>
      </c>
      <c r="CK113" s="68">
        <f t="shared" si="17"/>
        <v>0.95424250943932487</v>
      </c>
      <c r="CL113" s="68"/>
      <c r="CM113" s="69"/>
      <c r="CO113" s="70">
        <f t="shared" si="45"/>
        <v>2.1111111111111112</v>
      </c>
      <c r="CQ113" s="45">
        <f t="shared" si="19"/>
        <v>0.36541069562113954</v>
      </c>
      <c r="CR113" s="45">
        <f t="shared" si="20"/>
        <v>2.3195871576575349</v>
      </c>
      <c r="CT113" s="71">
        <f t="shared" si="21"/>
        <v>1.5910479953303782</v>
      </c>
    </row>
    <row r="114" spans="1:98" ht="16">
      <c r="A114" s="36">
        <v>112</v>
      </c>
      <c r="B114" s="37"/>
      <c r="C114" s="37"/>
      <c r="D114" s="37"/>
      <c r="E114" s="38" t="s">
        <v>498</v>
      </c>
      <c r="F114" s="38" t="s">
        <v>499</v>
      </c>
      <c r="G114" s="38" t="s">
        <v>500</v>
      </c>
      <c r="H114" s="38" t="s">
        <v>277</v>
      </c>
      <c r="I114" s="72">
        <v>10.67</v>
      </c>
      <c r="J114" s="53" t="s">
        <v>88</v>
      </c>
      <c r="K114" s="42">
        <v>0</v>
      </c>
      <c r="L114" s="42">
        <v>2</v>
      </c>
      <c r="M114" s="42">
        <v>1</v>
      </c>
      <c r="N114" s="42">
        <f t="shared" si="0"/>
        <v>2</v>
      </c>
      <c r="O114" s="53"/>
      <c r="P114" s="53"/>
      <c r="Q114" s="43">
        <v>30</v>
      </c>
      <c r="R114" s="44">
        <f t="shared" si="40"/>
        <v>2</v>
      </c>
      <c r="S114" s="45">
        <v>1</v>
      </c>
      <c r="T114" s="45">
        <f t="shared" si="2"/>
        <v>2</v>
      </c>
      <c r="V114" s="46"/>
      <c r="W114" s="58" t="s">
        <v>501</v>
      </c>
      <c r="X114" s="73">
        <v>3.2</v>
      </c>
      <c r="Y114" s="44">
        <f t="shared" si="3"/>
        <v>2</v>
      </c>
      <c r="Z114" s="45">
        <v>1</v>
      </c>
      <c r="AA114" s="45">
        <f t="shared" si="4"/>
        <v>2</v>
      </c>
      <c r="AB114" s="45">
        <v>1</v>
      </c>
      <c r="AD114" s="49" t="s">
        <v>502</v>
      </c>
      <c r="AE114" s="50" t="s">
        <v>88</v>
      </c>
      <c r="AF114" s="50">
        <v>0</v>
      </c>
      <c r="AG114" s="50">
        <v>3</v>
      </c>
      <c r="AH114" s="50">
        <v>2</v>
      </c>
      <c r="AI114" s="50">
        <f t="shared" si="5"/>
        <v>6</v>
      </c>
      <c r="AJ114" s="50">
        <v>1</v>
      </c>
      <c r="AK114" s="51" t="s">
        <v>503</v>
      </c>
      <c r="AL114" s="61">
        <v>29800</v>
      </c>
      <c r="AM114" s="53" t="s">
        <v>88</v>
      </c>
      <c r="AN114" s="42">
        <v>0</v>
      </c>
      <c r="AO114" s="54">
        <f t="shared" si="41"/>
        <v>3</v>
      </c>
      <c r="AP114" s="53">
        <v>2</v>
      </c>
      <c r="AQ114" s="53">
        <f t="shared" si="7"/>
        <v>6</v>
      </c>
      <c r="AR114" s="53"/>
      <c r="AS114" s="55" t="s">
        <v>798</v>
      </c>
      <c r="AT114" s="42">
        <v>45</v>
      </c>
      <c r="AU114" s="42" t="s">
        <v>88</v>
      </c>
      <c r="AV114" s="56">
        <v>0</v>
      </c>
      <c r="AW114" s="44">
        <f t="shared" si="8"/>
        <v>1</v>
      </c>
      <c r="AX114" s="42">
        <v>1</v>
      </c>
      <c r="AY114" s="42">
        <f t="shared" si="9"/>
        <v>1</v>
      </c>
      <c r="AZ114" s="42" t="s">
        <v>280</v>
      </c>
      <c r="BA114" s="53"/>
      <c r="BB114" s="57" t="s">
        <v>602</v>
      </c>
      <c r="BC114" s="58" t="s">
        <v>603</v>
      </c>
      <c r="BD114" s="58" t="s">
        <v>609</v>
      </c>
      <c r="BE114" s="59">
        <v>1</v>
      </c>
      <c r="BF114" s="58">
        <v>2</v>
      </c>
      <c r="BG114" s="58">
        <f t="shared" si="10"/>
        <v>0</v>
      </c>
      <c r="BH114" s="58" t="s">
        <v>605</v>
      </c>
      <c r="BI114" s="58" t="s">
        <v>610</v>
      </c>
      <c r="BJ114" s="60" t="s">
        <v>90</v>
      </c>
      <c r="BK114" s="61">
        <v>1</v>
      </c>
      <c r="BL114" s="62">
        <v>1</v>
      </c>
      <c r="BM114" s="62">
        <f t="shared" si="11"/>
        <v>0</v>
      </c>
      <c r="BN114" s="58" t="s">
        <v>607</v>
      </c>
      <c r="BO114" s="59"/>
      <c r="BP114" s="59">
        <v>25.25</v>
      </c>
      <c r="BQ114" s="63">
        <f t="shared" si="42"/>
        <v>2</v>
      </c>
      <c r="BR114" s="45">
        <v>1</v>
      </c>
      <c r="BS114" s="45">
        <f t="shared" si="13"/>
        <v>0.3010299956639812</v>
      </c>
      <c r="BU114" s="46"/>
      <c r="BV114" s="64">
        <v>1.75</v>
      </c>
      <c r="BW114" s="54">
        <f t="shared" si="43"/>
        <v>1</v>
      </c>
      <c r="BX114" s="45">
        <v>1</v>
      </c>
      <c r="BY114" s="45">
        <f t="shared" si="44"/>
        <v>0</v>
      </c>
      <c r="BZ114" s="61" t="s">
        <v>504</v>
      </c>
      <c r="CA114" s="46"/>
      <c r="CB114" s="65">
        <v>8314</v>
      </c>
      <c r="CC114" s="45">
        <v>3</v>
      </c>
      <c r="CD114" s="45">
        <v>2</v>
      </c>
      <c r="CE114" s="45">
        <f t="shared" si="16"/>
        <v>0.95424250943932487</v>
      </c>
      <c r="CG114" s="46"/>
      <c r="CH114" s="66" t="s">
        <v>216</v>
      </c>
      <c r="CI114" s="85">
        <v>3</v>
      </c>
      <c r="CJ114" s="68">
        <v>2</v>
      </c>
      <c r="CK114" s="68">
        <f t="shared" si="17"/>
        <v>0.95424250943932487</v>
      </c>
      <c r="CL114" s="68"/>
      <c r="CM114" s="69"/>
      <c r="CO114" s="70">
        <f t="shared" si="45"/>
        <v>1.8888888888888888</v>
      </c>
      <c r="CQ114" s="45">
        <f t="shared" si="19"/>
        <v>0.24550166828251452</v>
      </c>
      <c r="CR114" s="45">
        <f t="shared" si="20"/>
        <v>1.7599554244151643</v>
      </c>
      <c r="CT114" s="71">
        <f t="shared" si="21"/>
        <v>1.3461426924113953</v>
      </c>
    </row>
    <row r="115" spans="1:98" ht="16">
      <c r="A115" s="36">
        <v>113</v>
      </c>
      <c r="B115" s="37"/>
      <c r="C115" s="37"/>
      <c r="D115" s="37"/>
      <c r="E115" s="38" t="s">
        <v>489</v>
      </c>
      <c r="F115" s="38" t="s">
        <v>360</v>
      </c>
      <c r="G115" s="38" t="s">
        <v>490</v>
      </c>
      <c r="H115" s="38" t="s">
        <v>152</v>
      </c>
      <c r="I115" s="72">
        <v>7.7</v>
      </c>
      <c r="J115" s="53" t="s">
        <v>115</v>
      </c>
      <c r="K115" s="42">
        <v>1</v>
      </c>
      <c r="L115" s="42">
        <v>2</v>
      </c>
      <c r="M115" s="42">
        <v>1</v>
      </c>
      <c r="N115" s="42">
        <f t="shared" si="0"/>
        <v>2</v>
      </c>
      <c r="O115" s="42" t="s">
        <v>799</v>
      </c>
      <c r="P115" s="53"/>
      <c r="Q115" s="43">
        <v>19</v>
      </c>
      <c r="R115" s="44">
        <f t="shared" si="40"/>
        <v>3</v>
      </c>
      <c r="S115" s="45">
        <v>1</v>
      </c>
      <c r="T115" s="45">
        <f t="shared" si="2"/>
        <v>3</v>
      </c>
      <c r="V115" s="46"/>
      <c r="W115" s="58" t="s">
        <v>491</v>
      </c>
      <c r="X115" s="73">
        <v>3.4</v>
      </c>
      <c r="Y115" s="44">
        <f t="shared" si="3"/>
        <v>2</v>
      </c>
      <c r="Z115" s="45">
        <v>1</v>
      </c>
      <c r="AA115" s="45">
        <f t="shared" si="4"/>
        <v>2</v>
      </c>
      <c r="AB115" s="45">
        <v>1</v>
      </c>
      <c r="AD115" s="49" t="s">
        <v>362</v>
      </c>
      <c r="AE115" s="50" t="s">
        <v>88</v>
      </c>
      <c r="AF115" s="50">
        <v>0</v>
      </c>
      <c r="AG115" s="50">
        <v>2</v>
      </c>
      <c r="AH115" s="50">
        <v>2</v>
      </c>
      <c r="AI115" s="50">
        <f t="shared" si="5"/>
        <v>4</v>
      </c>
      <c r="AJ115" s="50">
        <v>1</v>
      </c>
      <c r="AK115" s="51" t="s">
        <v>156</v>
      </c>
      <c r="AL115" s="61">
        <v>517850</v>
      </c>
      <c r="AM115" s="53" t="s">
        <v>115</v>
      </c>
      <c r="AN115" s="42">
        <v>1</v>
      </c>
      <c r="AO115" s="54">
        <f t="shared" si="41"/>
        <v>3</v>
      </c>
      <c r="AP115" s="53">
        <v>2</v>
      </c>
      <c r="AQ115" s="53">
        <f t="shared" si="7"/>
        <v>6</v>
      </c>
      <c r="AR115" s="53"/>
      <c r="AS115" s="55"/>
      <c r="AT115" s="42">
        <v>21.1</v>
      </c>
      <c r="AU115" s="42" t="s">
        <v>88</v>
      </c>
      <c r="AV115" s="56">
        <v>0</v>
      </c>
      <c r="AW115" s="44">
        <f t="shared" si="8"/>
        <v>2</v>
      </c>
      <c r="AX115" s="42">
        <v>1</v>
      </c>
      <c r="AY115" s="42">
        <f t="shared" si="9"/>
        <v>2</v>
      </c>
      <c r="AZ115" s="42"/>
      <c r="BA115" s="42"/>
      <c r="BB115" s="57" t="s">
        <v>602</v>
      </c>
      <c r="BC115" s="58" t="s">
        <v>603</v>
      </c>
      <c r="BD115" s="58" t="s">
        <v>609</v>
      </c>
      <c r="BE115" s="59">
        <v>1</v>
      </c>
      <c r="BF115" s="58">
        <v>2</v>
      </c>
      <c r="BG115" s="58">
        <f t="shared" si="10"/>
        <v>0</v>
      </c>
      <c r="BH115" s="58" t="s">
        <v>605</v>
      </c>
      <c r="BI115" s="58" t="s">
        <v>610</v>
      </c>
      <c r="BJ115" s="60" t="s">
        <v>90</v>
      </c>
      <c r="BK115" s="61">
        <v>1</v>
      </c>
      <c r="BL115" s="62">
        <v>1</v>
      </c>
      <c r="BM115" s="62">
        <f t="shared" si="11"/>
        <v>0</v>
      </c>
      <c r="BN115" s="58" t="s">
        <v>607</v>
      </c>
      <c r="BO115" s="59"/>
      <c r="BP115" s="59">
        <v>5</v>
      </c>
      <c r="BQ115" s="63">
        <f t="shared" si="42"/>
        <v>3</v>
      </c>
      <c r="BR115" s="45">
        <v>1</v>
      </c>
      <c r="BS115" s="45">
        <f t="shared" si="13"/>
        <v>0.47712125471966244</v>
      </c>
      <c r="BU115" s="46"/>
      <c r="BV115" s="64">
        <v>2</v>
      </c>
      <c r="BW115" s="54">
        <f t="shared" si="43"/>
        <v>1</v>
      </c>
      <c r="BX115" s="45">
        <v>1</v>
      </c>
      <c r="BY115" s="45">
        <f t="shared" si="44"/>
        <v>0</v>
      </c>
      <c r="BZ115" s="61" t="s">
        <v>99</v>
      </c>
      <c r="CA115" s="46"/>
      <c r="CB115" s="65">
        <v>8168</v>
      </c>
      <c r="CC115" s="45">
        <v>3</v>
      </c>
      <c r="CD115" s="45">
        <v>2</v>
      </c>
      <c r="CE115" s="45">
        <f t="shared" si="16"/>
        <v>0.95424250943932487</v>
      </c>
      <c r="CG115" s="46"/>
      <c r="CH115" s="66" t="s">
        <v>92</v>
      </c>
      <c r="CI115" s="67">
        <v>3</v>
      </c>
      <c r="CJ115" s="68">
        <v>2</v>
      </c>
      <c r="CK115" s="68">
        <f t="shared" si="17"/>
        <v>0.95424250943932487</v>
      </c>
      <c r="CL115" s="68"/>
      <c r="CM115" s="69" t="s">
        <v>144</v>
      </c>
      <c r="CO115" s="70">
        <f t="shared" si="45"/>
        <v>1.8888888888888888</v>
      </c>
      <c r="CQ115" s="45">
        <f t="shared" si="19"/>
        <v>0.26506736373314577</v>
      </c>
      <c r="CR115" s="45">
        <f t="shared" si="20"/>
        <v>1.841057547098748</v>
      </c>
      <c r="CT115" s="71">
        <f t="shared" si="21"/>
        <v>1.3935371178287039</v>
      </c>
    </row>
    <row r="116" spans="1:98" ht="16">
      <c r="A116" s="36">
        <v>114</v>
      </c>
      <c r="B116" s="37" t="s">
        <v>144</v>
      </c>
      <c r="C116" s="37"/>
      <c r="D116" s="37"/>
      <c r="E116" s="38" t="s">
        <v>800</v>
      </c>
      <c r="F116" s="38" t="s">
        <v>124</v>
      </c>
      <c r="G116" s="38" t="s">
        <v>801</v>
      </c>
      <c r="H116" s="38" t="s">
        <v>83</v>
      </c>
      <c r="I116" s="72">
        <v>3.5</v>
      </c>
      <c r="J116" s="53" t="s">
        <v>88</v>
      </c>
      <c r="K116" s="42">
        <v>0</v>
      </c>
      <c r="L116" s="42">
        <v>3</v>
      </c>
      <c r="M116" s="42">
        <v>1</v>
      </c>
      <c r="N116" s="42">
        <f t="shared" si="0"/>
        <v>3</v>
      </c>
      <c r="O116" s="53"/>
      <c r="P116" s="53"/>
      <c r="Q116" s="43">
        <v>14.75</v>
      </c>
      <c r="R116" s="44">
        <f t="shared" si="40"/>
        <v>3</v>
      </c>
      <c r="S116" s="45">
        <v>1</v>
      </c>
      <c r="T116" s="45">
        <f t="shared" si="2"/>
        <v>3</v>
      </c>
      <c r="V116" s="46"/>
      <c r="W116" s="58" t="s">
        <v>86</v>
      </c>
      <c r="X116" s="73">
        <v>2.9</v>
      </c>
      <c r="Y116" s="44">
        <f t="shared" si="3"/>
        <v>2</v>
      </c>
      <c r="Z116" s="45">
        <v>1</v>
      </c>
      <c r="AA116" s="45">
        <f t="shared" si="4"/>
        <v>2</v>
      </c>
      <c r="AB116" s="45">
        <v>1</v>
      </c>
      <c r="AD116" s="49" t="s">
        <v>802</v>
      </c>
      <c r="AE116" s="50" t="s">
        <v>88</v>
      </c>
      <c r="AF116" s="50">
        <v>0</v>
      </c>
      <c r="AG116" s="50">
        <v>3</v>
      </c>
      <c r="AH116" s="50">
        <v>2</v>
      </c>
      <c r="AI116" s="50">
        <f t="shared" si="5"/>
        <v>6</v>
      </c>
      <c r="AJ116" s="50">
        <v>1</v>
      </c>
      <c r="AK116" s="51" t="s">
        <v>89</v>
      </c>
      <c r="AL116" s="61">
        <v>31583</v>
      </c>
      <c r="AM116" s="53" t="s">
        <v>88</v>
      </c>
      <c r="AN116" s="42">
        <v>0</v>
      </c>
      <c r="AO116" s="54">
        <f t="shared" si="41"/>
        <v>3</v>
      </c>
      <c r="AP116" s="53">
        <v>2</v>
      </c>
      <c r="AQ116" s="53">
        <f t="shared" si="7"/>
        <v>6</v>
      </c>
      <c r="AR116" s="53"/>
      <c r="AS116" s="55"/>
      <c r="AT116" s="42">
        <v>12.2</v>
      </c>
      <c r="AU116" s="42" t="s">
        <v>88</v>
      </c>
      <c r="AV116" s="56">
        <v>0</v>
      </c>
      <c r="AW116" s="44">
        <f t="shared" si="8"/>
        <v>3</v>
      </c>
      <c r="AX116" s="42">
        <v>1</v>
      </c>
      <c r="AY116" s="42">
        <f t="shared" si="9"/>
        <v>3</v>
      </c>
      <c r="AZ116" s="42"/>
      <c r="BA116" s="42"/>
      <c r="BB116" s="57" t="s">
        <v>602</v>
      </c>
      <c r="BC116" s="58" t="s">
        <v>603</v>
      </c>
      <c r="BD116" s="58" t="s">
        <v>604</v>
      </c>
      <c r="BE116" s="59">
        <v>2</v>
      </c>
      <c r="BF116" s="58">
        <v>2</v>
      </c>
      <c r="BG116" s="58">
        <f t="shared" si="10"/>
        <v>0.6020599913279624</v>
      </c>
      <c r="BH116" s="58" t="s">
        <v>605</v>
      </c>
      <c r="BI116" s="58" t="s">
        <v>774</v>
      </c>
      <c r="BJ116" s="60" t="s">
        <v>90</v>
      </c>
      <c r="BK116" s="61">
        <v>1</v>
      </c>
      <c r="BL116" s="62">
        <v>1</v>
      </c>
      <c r="BM116" s="62">
        <f t="shared" si="11"/>
        <v>0</v>
      </c>
      <c r="BN116" s="58" t="s">
        <v>607</v>
      </c>
      <c r="BO116" s="59"/>
      <c r="BP116" s="59">
        <v>30.5</v>
      </c>
      <c r="BQ116" s="63">
        <f t="shared" si="42"/>
        <v>1</v>
      </c>
      <c r="BR116" s="45">
        <v>1</v>
      </c>
      <c r="BS116" s="45">
        <f t="shared" si="13"/>
        <v>0</v>
      </c>
      <c r="BU116" s="46"/>
      <c r="BV116" s="64">
        <v>1.5</v>
      </c>
      <c r="BW116" s="54">
        <f t="shared" si="43"/>
        <v>1</v>
      </c>
      <c r="BX116" s="45">
        <v>1</v>
      </c>
      <c r="BY116" s="45">
        <f t="shared" si="44"/>
        <v>0</v>
      </c>
      <c r="BZ116" s="61" t="s">
        <v>99</v>
      </c>
      <c r="CA116" s="46"/>
      <c r="CB116" s="65">
        <v>8016</v>
      </c>
      <c r="CC116" s="45">
        <v>3</v>
      </c>
      <c r="CD116" s="45">
        <v>2</v>
      </c>
      <c r="CE116" s="45">
        <f t="shared" si="16"/>
        <v>0.95424250943932487</v>
      </c>
      <c r="CG116" s="46"/>
      <c r="CH116" s="66" t="s">
        <v>106</v>
      </c>
      <c r="CI116" s="67">
        <v>3</v>
      </c>
      <c r="CJ116" s="68">
        <v>2</v>
      </c>
      <c r="CK116" s="68">
        <f t="shared" si="17"/>
        <v>0.95424250943932487</v>
      </c>
      <c r="CL116" s="68"/>
      <c r="CM116" s="69"/>
      <c r="CO116" s="70">
        <f t="shared" si="45"/>
        <v>2.2222222222222223</v>
      </c>
      <c r="CQ116" s="45">
        <f t="shared" si="19"/>
        <v>0.27894944557851242</v>
      </c>
      <c r="CR116" s="45">
        <f t="shared" si="20"/>
        <v>1.9008569961559403</v>
      </c>
      <c r="CT116" s="71">
        <f t="shared" si="21"/>
        <v>1.1901603249680448</v>
      </c>
    </row>
    <row r="117" spans="1:98" ht="16">
      <c r="A117" s="36">
        <v>115</v>
      </c>
      <c r="B117" s="37"/>
      <c r="C117" s="37"/>
      <c r="D117" s="37"/>
      <c r="E117" s="38" t="s">
        <v>803</v>
      </c>
      <c r="F117" s="38" t="s">
        <v>804</v>
      </c>
      <c r="G117" s="38" t="s">
        <v>805</v>
      </c>
      <c r="H117" s="38" t="s">
        <v>184</v>
      </c>
      <c r="I117" s="72">
        <v>4.71</v>
      </c>
      <c r="J117" s="53" t="s">
        <v>88</v>
      </c>
      <c r="K117" s="42">
        <v>0</v>
      </c>
      <c r="L117" s="42">
        <v>3</v>
      </c>
      <c r="M117" s="42">
        <v>1</v>
      </c>
      <c r="N117" s="42">
        <f t="shared" si="0"/>
        <v>3</v>
      </c>
      <c r="O117" s="53"/>
      <c r="P117" s="53"/>
      <c r="Q117" s="43">
        <v>15</v>
      </c>
      <c r="R117" s="44">
        <f t="shared" si="40"/>
        <v>3</v>
      </c>
      <c r="S117" s="45">
        <v>1</v>
      </c>
      <c r="T117" s="45">
        <f t="shared" si="2"/>
        <v>3</v>
      </c>
      <c r="V117" s="46"/>
      <c r="W117" s="58" t="s">
        <v>519</v>
      </c>
      <c r="X117" s="73">
        <v>3.6</v>
      </c>
      <c r="Y117" s="44">
        <f t="shared" si="3"/>
        <v>1</v>
      </c>
      <c r="Z117" s="45">
        <v>1</v>
      </c>
      <c r="AA117" s="45">
        <f t="shared" si="4"/>
        <v>1</v>
      </c>
      <c r="AB117" s="45">
        <v>1</v>
      </c>
      <c r="AD117" s="49" t="s">
        <v>806</v>
      </c>
      <c r="AE117" s="50" t="s">
        <v>88</v>
      </c>
      <c r="AF117" s="50">
        <v>0</v>
      </c>
      <c r="AG117" s="50">
        <v>3</v>
      </c>
      <c r="AH117" s="50">
        <v>2</v>
      </c>
      <c r="AI117" s="50">
        <f t="shared" si="5"/>
        <v>6</v>
      </c>
      <c r="AJ117" s="50">
        <v>1</v>
      </c>
      <c r="AK117" s="51" t="s">
        <v>114</v>
      </c>
      <c r="AL117" s="61">
        <v>38054</v>
      </c>
      <c r="AM117" s="53" t="s">
        <v>88</v>
      </c>
      <c r="AN117" s="42">
        <v>0</v>
      </c>
      <c r="AO117" s="54">
        <f t="shared" si="41"/>
        <v>3</v>
      </c>
      <c r="AP117" s="53">
        <v>2</v>
      </c>
      <c r="AQ117" s="53">
        <f t="shared" si="7"/>
        <v>6</v>
      </c>
      <c r="AR117" s="53"/>
      <c r="AS117" s="55"/>
      <c r="AT117" s="42">
        <v>19.7</v>
      </c>
      <c r="AU117" s="42" t="s">
        <v>88</v>
      </c>
      <c r="AV117" s="56">
        <v>0</v>
      </c>
      <c r="AW117" s="44">
        <f t="shared" si="8"/>
        <v>2</v>
      </c>
      <c r="AX117" s="42">
        <v>1</v>
      </c>
      <c r="AY117" s="42">
        <f t="shared" si="9"/>
        <v>2</v>
      </c>
      <c r="AZ117" s="42"/>
      <c r="BA117" s="42"/>
      <c r="BB117" s="57" t="s">
        <v>602</v>
      </c>
      <c r="BC117" s="58" t="s">
        <v>603</v>
      </c>
      <c r="BD117" s="58" t="s">
        <v>609</v>
      </c>
      <c r="BE117" s="59">
        <v>1</v>
      </c>
      <c r="BF117" s="58">
        <v>2</v>
      </c>
      <c r="BG117" s="58">
        <f t="shared" si="10"/>
        <v>0</v>
      </c>
      <c r="BH117" s="58" t="s">
        <v>605</v>
      </c>
      <c r="BI117" s="58" t="s">
        <v>610</v>
      </c>
      <c r="BJ117" s="60" t="s">
        <v>90</v>
      </c>
      <c r="BK117" s="61">
        <v>1</v>
      </c>
      <c r="BL117" s="62">
        <v>1</v>
      </c>
      <c r="BM117" s="62">
        <f t="shared" si="11"/>
        <v>0</v>
      </c>
      <c r="BN117" s="58" t="s">
        <v>607</v>
      </c>
      <c r="BO117" s="59"/>
      <c r="BP117" s="59">
        <v>21</v>
      </c>
      <c r="BQ117" s="63">
        <f t="shared" si="42"/>
        <v>2</v>
      </c>
      <c r="BR117" s="45">
        <v>1</v>
      </c>
      <c r="BS117" s="45">
        <f t="shared" si="13"/>
        <v>0.3010299956639812</v>
      </c>
      <c r="BU117" s="46"/>
      <c r="BV117" s="64">
        <v>1.5</v>
      </c>
      <c r="BW117" s="54">
        <f t="shared" si="43"/>
        <v>1</v>
      </c>
      <c r="BX117" s="45">
        <v>1</v>
      </c>
      <c r="BY117" s="45">
        <f t="shared" si="44"/>
        <v>0</v>
      </c>
      <c r="BZ117" s="61" t="s">
        <v>99</v>
      </c>
      <c r="CA117" s="46"/>
      <c r="CB117" s="65">
        <v>7994</v>
      </c>
      <c r="CC117" s="45">
        <v>3</v>
      </c>
      <c r="CD117" s="45">
        <v>2</v>
      </c>
      <c r="CE117" s="45">
        <f t="shared" si="16"/>
        <v>0.95424250943932487</v>
      </c>
      <c r="CG117" s="46"/>
      <c r="CH117" s="66" t="s">
        <v>106</v>
      </c>
      <c r="CI117" s="67">
        <v>3</v>
      </c>
      <c r="CJ117" s="68">
        <v>2</v>
      </c>
      <c r="CK117" s="68">
        <f t="shared" si="17"/>
        <v>0.95424250943932487</v>
      </c>
      <c r="CL117" s="68"/>
      <c r="CM117" s="69"/>
      <c r="CO117" s="70">
        <f t="shared" si="45"/>
        <v>2</v>
      </c>
      <c r="CQ117" s="45">
        <f t="shared" si="19"/>
        <v>0.24550166828251452</v>
      </c>
      <c r="CR117" s="45">
        <f t="shared" si="20"/>
        <v>1.7599554244151643</v>
      </c>
      <c r="CT117" s="71">
        <f t="shared" si="21"/>
        <v>1.2559985060094747</v>
      </c>
    </row>
    <row r="118" spans="1:98" ht="16">
      <c r="A118" s="36">
        <v>116</v>
      </c>
      <c r="B118" s="37"/>
      <c r="C118" s="37"/>
      <c r="D118" s="37"/>
      <c r="E118" s="38" t="s">
        <v>424</v>
      </c>
      <c r="F118" s="38" t="s">
        <v>425</v>
      </c>
      <c r="G118" s="38" t="s">
        <v>426</v>
      </c>
      <c r="H118" s="38" t="s">
        <v>83</v>
      </c>
      <c r="I118" s="72">
        <v>8</v>
      </c>
      <c r="J118" s="53" t="s">
        <v>88</v>
      </c>
      <c r="K118" s="42">
        <v>0</v>
      </c>
      <c r="L118" s="42">
        <v>2</v>
      </c>
      <c r="M118" s="42">
        <v>1</v>
      </c>
      <c r="N118" s="42">
        <f t="shared" si="0"/>
        <v>2</v>
      </c>
      <c r="O118" s="214" t="s">
        <v>807</v>
      </c>
      <c r="P118" s="53"/>
      <c r="Q118" s="43">
        <v>14</v>
      </c>
      <c r="R118" s="44">
        <f t="shared" si="40"/>
        <v>3</v>
      </c>
      <c r="S118" s="45">
        <v>1</v>
      </c>
      <c r="T118" s="45">
        <f t="shared" si="2"/>
        <v>3</v>
      </c>
      <c r="V118" s="46"/>
      <c r="W118" s="58" t="s">
        <v>258</v>
      </c>
      <c r="X118" s="73">
        <v>2.7</v>
      </c>
      <c r="Y118" s="44">
        <f t="shared" si="3"/>
        <v>2</v>
      </c>
      <c r="Z118" s="45">
        <v>1</v>
      </c>
      <c r="AA118" s="45">
        <f t="shared" si="4"/>
        <v>2</v>
      </c>
      <c r="AB118" s="45">
        <v>1</v>
      </c>
      <c r="AD118" s="49" t="s">
        <v>427</v>
      </c>
      <c r="AE118" s="50" t="s">
        <v>88</v>
      </c>
      <c r="AF118" s="50">
        <v>0</v>
      </c>
      <c r="AG118" s="50">
        <v>3</v>
      </c>
      <c r="AH118" s="50">
        <v>2</v>
      </c>
      <c r="AI118" s="50">
        <f t="shared" si="5"/>
        <v>6</v>
      </c>
      <c r="AJ118" s="50">
        <v>1</v>
      </c>
      <c r="AK118" s="51" t="s">
        <v>89</v>
      </c>
      <c r="AL118" s="61">
        <v>944</v>
      </c>
      <c r="AM118" s="53" t="s">
        <v>88</v>
      </c>
      <c r="AN118" s="42">
        <v>0</v>
      </c>
      <c r="AO118" s="54">
        <f t="shared" si="41"/>
        <v>1</v>
      </c>
      <c r="AP118" s="53">
        <v>2</v>
      </c>
      <c r="AQ118" s="53">
        <f t="shared" si="7"/>
        <v>2</v>
      </c>
      <c r="AR118" s="53"/>
      <c r="AS118" s="55"/>
      <c r="AT118" s="42">
        <v>1</v>
      </c>
      <c r="AU118" s="42" t="s">
        <v>88</v>
      </c>
      <c r="AV118" s="56">
        <v>0</v>
      </c>
      <c r="AW118" s="44">
        <f t="shared" si="8"/>
        <v>3</v>
      </c>
      <c r="AX118" s="42">
        <v>1</v>
      </c>
      <c r="AY118" s="42">
        <f t="shared" si="9"/>
        <v>3</v>
      </c>
      <c r="AZ118" s="42"/>
      <c r="BA118" s="42"/>
      <c r="BB118" s="57" t="s">
        <v>602</v>
      </c>
      <c r="BC118" s="58" t="s">
        <v>603</v>
      </c>
      <c r="BD118" s="58" t="s">
        <v>609</v>
      </c>
      <c r="BE118" s="59">
        <v>1</v>
      </c>
      <c r="BF118" s="58">
        <v>2</v>
      </c>
      <c r="BG118" s="58">
        <f t="shared" si="10"/>
        <v>0</v>
      </c>
      <c r="BH118" s="58" t="s">
        <v>605</v>
      </c>
      <c r="BI118" s="58" t="s">
        <v>610</v>
      </c>
      <c r="BJ118" s="60" t="s">
        <v>90</v>
      </c>
      <c r="BK118" s="61">
        <v>1</v>
      </c>
      <c r="BL118" s="62">
        <v>1</v>
      </c>
      <c r="BM118" s="62">
        <f t="shared" si="11"/>
        <v>0</v>
      </c>
      <c r="BN118" s="58" t="s">
        <v>607</v>
      </c>
      <c r="BO118" s="59"/>
      <c r="BP118" s="59">
        <v>33</v>
      </c>
      <c r="BQ118" s="63">
        <f t="shared" si="42"/>
        <v>1</v>
      </c>
      <c r="BR118" s="45">
        <v>1</v>
      </c>
      <c r="BS118" s="45">
        <f t="shared" si="13"/>
        <v>0</v>
      </c>
      <c r="BU118" s="46"/>
      <c r="BV118" s="64">
        <v>1.1666666670000001</v>
      </c>
      <c r="BW118" s="54">
        <f t="shared" si="43"/>
        <v>1</v>
      </c>
      <c r="BX118" s="45">
        <v>1</v>
      </c>
      <c r="BY118" s="45">
        <f t="shared" si="44"/>
        <v>0</v>
      </c>
      <c r="BZ118" s="61" t="s">
        <v>91</v>
      </c>
      <c r="CA118" s="46"/>
      <c r="CB118" s="65">
        <v>7955</v>
      </c>
      <c r="CC118" s="45">
        <v>3</v>
      </c>
      <c r="CD118" s="45">
        <v>2</v>
      </c>
      <c r="CE118" s="45">
        <f t="shared" si="16"/>
        <v>0.95424250943932487</v>
      </c>
      <c r="CG118" s="46"/>
      <c r="CH118" s="66">
        <v>2</v>
      </c>
      <c r="CI118" s="67">
        <v>3</v>
      </c>
      <c r="CJ118" s="68">
        <v>2</v>
      </c>
      <c r="CK118" s="68">
        <f t="shared" si="17"/>
        <v>0.95424250943932487</v>
      </c>
      <c r="CL118" s="68"/>
      <c r="CM118" s="69"/>
      <c r="CO118" s="70">
        <f t="shared" si="45"/>
        <v>1.7777777777777777</v>
      </c>
      <c r="CQ118" s="45">
        <f t="shared" si="19"/>
        <v>0.21205389098651664</v>
      </c>
      <c r="CR118" s="45">
        <f t="shared" si="20"/>
        <v>1.6294982222188463</v>
      </c>
      <c r="CT118" s="71">
        <f t="shared" si="21"/>
        <v>1.374807321871147</v>
      </c>
    </row>
    <row r="119" spans="1:98" ht="16">
      <c r="A119" s="36">
        <v>117</v>
      </c>
      <c r="B119" s="37"/>
      <c r="C119" s="37"/>
      <c r="D119" s="37"/>
      <c r="E119" s="38" t="s">
        <v>443</v>
      </c>
      <c r="F119" s="38" t="s">
        <v>444</v>
      </c>
      <c r="G119" s="38" t="s">
        <v>445</v>
      </c>
      <c r="H119" s="38" t="s">
        <v>152</v>
      </c>
      <c r="I119" s="72">
        <v>6</v>
      </c>
      <c r="J119" s="53" t="s">
        <v>88</v>
      </c>
      <c r="K119" s="42">
        <v>0</v>
      </c>
      <c r="L119" s="42">
        <v>2</v>
      </c>
      <c r="M119" s="42">
        <v>1</v>
      </c>
      <c r="N119" s="42">
        <f t="shared" si="0"/>
        <v>2</v>
      </c>
      <c r="O119" s="214" t="s">
        <v>808</v>
      </c>
      <c r="P119" s="53"/>
      <c r="Q119" s="43">
        <v>14.66666667</v>
      </c>
      <c r="R119" s="44">
        <f t="shared" si="40"/>
        <v>3</v>
      </c>
      <c r="S119" s="45">
        <v>1</v>
      </c>
      <c r="T119" s="45">
        <f t="shared" si="2"/>
        <v>3</v>
      </c>
      <c r="V119" s="46"/>
      <c r="W119" s="58" t="s">
        <v>446</v>
      </c>
      <c r="X119" s="73">
        <v>3.1</v>
      </c>
      <c r="Y119" s="44">
        <f t="shared" si="3"/>
        <v>2</v>
      </c>
      <c r="Z119" s="45">
        <v>1</v>
      </c>
      <c r="AA119" s="45">
        <f t="shared" si="4"/>
        <v>2</v>
      </c>
      <c r="AB119" s="45">
        <v>1</v>
      </c>
      <c r="AD119" s="49" t="s">
        <v>155</v>
      </c>
      <c r="AE119" s="50" t="s">
        <v>88</v>
      </c>
      <c r="AF119" s="50">
        <v>0</v>
      </c>
      <c r="AG119" s="50">
        <v>2</v>
      </c>
      <c r="AH119" s="50">
        <v>2</v>
      </c>
      <c r="AI119" s="50">
        <f t="shared" si="5"/>
        <v>4</v>
      </c>
      <c r="AJ119" s="50">
        <v>1</v>
      </c>
      <c r="AK119" s="51" t="s">
        <v>156</v>
      </c>
      <c r="AL119" s="61">
        <v>539520</v>
      </c>
      <c r="AM119" s="53" t="s">
        <v>146</v>
      </c>
      <c r="AN119" s="42">
        <v>2</v>
      </c>
      <c r="AO119" s="54">
        <f t="shared" si="41"/>
        <v>3</v>
      </c>
      <c r="AP119" s="53">
        <v>2</v>
      </c>
      <c r="AQ119" s="53">
        <f t="shared" si="7"/>
        <v>6</v>
      </c>
      <c r="AR119" s="53"/>
      <c r="AS119" s="55"/>
      <c r="AT119" s="42">
        <v>27.5</v>
      </c>
      <c r="AU119" s="42" t="s">
        <v>88</v>
      </c>
      <c r="AV119" s="56">
        <v>0</v>
      </c>
      <c r="AW119" s="44">
        <f t="shared" si="8"/>
        <v>2</v>
      </c>
      <c r="AX119" s="42">
        <v>1</v>
      </c>
      <c r="AY119" s="42">
        <f t="shared" si="9"/>
        <v>2</v>
      </c>
      <c r="AZ119" s="42"/>
      <c r="BA119" s="42"/>
      <c r="BB119" s="57" t="s">
        <v>602</v>
      </c>
      <c r="BC119" s="58" t="s">
        <v>603</v>
      </c>
      <c r="BD119" s="58" t="s">
        <v>609</v>
      </c>
      <c r="BE119" s="59">
        <v>1</v>
      </c>
      <c r="BF119" s="58">
        <v>2</v>
      </c>
      <c r="BG119" s="58">
        <f t="shared" si="10"/>
        <v>0</v>
      </c>
      <c r="BH119" s="58" t="s">
        <v>605</v>
      </c>
      <c r="BI119" s="58" t="s">
        <v>610</v>
      </c>
      <c r="BJ119" s="60" t="s">
        <v>90</v>
      </c>
      <c r="BK119" s="61">
        <v>1</v>
      </c>
      <c r="BL119" s="62">
        <v>1</v>
      </c>
      <c r="BM119" s="62">
        <f t="shared" si="11"/>
        <v>0</v>
      </c>
      <c r="BN119" s="58" t="s">
        <v>607</v>
      </c>
      <c r="BO119" s="59"/>
      <c r="BP119" s="59">
        <v>15.25</v>
      </c>
      <c r="BQ119" s="63">
        <f t="shared" si="42"/>
        <v>2</v>
      </c>
      <c r="BR119" s="45">
        <v>1</v>
      </c>
      <c r="BS119" s="45">
        <f t="shared" si="13"/>
        <v>0.3010299956639812</v>
      </c>
      <c r="BU119" s="46"/>
      <c r="BV119" s="64">
        <v>2.75</v>
      </c>
      <c r="BW119" s="54">
        <f t="shared" si="43"/>
        <v>2</v>
      </c>
      <c r="BX119" s="45">
        <v>1</v>
      </c>
      <c r="BY119" s="45">
        <f t="shared" si="44"/>
        <v>0.3010299956639812</v>
      </c>
      <c r="BZ119" s="61" t="s">
        <v>99</v>
      </c>
      <c r="CA119" s="46"/>
      <c r="CB119" s="65">
        <v>7916</v>
      </c>
      <c r="CC119" s="45">
        <v>3</v>
      </c>
      <c r="CD119" s="45">
        <v>2</v>
      </c>
      <c r="CE119" s="45">
        <f t="shared" si="16"/>
        <v>0.95424250943932487</v>
      </c>
      <c r="CG119" s="46"/>
      <c r="CH119" s="213" t="s">
        <v>92</v>
      </c>
      <c r="CI119" s="42">
        <v>3</v>
      </c>
      <c r="CJ119" s="68">
        <v>2</v>
      </c>
      <c r="CK119" s="68">
        <f t="shared" si="17"/>
        <v>0.95424250943932487</v>
      </c>
      <c r="CL119" s="68"/>
      <c r="CM119" s="69" t="s">
        <v>144</v>
      </c>
      <c r="CO119" s="70">
        <f t="shared" si="45"/>
        <v>1.8888888888888888</v>
      </c>
      <c r="CQ119" s="45">
        <f t="shared" si="19"/>
        <v>0.27894944557851242</v>
      </c>
      <c r="CR119" s="45">
        <f t="shared" si="20"/>
        <v>1.9008569961559403</v>
      </c>
      <c r="CT119" s="71">
        <f t="shared" si="21"/>
        <v>1.4304234438646732</v>
      </c>
    </row>
    <row r="120" spans="1:98" ht="16">
      <c r="A120" s="36">
        <v>118</v>
      </c>
      <c r="B120" s="37"/>
      <c r="C120" s="37"/>
      <c r="D120" s="37"/>
      <c r="E120" s="38" t="s">
        <v>535</v>
      </c>
      <c r="F120" s="38" t="s">
        <v>483</v>
      </c>
      <c r="G120" s="38" t="s">
        <v>536</v>
      </c>
      <c r="H120" s="38" t="s">
        <v>286</v>
      </c>
      <c r="I120" s="72">
        <v>6.75</v>
      </c>
      <c r="J120" s="53" t="s">
        <v>88</v>
      </c>
      <c r="K120" s="42">
        <v>0</v>
      </c>
      <c r="L120" s="42">
        <v>2</v>
      </c>
      <c r="M120" s="42">
        <v>1</v>
      </c>
      <c r="N120" s="42">
        <f t="shared" si="0"/>
        <v>2</v>
      </c>
      <c r="O120" s="53"/>
      <c r="P120" s="53"/>
      <c r="Q120" s="43">
        <v>23</v>
      </c>
      <c r="R120" s="44">
        <f t="shared" si="40"/>
        <v>3</v>
      </c>
      <c r="S120" s="45">
        <v>1</v>
      </c>
      <c r="T120" s="45">
        <f t="shared" si="2"/>
        <v>3</v>
      </c>
      <c r="V120" s="46"/>
      <c r="W120" s="58" t="s">
        <v>537</v>
      </c>
      <c r="X120" s="73">
        <v>3.7</v>
      </c>
      <c r="Y120" s="44">
        <f t="shared" si="3"/>
        <v>1</v>
      </c>
      <c r="Z120" s="45">
        <v>1</v>
      </c>
      <c r="AA120" s="45">
        <f t="shared" si="4"/>
        <v>1</v>
      </c>
      <c r="AB120" s="45">
        <v>1</v>
      </c>
      <c r="AD120" s="49" t="s">
        <v>288</v>
      </c>
      <c r="AE120" s="50" t="s">
        <v>88</v>
      </c>
      <c r="AF120" s="50">
        <v>0</v>
      </c>
      <c r="AG120" s="50">
        <v>3</v>
      </c>
      <c r="AH120" s="50">
        <v>2</v>
      </c>
      <c r="AI120" s="50">
        <f t="shared" si="5"/>
        <v>6</v>
      </c>
      <c r="AJ120" s="50">
        <v>1</v>
      </c>
      <c r="AK120" s="51" t="s">
        <v>135</v>
      </c>
      <c r="AL120" s="52">
        <v>10969</v>
      </c>
      <c r="AM120" s="53" t="s">
        <v>115</v>
      </c>
      <c r="AN120" s="42">
        <v>1</v>
      </c>
      <c r="AO120" s="54">
        <f t="shared" si="41"/>
        <v>2</v>
      </c>
      <c r="AP120" s="53">
        <v>2</v>
      </c>
      <c r="AQ120" s="53">
        <f t="shared" si="7"/>
        <v>4</v>
      </c>
      <c r="AR120" s="53"/>
      <c r="AS120" s="55"/>
      <c r="AT120" s="42">
        <v>44.3</v>
      </c>
      <c r="AU120" s="42" t="s">
        <v>88</v>
      </c>
      <c r="AV120" s="56">
        <v>0</v>
      </c>
      <c r="AW120" s="44">
        <f t="shared" si="8"/>
        <v>1</v>
      </c>
      <c r="AX120" s="42">
        <v>1</v>
      </c>
      <c r="AY120" s="42">
        <f t="shared" si="9"/>
        <v>1</v>
      </c>
      <c r="AZ120" s="42"/>
      <c r="BA120" s="42"/>
      <c r="BB120" s="57" t="s">
        <v>602</v>
      </c>
      <c r="BC120" s="58" t="s">
        <v>603</v>
      </c>
      <c r="BD120" s="58" t="s">
        <v>609</v>
      </c>
      <c r="BE120" s="59">
        <v>1</v>
      </c>
      <c r="BF120" s="58">
        <v>2</v>
      </c>
      <c r="BG120" s="58">
        <f t="shared" si="10"/>
        <v>0</v>
      </c>
      <c r="BH120" s="58" t="s">
        <v>605</v>
      </c>
      <c r="BI120" s="58" t="s">
        <v>610</v>
      </c>
      <c r="BJ120" s="81" t="s">
        <v>166</v>
      </c>
      <c r="BK120" s="61">
        <v>3</v>
      </c>
      <c r="BL120" s="62">
        <v>1</v>
      </c>
      <c r="BM120" s="62">
        <f t="shared" si="11"/>
        <v>0.47712125471966244</v>
      </c>
      <c r="BN120" s="58" t="s">
        <v>607</v>
      </c>
      <c r="BO120" s="59"/>
      <c r="BP120" s="59">
        <v>24.25</v>
      </c>
      <c r="BQ120" s="63">
        <f t="shared" si="42"/>
        <v>2</v>
      </c>
      <c r="BR120" s="45">
        <v>1</v>
      </c>
      <c r="BS120" s="45">
        <f t="shared" si="13"/>
        <v>0.3010299956639812</v>
      </c>
      <c r="BU120" s="46"/>
      <c r="BV120" s="64">
        <v>1.6666666670000001</v>
      </c>
      <c r="BW120" s="54">
        <f t="shared" si="43"/>
        <v>1</v>
      </c>
      <c r="BX120" s="45">
        <v>1</v>
      </c>
      <c r="BY120" s="45">
        <f t="shared" si="44"/>
        <v>0</v>
      </c>
      <c r="BZ120" s="61" t="s">
        <v>91</v>
      </c>
      <c r="CA120" s="46"/>
      <c r="CB120" s="65">
        <v>7855</v>
      </c>
      <c r="CC120" s="45">
        <v>3</v>
      </c>
      <c r="CD120" s="45">
        <v>2</v>
      </c>
      <c r="CE120" s="45">
        <f t="shared" si="16"/>
        <v>0.95424250943932487</v>
      </c>
      <c r="CG120" s="46"/>
      <c r="CH120" s="66" t="s">
        <v>92</v>
      </c>
      <c r="CI120" s="67">
        <v>3</v>
      </c>
      <c r="CJ120" s="68">
        <v>2</v>
      </c>
      <c r="CK120" s="68">
        <f t="shared" si="17"/>
        <v>0.95424250943932487</v>
      </c>
      <c r="CL120" s="68"/>
      <c r="CM120" s="69"/>
      <c r="CO120" s="70">
        <f t="shared" si="45"/>
        <v>1.6666666666666667</v>
      </c>
      <c r="CQ120" s="45">
        <f t="shared" si="19"/>
        <v>0.29851514102914373</v>
      </c>
      <c r="CR120" s="45">
        <f t="shared" si="20"/>
        <v>1.9884521336051839</v>
      </c>
      <c r="CT120" s="71">
        <f t="shared" si="21"/>
        <v>1.6597636573339043</v>
      </c>
    </row>
    <row r="121" spans="1:98" ht="16">
      <c r="A121" s="36">
        <v>119</v>
      </c>
      <c r="B121" s="37"/>
      <c r="C121" s="37"/>
      <c r="D121" s="37"/>
      <c r="E121" s="38" t="s">
        <v>809</v>
      </c>
      <c r="F121" s="38" t="s">
        <v>182</v>
      </c>
      <c r="G121" s="38" t="s">
        <v>810</v>
      </c>
      <c r="H121" s="38" t="s">
        <v>184</v>
      </c>
      <c r="I121" s="72">
        <v>4</v>
      </c>
      <c r="J121" s="53" t="s">
        <v>88</v>
      </c>
      <c r="K121" s="42">
        <v>0</v>
      </c>
      <c r="L121" s="42">
        <v>3</v>
      </c>
      <c r="M121" s="42">
        <v>1</v>
      </c>
      <c r="N121" s="42">
        <f t="shared" si="0"/>
        <v>3</v>
      </c>
      <c r="O121" s="53"/>
      <c r="P121" s="53"/>
      <c r="Q121" s="43">
        <v>12</v>
      </c>
      <c r="R121" s="44">
        <f t="shared" si="40"/>
        <v>3</v>
      </c>
      <c r="S121" s="45">
        <v>1</v>
      </c>
      <c r="T121" s="45">
        <f t="shared" si="2"/>
        <v>3</v>
      </c>
      <c r="V121" s="46"/>
      <c r="W121" s="58" t="s">
        <v>185</v>
      </c>
      <c r="X121" s="73">
        <v>3.4</v>
      </c>
      <c r="Y121" s="44">
        <f t="shared" si="3"/>
        <v>2</v>
      </c>
      <c r="Z121" s="45">
        <v>1</v>
      </c>
      <c r="AA121" s="45">
        <f t="shared" si="4"/>
        <v>2</v>
      </c>
      <c r="AB121" s="45">
        <v>1</v>
      </c>
      <c r="AD121" s="49" t="s">
        <v>163</v>
      </c>
      <c r="AE121" s="50" t="s">
        <v>146</v>
      </c>
      <c r="AF121" s="50">
        <v>2</v>
      </c>
      <c r="AG121" s="50">
        <v>3</v>
      </c>
      <c r="AH121" s="50">
        <v>2</v>
      </c>
      <c r="AI121" s="50">
        <f t="shared" si="5"/>
        <v>6</v>
      </c>
      <c r="AJ121" s="50" t="s">
        <v>645</v>
      </c>
      <c r="AK121" s="51" t="s">
        <v>186</v>
      </c>
      <c r="AL121" s="61">
        <v>37975</v>
      </c>
      <c r="AM121" s="53" t="s">
        <v>146</v>
      </c>
      <c r="AN121" s="42">
        <v>2</v>
      </c>
      <c r="AO121" s="54">
        <f t="shared" si="41"/>
        <v>3</v>
      </c>
      <c r="AP121" s="53">
        <v>2</v>
      </c>
      <c r="AQ121" s="53">
        <f t="shared" si="7"/>
        <v>6</v>
      </c>
      <c r="AR121" s="53"/>
      <c r="AS121" s="55"/>
      <c r="AT121" s="53">
        <v>30.5</v>
      </c>
      <c r="AU121" s="42" t="s">
        <v>146</v>
      </c>
      <c r="AV121" s="44">
        <v>2</v>
      </c>
      <c r="AW121" s="44">
        <f t="shared" si="8"/>
        <v>1</v>
      </c>
      <c r="AX121" s="42">
        <v>1</v>
      </c>
      <c r="AY121" s="42">
        <f t="shared" si="9"/>
        <v>1</v>
      </c>
      <c r="AZ121" s="42" t="s">
        <v>466</v>
      </c>
      <c r="BA121" s="53" t="s">
        <v>646</v>
      </c>
      <c r="BB121" s="57" t="s">
        <v>622</v>
      </c>
      <c r="BC121" s="58" t="s">
        <v>622</v>
      </c>
      <c r="BD121" s="58" t="s">
        <v>623</v>
      </c>
      <c r="BE121" s="59">
        <v>3</v>
      </c>
      <c r="BF121" s="58">
        <v>2</v>
      </c>
      <c r="BG121" s="58">
        <f t="shared" si="10"/>
        <v>0.95424250943932487</v>
      </c>
      <c r="BH121" s="58" t="s">
        <v>605</v>
      </c>
      <c r="BI121" s="58" t="s">
        <v>811</v>
      </c>
      <c r="BJ121" s="60" t="s">
        <v>90</v>
      </c>
      <c r="BK121" s="61">
        <v>1</v>
      </c>
      <c r="BL121" s="62">
        <v>1</v>
      </c>
      <c r="BM121" s="62">
        <f t="shared" si="11"/>
        <v>0</v>
      </c>
      <c r="BN121" s="58" t="s">
        <v>607</v>
      </c>
      <c r="BO121" s="59"/>
      <c r="BP121" s="59">
        <v>6.5</v>
      </c>
      <c r="BQ121" s="63">
        <f t="shared" si="42"/>
        <v>3</v>
      </c>
      <c r="BR121" s="45">
        <v>1</v>
      </c>
      <c r="BS121" s="45">
        <f t="shared" si="13"/>
        <v>0.47712125471966244</v>
      </c>
      <c r="BU121" s="46"/>
      <c r="BV121" s="64">
        <v>2.5</v>
      </c>
      <c r="BW121" s="54">
        <f t="shared" si="43"/>
        <v>2</v>
      </c>
      <c r="BX121" s="45">
        <v>1</v>
      </c>
      <c r="BY121" s="45">
        <f t="shared" si="44"/>
        <v>0.3010299956639812</v>
      </c>
      <c r="BZ121" s="61">
        <v>46</v>
      </c>
      <c r="CA121" s="46"/>
      <c r="CB121" s="65">
        <v>7834</v>
      </c>
      <c r="CC121" s="45">
        <v>3</v>
      </c>
      <c r="CD121" s="45">
        <v>2</v>
      </c>
      <c r="CE121" s="45">
        <f t="shared" si="16"/>
        <v>0.95424250943932487</v>
      </c>
      <c r="CG121" s="46"/>
      <c r="CH121" s="66" t="s">
        <v>137</v>
      </c>
      <c r="CI121" s="67">
        <v>2</v>
      </c>
      <c r="CJ121" s="68">
        <v>2</v>
      </c>
      <c r="CK121" s="68">
        <f t="shared" si="17"/>
        <v>0.6020599913279624</v>
      </c>
      <c r="CL121" s="68"/>
      <c r="CM121" s="69"/>
      <c r="CO121" s="70">
        <f t="shared" si="45"/>
        <v>2</v>
      </c>
      <c r="CQ121" s="45">
        <f t="shared" si="19"/>
        <v>0.36541069562113954</v>
      </c>
      <c r="CR121" s="45">
        <f t="shared" si="20"/>
        <v>2.3195871576575349</v>
      </c>
      <c r="CT121" s="71">
        <f t="shared" si="21"/>
        <v>1.655690268937609</v>
      </c>
    </row>
    <row r="122" spans="1:98" ht="16">
      <c r="A122" s="36">
        <v>120</v>
      </c>
      <c r="B122" s="37"/>
      <c r="C122" s="37"/>
      <c r="D122" s="37"/>
      <c r="E122" s="38" t="s">
        <v>435</v>
      </c>
      <c r="F122" s="38" t="s">
        <v>436</v>
      </c>
      <c r="G122" s="38" t="s">
        <v>437</v>
      </c>
      <c r="H122" s="38" t="s">
        <v>177</v>
      </c>
      <c r="I122" s="72">
        <v>9</v>
      </c>
      <c r="J122" s="53" t="s">
        <v>88</v>
      </c>
      <c r="K122" s="42">
        <v>0</v>
      </c>
      <c r="L122" s="42">
        <v>2</v>
      </c>
      <c r="M122" s="42">
        <v>1</v>
      </c>
      <c r="N122" s="42">
        <f t="shared" si="0"/>
        <v>2</v>
      </c>
      <c r="O122" s="53"/>
      <c r="P122" s="53"/>
      <c r="Q122" s="43">
        <v>16</v>
      </c>
      <c r="R122" s="44">
        <f t="shared" si="40"/>
        <v>3</v>
      </c>
      <c r="S122" s="45">
        <v>1</v>
      </c>
      <c r="T122" s="45">
        <f t="shared" si="2"/>
        <v>3</v>
      </c>
      <c r="V122" s="46"/>
      <c r="W122" s="58"/>
      <c r="X122" s="88">
        <v>2</v>
      </c>
      <c r="Y122" s="44">
        <f t="shared" si="3"/>
        <v>3</v>
      </c>
      <c r="Z122" s="45">
        <v>1</v>
      </c>
      <c r="AA122" s="45">
        <f t="shared" si="4"/>
        <v>3</v>
      </c>
      <c r="AB122" s="45" t="s">
        <v>812</v>
      </c>
      <c r="AC122" s="45" t="s">
        <v>813</v>
      </c>
      <c r="AD122" s="49" t="s">
        <v>163</v>
      </c>
      <c r="AE122" s="50" t="s">
        <v>146</v>
      </c>
      <c r="AF122" s="50">
        <v>2</v>
      </c>
      <c r="AG122" s="50">
        <v>3</v>
      </c>
      <c r="AH122" s="50">
        <v>2</v>
      </c>
      <c r="AI122" s="50">
        <f t="shared" si="5"/>
        <v>6</v>
      </c>
      <c r="AJ122" s="50" t="s">
        <v>645</v>
      </c>
      <c r="AK122" s="51" t="s">
        <v>240</v>
      </c>
      <c r="AL122" s="80">
        <v>38487</v>
      </c>
      <c r="AM122" s="53" t="s">
        <v>146</v>
      </c>
      <c r="AN122" s="42">
        <v>2</v>
      </c>
      <c r="AO122" s="54">
        <f t="shared" si="41"/>
        <v>3</v>
      </c>
      <c r="AP122" s="53">
        <v>2</v>
      </c>
      <c r="AQ122" s="53">
        <f t="shared" si="7"/>
        <v>6</v>
      </c>
      <c r="AR122" s="53"/>
      <c r="AS122" s="55"/>
      <c r="AT122" s="42">
        <v>58.5</v>
      </c>
      <c r="AU122" s="42" t="s">
        <v>115</v>
      </c>
      <c r="AV122" s="44">
        <v>1</v>
      </c>
      <c r="AW122" s="44">
        <f t="shared" si="8"/>
        <v>1</v>
      </c>
      <c r="AX122" s="42">
        <v>1</v>
      </c>
      <c r="AY122" s="42">
        <f t="shared" si="9"/>
        <v>1</v>
      </c>
      <c r="AZ122" s="42" t="s">
        <v>438</v>
      </c>
      <c r="BA122" s="53" t="s">
        <v>814</v>
      </c>
      <c r="BB122" s="57" t="s">
        <v>602</v>
      </c>
      <c r="BC122" s="58" t="s">
        <v>603</v>
      </c>
      <c r="BD122" s="58" t="s">
        <v>604</v>
      </c>
      <c r="BE122" s="59">
        <v>2</v>
      </c>
      <c r="BF122" s="58">
        <v>2</v>
      </c>
      <c r="BG122" s="58">
        <f t="shared" si="10"/>
        <v>0.6020599913279624</v>
      </c>
      <c r="BH122" s="58" t="s">
        <v>605</v>
      </c>
      <c r="BI122" s="58" t="s">
        <v>815</v>
      </c>
      <c r="BJ122" s="81" t="s">
        <v>166</v>
      </c>
      <c r="BK122" s="61">
        <v>3</v>
      </c>
      <c r="BL122" s="62">
        <v>1</v>
      </c>
      <c r="BM122" s="62">
        <f t="shared" si="11"/>
        <v>0.47712125471966244</v>
      </c>
      <c r="BN122" s="58" t="s">
        <v>607</v>
      </c>
      <c r="BO122" s="59"/>
      <c r="BP122" s="59">
        <v>24</v>
      </c>
      <c r="BQ122" s="63">
        <f t="shared" si="42"/>
        <v>2</v>
      </c>
      <c r="BR122" s="45">
        <v>1</v>
      </c>
      <c r="BS122" s="45">
        <f t="shared" si="13"/>
        <v>0.3010299956639812</v>
      </c>
      <c r="BU122" s="46"/>
      <c r="BV122" s="64">
        <v>2.3333333330000001</v>
      </c>
      <c r="BW122" s="54">
        <f t="shared" si="43"/>
        <v>1</v>
      </c>
      <c r="BX122" s="45">
        <v>1</v>
      </c>
      <c r="BY122" s="45">
        <f t="shared" si="44"/>
        <v>0</v>
      </c>
      <c r="BZ122" s="61" t="s">
        <v>91</v>
      </c>
      <c r="CA122" s="46"/>
      <c r="CB122" s="65">
        <v>7823</v>
      </c>
      <c r="CC122" s="45">
        <v>3</v>
      </c>
      <c r="CD122" s="45">
        <v>2</v>
      </c>
      <c r="CE122" s="45">
        <f t="shared" si="16"/>
        <v>0.95424250943932487</v>
      </c>
      <c r="CG122" s="46"/>
      <c r="CH122" s="66" t="s">
        <v>250</v>
      </c>
      <c r="CI122" s="67">
        <v>3</v>
      </c>
      <c r="CJ122" s="68">
        <v>2</v>
      </c>
      <c r="CK122" s="68">
        <f t="shared" si="17"/>
        <v>0.95424250943932487</v>
      </c>
      <c r="CL122" s="68"/>
      <c r="CM122" s="69"/>
      <c r="CO122" s="70">
        <f t="shared" si="45"/>
        <v>2.1111111111111112</v>
      </c>
      <c r="CQ122" s="45">
        <f t="shared" si="19"/>
        <v>0.36541069562113954</v>
      </c>
      <c r="CR122" s="45">
        <f t="shared" si="20"/>
        <v>2.3195871576575349</v>
      </c>
      <c r="CT122" s="71">
        <f t="shared" si="21"/>
        <v>1.5910479953303782</v>
      </c>
    </row>
    <row r="123" spans="1:98" ht="16">
      <c r="A123" s="36">
        <v>121</v>
      </c>
      <c r="B123" s="37"/>
      <c r="C123" s="37"/>
      <c r="D123" s="37"/>
      <c r="E123" s="38" t="s">
        <v>816</v>
      </c>
      <c r="F123" s="38" t="s">
        <v>817</v>
      </c>
      <c r="G123" s="38" t="s">
        <v>818</v>
      </c>
      <c r="H123" s="38" t="s">
        <v>819</v>
      </c>
      <c r="I123" s="72">
        <v>10</v>
      </c>
      <c r="J123" s="53" t="s">
        <v>88</v>
      </c>
      <c r="K123" s="42">
        <v>0</v>
      </c>
      <c r="L123" s="42">
        <v>2</v>
      </c>
      <c r="M123" s="42">
        <v>1</v>
      </c>
      <c r="N123" s="42">
        <f t="shared" si="0"/>
        <v>2</v>
      </c>
      <c r="O123" s="53"/>
      <c r="P123" s="53"/>
      <c r="Q123" s="43">
        <v>8</v>
      </c>
      <c r="R123" s="44">
        <f t="shared" si="40"/>
        <v>3</v>
      </c>
      <c r="S123" s="45">
        <v>1</v>
      </c>
      <c r="T123" s="45">
        <f t="shared" si="2"/>
        <v>3</v>
      </c>
      <c r="V123" s="46"/>
      <c r="W123" s="58" t="s">
        <v>406</v>
      </c>
      <c r="X123" s="73">
        <v>3.1</v>
      </c>
      <c r="Y123" s="44">
        <f t="shared" si="3"/>
        <v>2</v>
      </c>
      <c r="Z123" s="45">
        <v>1</v>
      </c>
      <c r="AA123" s="45">
        <f t="shared" si="4"/>
        <v>2</v>
      </c>
      <c r="AB123" s="45">
        <v>1</v>
      </c>
      <c r="AD123" s="49" t="s">
        <v>820</v>
      </c>
      <c r="AE123" s="50" t="s">
        <v>88</v>
      </c>
      <c r="AF123" s="50">
        <v>0</v>
      </c>
      <c r="AG123" s="50">
        <v>3</v>
      </c>
      <c r="AH123" s="50">
        <v>2</v>
      </c>
      <c r="AI123" s="50">
        <f t="shared" si="5"/>
        <v>6</v>
      </c>
      <c r="AJ123" s="50">
        <v>1</v>
      </c>
      <c r="AK123" s="51" t="s">
        <v>821</v>
      </c>
      <c r="AL123" s="61">
        <v>2492</v>
      </c>
      <c r="AM123" s="53" t="s">
        <v>88</v>
      </c>
      <c r="AN123" s="42">
        <v>0</v>
      </c>
      <c r="AO123" s="54">
        <f t="shared" si="41"/>
        <v>2</v>
      </c>
      <c r="AP123" s="53">
        <v>2</v>
      </c>
      <c r="AQ123" s="53">
        <f t="shared" si="7"/>
        <v>4</v>
      </c>
      <c r="AR123" s="53"/>
      <c r="AS123" s="55" t="s">
        <v>822</v>
      </c>
      <c r="AT123" s="53">
        <v>20.9</v>
      </c>
      <c r="AU123" s="42" t="s">
        <v>115</v>
      </c>
      <c r="AV123" s="44">
        <v>1</v>
      </c>
      <c r="AW123" s="44">
        <f t="shared" si="8"/>
        <v>2</v>
      </c>
      <c r="AX123" s="42">
        <v>1</v>
      </c>
      <c r="AY123" s="42">
        <f t="shared" si="9"/>
        <v>2</v>
      </c>
      <c r="AZ123" s="42" t="s">
        <v>340</v>
      </c>
      <c r="BA123" s="53" t="s">
        <v>823</v>
      </c>
      <c r="BB123" s="57" t="s">
        <v>602</v>
      </c>
      <c r="BC123" s="58" t="s">
        <v>603</v>
      </c>
      <c r="BD123" s="58" t="s">
        <v>609</v>
      </c>
      <c r="BE123" s="59">
        <v>1</v>
      </c>
      <c r="BF123" s="58">
        <v>2</v>
      </c>
      <c r="BG123" s="58">
        <f t="shared" si="10"/>
        <v>0</v>
      </c>
      <c r="BH123" s="58" t="s">
        <v>605</v>
      </c>
      <c r="BI123" s="58" t="s">
        <v>610</v>
      </c>
      <c r="BJ123" s="60" t="s">
        <v>90</v>
      </c>
      <c r="BK123" s="61">
        <v>1</v>
      </c>
      <c r="BL123" s="62">
        <v>1</v>
      </c>
      <c r="BM123" s="62">
        <f t="shared" si="11"/>
        <v>0</v>
      </c>
      <c r="BN123" s="58" t="s">
        <v>607</v>
      </c>
      <c r="BO123" s="59"/>
      <c r="BP123" s="59">
        <v>46</v>
      </c>
      <c r="BQ123" s="63">
        <f t="shared" si="42"/>
        <v>1</v>
      </c>
      <c r="BR123" s="45">
        <v>1</v>
      </c>
      <c r="BS123" s="45">
        <f t="shared" si="13"/>
        <v>0</v>
      </c>
      <c r="BU123" s="46"/>
      <c r="BV123" s="64">
        <v>1.25</v>
      </c>
      <c r="BW123" s="54">
        <f t="shared" si="43"/>
        <v>1</v>
      </c>
      <c r="BX123" s="45">
        <v>1</v>
      </c>
      <c r="BY123" s="45">
        <f t="shared" si="44"/>
        <v>0</v>
      </c>
      <c r="BZ123" s="61" t="s">
        <v>99</v>
      </c>
      <c r="CA123" s="46"/>
      <c r="CB123" s="65">
        <v>7795</v>
      </c>
      <c r="CC123" s="45">
        <v>3</v>
      </c>
      <c r="CD123" s="45">
        <v>2</v>
      </c>
      <c r="CE123" s="45">
        <f t="shared" si="16"/>
        <v>0.95424250943932487</v>
      </c>
      <c r="CG123" s="46"/>
      <c r="CH123" s="66" t="s">
        <v>92</v>
      </c>
      <c r="CI123" s="67">
        <v>3</v>
      </c>
      <c r="CJ123" s="68">
        <v>2</v>
      </c>
      <c r="CK123" s="68">
        <f t="shared" si="17"/>
        <v>0.95424250943932487</v>
      </c>
      <c r="CL123" s="68"/>
      <c r="CM123" s="69" t="s">
        <v>144</v>
      </c>
      <c r="CO123" s="70">
        <f t="shared" si="45"/>
        <v>1.8888888888888888</v>
      </c>
      <c r="CQ123" s="45">
        <f t="shared" si="19"/>
        <v>0.21205389098651664</v>
      </c>
      <c r="CR123" s="45">
        <f t="shared" si="20"/>
        <v>1.6294982222188463</v>
      </c>
      <c r="CT123" s="71">
        <f t="shared" si="21"/>
        <v>1.2770418603206617</v>
      </c>
    </row>
    <row r="124" spans="1:98" ht="16">
      <c r="A124" s="36">
        <v>122</v>
      </c>
      <c r="B124" s="37"/>
      <c r="C124" s="37"/>
      <c r="D124" s="37"/>
      <c r="E124" s="38" t="s">
        <v>824</v>
      </c>
      <c r="F124" s="38" t="s">
        <v>158</v>
      </c>
      <c r="G124" s="38" t="s">
        <v>825</v>
      </c>
      <c r="H124" s="38" t="s">
        <v>160</v>
      </c>
      <c r="I124" s="72">
        <v>6.5</v>
      </c>
      <c r="J124" s="53" t="s">
        <v>88</v>
      </c>
      <c r="K124" s="42">
        <v>0</v>
      </c>
      <c r="L124" s="42">
        <v>2</v>
      </c>
      <c r="M124" s="42">
        <v>1</v>
      </c>
      <c r="N124" s="42">
        <f t="shared" si="0"/>
        <v>2</v>
      </c>
      <c r="O124" s="53"/>
      <c r="P124" s="53"/>
      <c r="Q124" s="43">
        <v>13.66666667</v>
      </c>
      <c r="R124" s="44">
        <f t="shared" si="40"/>
        <v>3</v>
      </c>
      <c r="S124" s="45">
        <v>1</v>
      </c>
      <c r="T124" s="45">
        <f t="shared" si="2"/>
        <v>3</v>
      </c>
      <c r="V124" s="46"/>
      <c r="W124" s="58" t="s">
        <v>826</v>
      </c>
      <c r="X124" s="73">
        <v>2.7</v>
      </c>
      <c r="Y124" s="44">
        <f t="shared" si="3"/>
        <v>2</v>
      </c>
      <c r="Z124" s="45">
        <v>1</v>
      </c>
      <c r="AA124" s="45">
        <f t="shared" si="4"/>
        <v>2</v>
      </c>
      <c r="AB124" s="45">
        <v>1</v>
      </c>
      <c r="AD124" s="49" t="s">
        <v>163</v>
      </c>
      <c r="AE124" s="50" t="s">
        <v>146</v>
      </c>
      <c r="AF124" s="50">
        <v>2</v>
      </c>
      <c r="AG124" s="50">
        <v>3</v>
      </c>
      <c r="AH124" s="50">
        <v>2</v>
      </c>
      <c r="AI124" s="50">
        <f t="shared" si="5"/>
        <v>6</v>
      </c>
      <c r="AJ124" s="50" t="s">
        <v>633</v>
      </c>
      <c r="AK124" s="51" t="s">
        <v>165</v>
      </c>
      <c r="AL124" s="61">
        <v>53556</v>
      </c>
      <c r="AM124" s="53" t="s">
        <v>115</v>
      </c>
      <c r="AN124" s="42">
        <v>1</v>
      </c>
      <c r="AO124" s="54">
        <f t="shared" si="41"/>
        <v>3</v>
      </c>
      <c r="AP124" s="53">
        <v>2</v>
      </c>
      <c r="AQ124" s="53">
        <f t="shared" si="7"/>
        <v>6</v>
      </c>
      <c r="AR124" s="53"/>
      <c r="AS124" s="55"/>
      <c r="AT124" s="42">
        <v>25.3</v>
      </c>
      <c r="AU124" s="42" t="s">
        <v>88</v>
      </c>
      <c r="AV124" s="56">
        <v>0</v>
      </c>
      <c r="AW124" s="44">
        <f t="shared" si="8"/>
        <v>2</v>
      </c>
      <c r="AX124" s="42">
        <v>1</v>
      </c>
      <c r="AY124" s="42">
        <f t="shared" si="9"/>
        <v>2</v>
      </c>
      <c r="AZ124" s="42"/>
      <c r="BA124" s="42"/>
      <c r="BB124" s="57" t="s">
        <v>602</v>
      </c>
      <c r="BC124" s="58" t="s">
        <v>603</v>
      </c>
      <c r="BD124" s="58" t="s">
        <v>604</v>
      </c>
      <c r="BE124" s="59">
        <v>2</v>
      </c>
      <c r="BF124" s="58">
        <v>2</v>
      </c>
      <c r="BG124" s="58">
        <f t="shared" si="10"/>
        <v>0.6020599913279624</v>
      </c>
      <c r="BH124" s="58" t="s">
        <v>605</v>
      </c>
      <c r="BI124" s="58" t="s">
        <v>626</v>
      </c>
      <c r="BJ124" s="81" t="s">
        <v>166</v>
      </c>
      <c r="BK124" s="61">
        <v>3</v>
      </c>
      <c r="BL124" s="62">
        <v>1</v>
      </c>
      <c r="BM124" s="62">
        <f t="shared" si="11"/>
        <v>0.47712125471966244</v>
      </c>
      <c r="BN124" s="58" t="s">
        <v>607</v>
      </c>
      <c r="BO124" s="59"/>
      <c r="BP124" s="59">
        <v>14</v>
      </c>
      <c r="BQ124" s="63">
        <f t="shared" si="42"/>
        <v>2</v>
      </c>
      <c r="BR124" s="45">
        <v>1</v>
      </c>
      <c r="BS124" s="45">
        <f t="shared" si="13"/>
        <v>0.3010299956639812</v>
      </c>
      <c r="BU124" s="46"/>
      <c r="BV124" s="64">
        <v>1.875</v>
      </c>
      <c r="BW124" s="54">
        <f t="shared" si="43"/>
        <v>1</v>
      </c>
      <c r="BX124" s="45">
        <v>1</v>
      </c>
      <c r="BY124" s="45">
        <f t="shared" si="44"/>
        <v>0</v>
      </c>
      <c r="BZ124" s="61" t="s">
        <v>99</v>
      </c>
      <c r="CA124" s="46"/>
      <c r="CB124" s="65">
        <v>7700</v>
      </c>
      <c r="CC124" s="45">
        <v>3</v>
      </c>
      <c r="CD124" s="45">
        <v>2</v>
      </c>
      <c r="CE124" s="45">
        <f t="shared" si="16"/>
        <v>0.95424250943932487</v>
      </c>
      <c r="CG124" s="46"/>
      <c r="CH124" s="66" t="s">
        <v>92</v>
      </c>
      <c r="CI124" s="67">
        <v>3</v>
      </c>
      <c r="CJ124" s="68">
        <v>2</v>
      </c>
      <c r="CK124" s="68">
        <f t="shared" si="17"/>
        <v>0.95424250943932487</v>
      </c>
      <c r="CL124" s="68"/>
      <c r="CM124" s="69"/>
      <c r="CO124" s="70">
        <f t="shared" si="45"/>
        <v>2.1111111111111112</v>
      </c>
      <c r="CQ124" s="45">
        <f t="shared" si="19"/>
        <v>0.36541069562113954</v>
      </c>
      <c r="CR124" s="45">
        <f t="shared" si="20"/>
        <v>2.3195871576575349</v>
      </c>
      <c r="CT124" s="71">
        <f t="shared" si="21"/>
        <v>1.5910479953303782</v>
      </c>
    </row>
    <row r="125" spans="1:98" ht="16">
      <c r="A125" s="36">
        <v>123</v>
      </c>
      <c r="B125" s="37"/>
      <c r="C125" s="37"/>
      <c r="D125" s="37"/>
      <c r="E125" s="38" t="s">
        <v>827</v>
      </c>
      <c r="F125" s="38" t="s">
        <v>386</v>
      </c>
      <c r="G125" s="38" t="s">
        <v>828</v>
      </c>
      <c r="H125" s="38" t="s">
        <v>170</v>
      </c>
      <c r="I125" s="72">
        <v>6.5</v>
      </c>
      <c r="J125" s="53" t="s">
        <v>88</v>
      </c>
      <c r="K125" s="42">
        <v>0</v>
      </c>
      <c r="L125" s="42">
        <v>2</v>
      </c>
      <c r="M125" s="42">
        <v>1</v>
      </c>
      <c r="N125" s="42">
        <f t="shared" si="0"/>
        <v>2</v>
      </c>
      <c r="O125" s="53"/>
      <c r="P125" s="53"/>
      <c r="Q125" s="43">
        <v>13</v>
      </c>
      <c r="R125" s="44">
        <f t="shared" si="40"/>
        <v>3</v>
      </c>
      <c r="S125" s="45">
        <v>1</v>
      </c>
      <c r="T125" s="45">
        <f t="shared" si="2"/>
        <v>3</v>
      </c>
      <c r="V125" s="46"/>
      <c r="W125" s="58" t="s">
        <v>829</v>
      </c>
      <c r="X125" s="73">
        <v>2.6</v>
      </c>
      <c r="Y125" s="44">
        <f t="shared" si="3"/>
        <v>2</v>
      </c>
      <c r="Z125" s="45">
        <v>1</v>
      </c>
      <c r="AA125" s="45">
        <f t="shared" si="4"/>
        <v>2</v>
      </c>
      <c r="AB125" s="45">
        <v>1</v>
      </c>
      <c r="AD125" s="49" t="s">
        <v>172</v>
      </c>
      <c r="AE125" s="50" t="s">
        <v>88</v>
      </c>
      <c r="AF125" s="50">
        <v>0</v>
      </c>
      <c r="AG125" s="50">
        <v>3</v>
      </c>
      <c r="AH125" s="50">
        <v>2</v>
      </c>
      <c r="AI125" s="50">
        <f t="shared" si="5"/>
        <v>6</v>
      </c>
      <c r="AJ125" s="50">
        <v>1</v>
      </c>
      <c r="AK125" s="51" t="s">
        <v>114</v>
      </c>
      <c r="AL125" s="61">
        <v>11700</v>
      </c>
      <c r="AM125" s="53" t="s">
        <v>88</v>
      </c>
      <c r="AN125" s="42">
        <v>0</v>
      </c>
      <c r="AO125" s="54">
        <f t="shared" si="41"/>
        <v>2</v>
      </c>
      <c r="AP125" s="53">
        <v>2</v>
      </c>
      <c r="AQ125" s="53">
        <f t="shared" si="7"/>
        <v>4</v>
      </c>
      <c r="AR125" s="53"/>
      <c r="AS125" s="55"/>
      <c r="AT125" s="53">
        <v>44</v>
      </c>
      <c r="AU125" s="42" t="s">
        <v>146</v>
      </c>
      <c r="AV125" s="44">
        <v>2</v>
      </c>
      <c r="AW125" s="44">
        <f t="shared" si="8"/>
        <v>1</v>
      </c>
      <c r="AX125" s="42">
        <v>1</v>
      </c>
      <c r="AY125" s="42">
        <f t="shared" si="9"/>
        <v>1</v>
      </c>
      <c r="AZ125" s="42" t="s">
        <v>173</v>
      </c>
      <c r="BA125" s="53" t="s">
        <v>632</v>
      </c>
      <c r="BB125" s="57" t="s">
        <v>602</v>
      </c>
      <c r="BC125" s="58" t="s">
        <v>603</v>
      </c>
      <c r="BD125" s="58" t="s">
        <v>609</v>
      </c>
      <c r="BE125" s="59">
        <v>1</v>
      </c>
      <c r="BF125" s="58">
        <v>2</v>
      </c>
      <c r="BG125" s="58">
        <f t="shared" si="10"/>
        <v>0</v>
      </c>
      <c r="BH125" s="58" t="s">
        <v>605</v>
      </c>
      <c r="BI125" s="58" t="s">
        <v>731</v>
      </c>
      <c r="BJ125" s="60" t="s">
        <v>90</v>
      </c>
      <c r="BK125" s="61">
        <v>1</v>
      </c>
      <c r="BL125" s="62">
        <v>1</v>
      </c>
      <c r="BM125" s="62">
        <f t="shared" si="11"/>
        <v>0</v>
      </c>
      <c r="BN125" s="58" t="s">
        <v>607</v>
      </c>
      <c r="BO125" s="59"/>
      <c r="BP125" s="59">
        <v>20.75</v>
      </c>
      <c r="BQ125" s="63">
        <f t="shared" si="42"/>
        <v>2</v>
      </c>
      <c r="BR125" s="45">
        <v>1</v>
      </c>
      <c r="BS125" s="45">
        <f t="shared" si="13"/>
        <v>0.3010299956639812</v>
      </c>
      <c r="BU125" s="46"/>
      <c r="BV125" s="64">
        <v>1.375</v>
      </c>
      <c r="BW125" s="54">
        <f t="shared" si="43"/>
        <v>1</v>
      </c>
      <c r="BX125" s="45">
        <v>1</v>
      </c>
      <c r="BY125" s="45">
        <f t="shared" si="44"/>
        <v>0</v>
      </c>
      <c r="BZ125" s="61" t="s">
        <v>99</v>
      </c>
      <c r="CA125" s="46"/>
      <c r="CB125" s="65">
        <v>7613</v>
      </c>
      <c r="CC125" s="45">
        <v>3</v>
      </c>
      <c r="CD125" s="45">
        <v>2</v>
      </c>
      <c r="CE125" s="45">
        <f t="shared" si="16"/>
        <v>0.95424250943932487</v>
      </c>
      <c r="CG125" s="46"/>
      <c r="CH125" s="66" t="s">
        <v>137</v>
      </c>
      <c r="CI125" s="67">
        <v>2</v>
      </c>
      <c r="CJ125" s="68">
        <v>2</v>
      </c>
      <c r="CK125" s="68">
        <f t="shared" si="17"/>
        <v>0.6020599913279624</v>
      </c>
      <c r="CL125" s="68"/>
      <c r="CM125" s="69"/>
      <c r="CO125" s="70">
        <f t="shared" si="45"/>
        <v>1.7777777777777777</v>
      </c>
      <c r="CQ125" s="45">
        <f t="shared" si="19"/>
        <v>0.20637027738125205</v>
      </c>
      <c r="CR125" s="45">
        <f t="shared" si="20"/>
        <v>1.6083119076007948</v>
      </c>
      <c r="CT125" s="71">
        <f t="shared" si="21"/>
        <v>1.3652364401167827</v>
      </c>
    </row>
    <row r="126" spans="1:98" ht="16">
      <c r="A126" s="36">
        <v>124</v>
      </c>
      <c r="B126" s="37"/>
      <c r="C126" s="37"/>
      <c r="D126" s="37"/>
      <c r="E126" s="38" t="s">
        <v>830</v>
      </c>
      <c r="F126" s="38" t="s">
        <v>205</v>
      </c>
      <c r="G126" s="38" t="s">
        <v>831</v>
      </c>
      <c r="H126" s="38" t="s">
        <v>184</v>
      </c>
      <c r="I126" s="72">
        <v>5.4</v>
      </c>
      <c r="J126" s="53" t="s">
        <v>146</v>
      </c>
      <c r="K126" s="42">
        <v>2</v>
      </c>
      <c r="L126" s="42">
        <v>2</v>
      </c>
      <c r="M126" s="42">
        <v>1</v>
      </c>
      <c r="N126" s="42">
        <f t="shared" si="0"/>
        <v>2</v>
      </c>
      <c r="O126" s="42" t="s">
        <v>799</v>
      </c>
      <c r="P126" s="53"/>
      <c r="Q126" s="43">
        <v>14</v>
      </c>
      <c r="R126" s="44">
        <f t="shared" si="40"/>
        <v>3</v>
      </c>
      <c r="S126" s="45">
        <v>1</v>
      </c>
      <c r="T126" s="45">
        <f t="shared" si="2"/>
        <v>3</v>
      </c>
      <c r="V126" s="46"/>
      <c r="W126" s="58" t="s">
        <v>253</v>
      </c>
      <c r="X126" s="73">
        <v>3.2</v>
      </c>
      <c r="Y126" s="44">
        <f t="shared" si="3"/>
        <v>2</v>
      </c>
      <c r="Z126" s="45">
        <v>1</v>
      </c>
      <c r="AA126" s="45">
        <f t="shared" si="4"/>
        <v>2</v>
      </c>
      <c r="AB126" s="45">
        <v>1</v>
      </c>
      <c r="AD126" s="49" t="s">
        <v>113</v>
      </c>
      <c r="AE126" s="50" t="s">
        <v>88</v>
      </c>
      <c r="AF126" s="50">
        <v>0</v>
      </c>
      <c r="AG126" s="50">
        <v>3</v>
      </c>
      <c r="AH126" s="50">
        <v>2</v>
      </c>
      <c r="AI126" s="50">
        <f t="shared" si="5"/>
        <v>6</v>
      </c>
      <c r="AJ126" s="50">
        <v>1</v>
      </c>
      <c r="AK126" s="51" t="s">
        <v>114</v>
      </c>
      <c r="AL126" s="52">
        <v>69595</v>
      </c>
      <c r="AM126" s="53" t="s">
        <v>115</v>
      </c>
      <c r="AN126" s="42">
        <v>1</v>
      </c>
      <c r="AO126" s="54">
        <f t="shared" si="41"/>
        <v>3</v>
      </c>
      <c r="AP126" s="53">
        <v>2</v>
      </c>
      <c r="AQ126" s="53">
        <f t="shared" si="7"/>
        <v>6</v>
      </c>
      <c r="AR126" s="53"/>
      <c r="AS126" s="55"/>
      <c r="AT126" s="42">
        <v>19.66</v>
      </c>
      <c r="AU126" s="42" t="s">
        <v>146</v>
      </c>
      <c r="AV126" s="44">
        <v>2</v>
      </c>
      <c r="AW126" s="44">
        <f t="shared" si="8"/>
        <v>2</v>
      </c>
      <c r="AX126" s="42">
        <v>1</v>
      </c>
      <c r="AY126" s="42">
        <f t="shared" si="9"/>
        <v>2</v>
      </c>
      <c r="AZ126" s="42" t="s">
        <v>209</v>
      </c>
      <c r="BA126" s="53" t="s">
        <v>631</v>
      </c>
      <c r="BB126" s="57" t="s">
        <v>602</v>
      </c>
      <c r="BC126" s="58" t="s">
        <v>603</v>
      </c>
      <c r="BD126" s="58" t="s">
        <v>609</v>
      </c>
      <c r="BE126" s="59">
        <v>1</v>
      </c>
      <c r="BF126" s="58">
        <v>2</v>
      </c>
      <c r="BG126" s="58">
        <f t="shared" si="10"/>
        <v>0</v>
      </c>
      <c r="BH126" s="58" t="s">
        <v>605</v>
      </c>
      <c r="BI126" s="58" t="s">
        <v>610</v>
      </c>
      <c r="BJ126" s="60" t="s">
        <v>90</v>
      </c>
      <c r="BK126" s="61">
        <v>1</v>
      </c>
      <c r="BL126" s="62">
        <v>1</v>
      </c>
      <c r="BM126" s="62">
        <f t="shared" si="11"/>
        <v>0</v>
      </c>
      <c r="BN126" s="58" t="s">
        <v>607</v>
      </c>
      <c r="BO126" s="59"/>
      <c r="BP126" s="59">
        <v>9</v>
      </c>
      <c r="BQ126" s="63">
        <f t="shared" si="42"/>
        <v>3</v>
      </c>
      <c r="BR126" s="45">
        <v>1</v>
      </c>
      <c r="BS126" s="45">
        <f t="shared" si="13"/>
        <v>0.47712125471966244</v>
      </c>
      <c r="BU126" s="46"/>
      <c r="BV126" s="64">
        <v>2</v>
      </c>
      <c r="BW126" s="54">
        <f t="shared" si="43"/>
        <v>1</v>
      </c>
      <c r="BX126" s="45">
        <v>1</v>
      </c>
      <c r="BY126" s="45">
        <f t="shared" si="44"/>
        <v>0</v>
      </c>
      <c r="BZ126" s="61" t="s">
        <v>91</v>
      </c>
      <c r="CA126" s="46"/>
      <c r="CB126" s="65">
        <v>7515</v>
      </c>
      <c r="CC126" s="45">
        <v>3</v>
      </c>
      <c r="CD126" s="45">
        <v>2</v>
      </c>
      <c r="CE126" s="45">
        <f t="shared" si="16"/>
        <v>0.95424250943932487</v>
      </c>
      <c r="CG126" s="46"/>
      <c r="CH126" s="66" t="s">
        <v>106</v>
      </c>
      <c r="CI126" s="67">
        <v>3</v>
      </c>
      <c r="CJ126" s="68">
        <v>2</v>
      </c>
      <c r="CK126" s="68">
        <f t="shared" si="17"/>
        <v>0.95424250943932487</v>
      </c>
      <c r="CL126" s="78"/>
      <c r="CM126" s="79" t="s">
        <v>144</v>
      </c>
      <c r="CO126" s="70">
        <f t="shared" si="45"/>
        <v>2.1111111111111112</v>
      </c>
      <c r="CQ126" s="45">
        <f t="shared" si="19"/>
        <v>0.26506736373314577</v>
      </c>
      <c r="CR126" s="45">
        <f t="shared" si="20"/>
        <v>1.841057547098748</v>
      </c>
      <c r="CT126" s="71">
        <f t="shared" si="21"/>
        <v>1.2237243375539633</v>
      </c>
    </row>
    <row r="127" spans="1:98" ht="16">
      <c r="A127" s="36">
        <v>125</v>
      </c>
      <c r="B127" s="37"/>
      <c r="C127" s="37"/>
      <c r="D127" s="37"/>
      <c r="E127" s="38" t="s">
        <v>508</v>
      </c>
      <c r="F127" s="38" t="s">
        <v>395</v>
      </c>
      <c r="G127" s="38" t="s">
        <v>509</v>
      </c>
      <c r="H127" s="38" t="s">
        <v>83</v>
      </c>
      <c r="I127" s="72">
        <v>9</v>
      </c>
      <c r="J127" s="53" t="s">
        <v>88</v>
      </c>
      <c r="K127" s="42">
        <v>0</v>
      </c>
      <c r="L127" s="42">
        <v>2</v>
      </c>
      <c r="M127" s="42">
        <v>1</v>
      </c>
      <c r="N127" s="42">
        <f t="shared" si="0"/>
        <v>2</v>
      </c>
      <c r="O127" s="53"/>
      <c r="P127" s="53"/>
      <c r="Q127" s="43">
        <v>8.25</v>
      </c>
      <c r="R127" s="44">
        <f t="shared" si="40"/>
        <v>3</v>
      </c>
      <c r="S127" s="45">
        <v>1</v>
      </c>
      <c r="T127" s="45">
        <f t="shared" si="2"/>
        <v>3</v>
      </c>
      <c r="V127" s="46"/>
      <c r="W127" s="58" t="s">
        <v>510</v>
      </c>
      <c r="X127" s="73">
        <v>2.4</v>
      </c>
      <c r="Y127" s="44">
        <f t="shared" si="3"/>
        <v>3</v>
      </c>
      <c r="Z127" s="45">
        <v>1</v>
      </c>
      <c r="AA127" s="45">
        <f t="shared" si="4"/>
        <v>3</v>
      </c>
      <c r="AB127" s="45">
        <v>1</v>
      </c>
      <c r="AD127" s="49" t="s">
        <v>87</v>
      </c>
      <c r="AE127" s="50" t="s">
        <v>88</v>
      </c>
      <c r="AF127" s="50">
        <v>0</v>
      </c>
      <c r="AG127" s="50">
        <v>3</v>
      </c>
      <c r="AH127" s="50">
        <v>2</v>
      </c>
      <c r="AI127" s="50">
        <f t="shared" si="5"/>
        <v>6</v>
      </c>
      <c r="AJ127" s="50">
        <v>1</v>
      </c>
      <c r="AK127" s="51" t="s">
        <v>89</v>
      </c>
      <c r="AL127" s="61">
        <v>2225</v>
      </c>
      <c r="AM127" s="53" t="s">
        <v>115</v>
      </c>
      <c r="AN127" s="42">
        <v>1</v>
      </c>
      <c r="AO127" s="54">
        <f t="shared" si="41"/>
        <v>2</v>
      </c>
      <c r="AP127" s="53">
        <v>2</v>
      </c>
      <c r="AQ127" s="53">
        <f t="shared" si="7"/>
        <v>4</v>
      </c>
      <c r="AR127" s="53"/>
      <c r="AS127" s="55"/>
      <c r="AT127" s="42">
        <v>19.2</v>
      </c>
      <c r="AU127" s="42" t="s">
        <v>88</v>
      </c>
      <c r="AV127" s="56">
        <v>0</v>
      </c>
      <c r="AW127" s="44">
        <f t="shared" si="8"/>
        <v>2</v>
      </c>
      <c r="AX127" s="42">
        <v>1</v>
      </c>
      <c r="AY127" s="42">
        <f t="shared" si="9"/>
        <v>2</v>
      </c>
      <c r="AZ127" s="42"/>
      <c r="BA127" s="42"/>
      <c r="BB127" s="57" t="s">
        <v>602</v>
      </c>
      <c r="BC127" s="58" t="s">
        <v>603</v>
      </c>
      <c r="BD127" s="58" t="s">
        <v>604</v>
      </c>
      <c r="BE127" s="59">
        <v>2</v>
      </c>
      <c r="BF127" s="58">
        <v>2</v>
      </c>
      <c r="BG127" s="58">
        <f t="shared" si="10"/>
        <v>0.6020599913279624</v>
      </c>
      <c r="BH127" s="58" t="s">
        <v>605</v>
      </c>
      <c r="BI127" s="58" t="s">
        <v>606</v>
      </c>
      <c r="BJ127" s="60" t="s">
        <v>90</v>
      </c>
      <c r="BK127" s="61">
        <v>1</v>
      </c>
      <c r="BL127" s="62">
        <v>1</v>
      </c>
      <c r="BM127" s="62">
        <f t="shared" si="11"/>
        <v>0</v>
      </c>
      <c r="BN127" s="58" t="s">
        <v>607</v>
      </c>
      <c r="BO127" s="59"/>
      <c r="BP127" s="59">
        <v>7.5</v>
      </c>
      <c r="BQ127" s="63">
        <f t="shared" si="42"/>
        <v>3</v>
      </c>
      <c r="BR127" s="45">
        <v>1</v>
      </c>
      <c r="BS127" s="45">
        <f t="shared" si="13"/>
        <v>0.47712125471966244</v>
      </c>
      <c r="BU127" s="46"/>
      <c r="BV127" s="64">
        <v>1.25</v>
      </c>
      <c r="BW127" s="54">
        <f t="shared" si="43"/>
        <v>1</v>
      </c>
      <c r="BX127" s="45">
        <v>1</v>
      </c>
      <c r="BY127" s="45">
        <f t="shared" si="44"/>
        <v>0</v>
      </c>
      <c r="BZ127" s="61" t="s">
        <v>99</v>
      </c>
      <c r="CA127" s="46"/>
      <c r="CB127" s="65">
        <v>7475</v>
      </c>
      <c r="CC127" s="45">
        <v>3</v>
      </c>
      <c r="CD127" s="45">
        <v>2</v>
      </c>
      <c r="CE127" s="45">
        <f t="shared" si="16"/>
        <v>0.95424250943932487</v>
      </c>
      <c r="CG127" s="46"/>
      <c r="CH127" s="66" t="s">
        <v>92</v>
      </c>
      <c r="CI127" s="67">
        <v>3</v>
      </c>
      <c r="CJ127" s="68">
        <v>2</v>
      </c>
      <c r="CK127" s="68">
        <f t="shared" si="17"/>
        <v>0.95424250943932487</v>
      </c>
      <c r="CL127" s="78"/>
      <c r="CM127" s="79" t="s">
        <v>144</v>
      </c>
      <c r="CO127" s="70">
        <f t="shared" si="45"/>
        <v>2</v>
      </c>
      <c r="CQ127" s="45">
        <f t="shared" si="19"/>
        <v>0.33196291832514163</v>
      </c>
      <c r="CR127" s="45">
        <f t="shared" si="20"/>
        <v>2.1476470922214639</v>
      </c>
      <c r="CT127" s="71">
        <f t="shared" si="21"/>
        <v>1.5222003311930994</v>
      </c>
    </row>
    <row r="128" spans="1:98" ht="16">
      <c r="A128" s="36">
        <v>126</v>
      </c>
      <c r="B128" s="37"/>
      <c r="C128" s="37"/>
      <c r="D128" s="37"/>
      <c r="E128" s="38" t="s">
        <v>517</v>
      </c>
      <c r="F128" s="38" t="s">
        <v>316</v>
      </c>
      <c r="G128" s="38" t="s">
        <v>518</v>
      </c>
      <c r="H128" s="38" t="s">
        <v>318</v>
      </c>
      <c r="I128" s="72">
        <v>11.5</v>
      </c>
      <c r="J128" s="53" t="s">
        <v>88</v>
      </c>
      <c r="K128" s="42">
        <v>0</v>
      </c>
      <c r="L128" s="42">
        <v>2</v>
      </c>
      <c r="M128" s="42">
        <v>1</v>
      </c>
      <c r="N128" s="42">
        <f t="shared" si="0"/>
        <v>2</v>
      </c>
      <c r="O128" s="53"/>
      <c r="P128" s="53"/>
      <c r="Q128" s="43">
        <v>17</v>
      </c>
      <c r="R128" s="44">
        <f t="shared" si="40"/>
        <v>3</v>
      </c>
      <c r="S128" s="45">
        <v>1</v>
      </c>
      <c r="T128" s="45">
        <f t="shared" si="2"/>
        <v>3</v>
      </c>
      <c r="V128" s="46"/>
      <c r="W128" s="58" t="s">
        <v>519</v>
      </c>
      <c r="X128" s="73">
        <v>3.6</v>
      </c>
      <c r="Y128" s="44">
        <f t="shared" si="3"/>
        <v>1</v>
      </c>
      <c r="Z128" s="45">
        <v>1</v>
      </c>
      <c r="AA128" s="45">
        <f t="shared" si="4"/>
        <v>1</v>
      </c>
      <c r="AB128" s="45">
        <v>1</v>
      </c>
      <c r="AD128" s="49" t="s">
        <v>520</v>
      </c>
      <c r="AE128" s="50" t="s">
        <v>88</v>
      </c>
      <c r="AF128" s="50">
        <v>0</v>
      </c>
      <c r="AG128" s="50">
        <v>3</v>
      </c>
      <c r="AH128" s="50">
        <v>2</v>
      </c>
      <c r="AI128" s="50">
        <f t="shared" si="5"/>
        <v>6</v>
      </c>
      <c r="AJ128" s="50">
        <v>1</v>
      </c>
      <c r="AK128" s="51" t="s">
        <v>135</v>
      </c>
      <c r="AL128" s="61">
        <v>59500</v>
      </c>
      <c r="AM128" s="53" t="s">
        <v>88</v>
      </c>
      <c r="AN128" s="42">
        <v>0</v>
      </c>
      <c r="AO128" s="54">
        <f t="shared" si="41"/>
        <v>3</v>
      </c>
      <c r="AP128" s="53">
        <v>2</v>
      </c>
      <c r="AQ128" s="53">
        <f t="shared" si="7"/>
        <v>6</v>
      </c>
      <c r="AR128" s="53"/>
      <c r="AS128" s="55"/>
      <c r="AT128" s="53">
        <v>32.5</v>
      </c>
      <c r="AU128" s="42" t="s">
        <v>146</v>
      </c>
      <c r="AV128" s="44">
        <v>2</v>
      </c>
      <c r="AW128" s="44">
        <f t="shared" si="8"/>
        <v>1</v>
      </c>
      <c r="AX128" s="42">
        <v>1</v>
      </c>
      <c r="AY128" s="42">
        <f t="shared" si="9"/>
        <v>1</v>
      </c>
      <c r="AZ128" s="42" t="s">
        <v>521</v>
      </c>
      <c r="BA128" s="77" t="s">
        <v>672</v>
      </c>
      <c r="BB128" s="57" t="s">
        <v>602</v>
      </c>
      <c r="BC128" s="58" t="s">
        <v>603</v>
      </c>
      <c r="BD128" s="58" t="s">
        <v>609</v>
      </c>
      <c r="BE128" s="59">
        <v>1</v>
      </c>
      <c r="BF128" s="58">
        <v>2</v>
      </c>
      <c r="BG128" s="58">
        <f t="shared" si="10"/>
        <v>0</v>
      </c>
      <c r="BH128" s="58" t="s">
        <v>605</v>
      </c>
      <c r="BI128" s="58" t="s">
        <v>731</v>
      </c>
      <c r="BJ128" s="60" t="s">
        <v>90</v>
      </c>
      <c r="BK128" s="61">
        <v>1</v>
      </c>
      <c r="BL128" s="62">
        <v>1</v>
      </c>
      <c r="BM128" s="62">
        <f t="shared" si="11"/>
        <v>0</v>
      </c>
      <c r="BN128" s="58" t="s">
        <v>607</v>
      </c>
      <c r="BO128" s="59"/>
      <c r="BP128" s="59">
        <v>38</v>
      </c>
      <c r="BQ128" s="63">
        <f t="shared" si="42"/>
        <v>1</v>
      </c>
      <c r="BR128" s="45">
        <v>1</v>
      </c>
      <c r="BS128" s="45">
        <f t="shared" si="13"/>
        <v>0</v>
      </c>
      <c r="BU128" s="46"/>
      <c r="BV128" s="64">
        <v>2.125</v>
      </c>
      <c r="BW128" s="54">
        <f t="shared" si="43"/>
        <v>1</v>
      </c>
      <c r="BX128" s="45">
        <v>1</v>
      </c>
      <c r="BY128" s="45">
        <f t="shared" si="44"/>
        <v>0</v>
      </c>
      <c r="BZ128" s="61" t="s">
        <v>99</v>
      </c>
      <c r="CA128" s="46"/>
      <c r="CB128" s="65">
        <v>7419</v>
      </c>
      <c r="CC128" s="45">
        <v>3</v>
      </c>
      <c r="CD128" s="45">
        <v>2</v>
      </c>
      <c r="CE128" s="45">
        <f t="shared" si="16"/>
        <v>0.95424250943932487</v>
      </c>
      <c r="CG128" s="46"/>
      <c r="CH128" s="66" t="s">
        <v>92</v>
      </c>
      <c r="CI128" s="67">
        <v>3</v>
      </c>
      <c r="CJ128" s="68">
        <v>2</v>
      </c>
      <c r="CK128" s="68">
        <f t="shared" si="17"/>
        <v>0.95424250943932487</v>
      </c>
      <c r="CL128" s="68"/>
      <c r="CM128" s="69"/>
      <c r="CO128" s="70">
        <f t="shared" si="45"/>
        <v>1.8888888888888888</v>
      </c>
      <c r="CQ128" s="45">
        <f t="shared" si="19"/>
        <v>0.21205389098651664</v>
      </c>
      <c r="CR128" s="45">
        <f t="shared" si="20"/>
        <v>1.6294982222188463</v>
      </c>
      <c r="CT128" s="71">
        <f t="shared" si="21"/>
        <v>1.2770418603206617</v>
      </c>
    </row>
    <row r="129" spans="1:98" ht="16">
      <c r="A129" s="36">
        <v>127</v>
      </c>
      <c r="B129" s="37"/>
      <c r="C129" s="37"/>
      <c r="D129" s="37"/>
      <c r="E129" s="38" t="s">
        <v>511</v>
      </c>
      <c r="F129" s="38" t="s">
        <v>483</v>
      </c>
      <c r="G129" s="38" t="s">
        <v>512</v>
      </c>
      <c r="H129" s="38" t="s">
        <v>286</v>
      </c>
      <c r="I129" s="72">
        <v>4</v>
      </c>
      <c r="J129" s="53" t="s">
        <v>88</v>
      </c>
      <c r="K129" s="42">
        <v>0</v>
      </c>
      <c r="L129" s="42">
        <v>3</v>
      </c>
      <c r="M129" s="42">
        <v>1</v>
      </c>
      <c r="N129" s="42">
        <f t="shared" si="0"/>
        <v>3</v>
      </c>
      <c r="O129" s="53"/>
      <c r="P129" s="53"/>
      <c r="Q129" s="43">
        <v>14.66666667</v>
      </c>
      <c r="R129" s="44">
        <f t="shared" si="40"/>
        <v>3</v>
      </c>
      <c r="S129" s="45">
        <v>1</v>
      </c>
      <c r="T129" s="45">
        <f t="shared" si="2"/>
        <v>3</v>
      </c>
      <c r="V129" s="46"/>
      <c r="W129" s="58" t="s">
        <v>415</v>
      </c>
      <c r="X129" s="73">
        <v>2.9</v>
      </c>
      <c r="Y129" s="44">
        <f t="shared" si="3"/>
        <v>2</v>
      </c>
      <c r="Z129" s="45">
        <v>1</v>
      </c>
      <c r="AA129" s="45">
        <f t="shared" si="4"/>
        <v>2</v>
      </c>
      <c r="AB129" s="45">
        <v>1</v>
      </c>
      <c r="AD129" s="49" t="s">
        <v>288</v>
      </c>
      <c r="AE129" s="50" t="s">
        <v>88</v>
      </c>
      <c r="AF129" s="50">
        <v>0</v>
      </c>
      <c r="AG129" s="50">
        <v>3</v>
      </c>
      <c r="AH129" s="50">
        <v>2</v>
      </c>
      <c r="AI129" s="50">
        <f t="shared" si="5"/>
        <v>6</v>
      </c>
      <c r="AJ129" s="50">
        <v>1</v>
      </c>
      <c r="AK129" s="51" t="s">
        <v>135</v>
      </c>
      <c r="AL129" s="52">
        <v>10969</v>
      </c>
      <c r="AM129" s="53" t="s">
        <v>115</v>
      </c>
      <c r="AN129" s="42">
        <v>1</v>
      </c>
      <c r="AO129" s="54">
        <f t="shared" si="41"/>
        <v>2</v>
      </c>
      <c r="AP129" s="53">
        <v>2</v>
      </c>
      <c r="AQ129" s="53">
        <f t="shared" si="7"/>
        <v>4</v>
      </c>
      <c r="AR129" s="53"/>
      <c r="AS129" s="55"/>
      <c r="AT129" s="42">
        <v>56</v>
      </c>
      <c r="AU129" s="42" t="s">
        <v>88</v>
      </c>
      <c r="AV129" s="56">
        <v>0</v>
      </c>
      <c r="AW129" s="44">
        <f t="shared" si="8"/>
        <v>1</v>
      </c>
      <c r="AX129" s="42">
        <v>1</v>
      </c>
      <c r="AY129" s="42">
        <f t="shared" si="9"/>
        <v>1</v>
      </c>
      <c r="AZ129" s="42"/>
      <c r="BA129" s="42"/>
      <c r="BB129" s="57" t="s">
        <v>602</v>
      </c>
      <c r="BC129" s="58" t="s">
        <v>603</v>
      </c>
      <c r="BD129" s="58" t="s">
        <v>604</v>
      </c>
      <c r="BE129" s="59">
        <v>2</v>
      </c>
      <c r="BF129" s="58">
        <v>2</v>
      </c>
      <c r="BG129" s="58">
        <f t="shared" si="10"/>
        <v>0.6020599913279624</v>
      </c>
      <c r="BH129" s="58" t="s">
        <v>605</v>
      </c>
      <c r="BI129" s="58" t="s">
        <v>606</v>
      </c>
      <c r="BJ129" s="81" t="s">
        <v>166</v>
      </c>
      <c r="BK129" s="61">
        <v>3</v>
      </c>
      <c r="BL129" s="62">
        <v>1</v>
      </c>
      <c r="BM129" s="62">
        <f t="shared" si="11"/>
        <v>0.47712125471966244</v>
      </c>
      <c r="BN129" s="58" t="s">
        <v>607</v>
      </c>
      <c r="BO129" s="59"/>
      <c r="BP129" s="59">
        <v>31.5</v>
      </c>
      <c r="BQ129" s="63">
        <f t="shared" si="42"/>
        <v>1</v>
      </c>
      <c r="BR129" s="45">
        <v>1</v>
      </c>
      <c r="BS129" s="45">
        <f t="shared" si="13"/>
        <v>0</v>
      </c>
      <c r="BU129" s="46"/>
      <c r="BV129" s="64">
        <v>1.25</v>
      </c>
      <c r="BW129" s="54">
        <f t="shared" si="43"/>
        <v>1</v>
      </c>
      <c r="BX129" s="45">
        <v>1</v>
      </c>
      <c r="BY129" s="45">
        <f t="shared" si="44"/>
        <v>0</v>
      </c>
      <c r="BZ129" s="61" t="s">
        <v>99</v>
      </c>
      <c r="CA129" s="46"/>
      <c r="CB129" s="65">
        <v>7281</v>
      </c>
      <c r="CC129" s="45">
        <v>3</v>
      </c>
      <c r="CD129" s="45">
        <v>2</v>
      </c>
      <c r="CE129" s="45">
        <f t="shared" si="16"/>
        <v>0.95424250943932487</v>
      </c>
      <c r="CG129" s="46"/>
      <c r="CH129" s="66" t="s">
        <v>92</v>
      </c>
      <c r="CI129" s="67">
        <v>3</v>
      </c>
      <c r="CJ129" s="68">
        <v>2</v>
      </c>
      <c r="CK129" s="68">
        <f t="shared" si="17"/>
        <v>0.95424250943932487</v>
      </c>
      <c r="CL129" s="68"/>
      <c r="CM129" s="69"/>
      <c r="CO129" s="70">
        <f t="shared" si="45"/>
        <v>1.7777777777777777</v>
      </c>
      <c r="CQ129" s="45">
        <f t="shared" si="19"/>
        <v>0.33196291832514163</v>
      </c>
      <c r="CR129" s="45">
        <f t="shared" si="20"/>
        <v>2.1476470922214639</v>
      </c>
      <c r="CT129" s="71">
        <f t="shared" si="21"/>
        <v>1.6765801528045741</v>
      </c>
    </row>
    <row r="130" spans="1:98" ht="16">
      <c r="A130" s="36">
        <v>128</v>
      </c>
      <c r="B130" s="37"/>
      <c r="C130" s="37"/>
      <c r="D130" s="37"/>
      <c r="E130" s="38" t="s">
        <v>525</v>
      </c>
      <c r="F130" s="38" t="s">
        <v>205</v>
      </c>
      <c r="G130" s="38" t="s">
        <v>526</v>
      </c>
      <c r="H130" s="38" t="s">
        <v>184</v>
      </c>
      <c r="I130" s="72">
        <v>5.4</v>
      </c>
      <c r="J130" s="53" t="s">
        <v>146</v>
      </c>
      <c r="K130" s="42">
        <v>2</v>
      </c>
      <c r="L130" s="42">
        <v>2</v>
      </c>
      <c r="M130" s="42">
        <v>1</v>
      </c>
      <c r="N130" s="42">
        <f t="shared" si="0"/>
        <v>2</v>
      </c>
      <c r="O130" s="42" t="s">
        <v>799</v>
      </c>
      <c r="P130" s="53"/>
      <c r="Q130" s="43">
        <v>15</v>
      </c>
      <c r="R130" s="44">
        <f t="shared" si="40"/>
        <v>3</v>
      </c>
      <c r="S130" s="45">
        <v>1</v>
      </c>
      <c r="T130" s="45">
        <f t="shared" si="2"/>
        <v>3</v>
      </c>
      <c r="V130" s="46"/>
      <c r="W130" s="58" t="s">
        <v>253</v>
      </c>
      <c r="X130" s="73">
        <v>3.2</v>
      </c>
      <c r="Y130" s="44">
        <f t="shared" si="3"/>
        <v>2</v>
      </c>
      <c r="Z130" s="45">
        <v>1</v>
      </c>
      <c r="AA130" s="45">
        <f t="shared" si="4"/>
        <v>2</v>
      </c>
      <c r="AB130" s="45">
        <v>1</v>
      </c>
      <c r="AD130" s="49" t="s">
        <v>163</v>
      </c>
      <c r="AE130" s="50" t="s">
        <v>146</v>
      </c>
      <c r="AF130" s="50">
        <v>2</v>
      </c>
      <c r="AG130" s="50">
        <v>3</v>
      </c>
      <c r="AH130" s="50">
        <v>2</v>
      </c>
      <c r="AI130" s="50">
        <f t="shared" si="5"/>
        <v>6</v>
      </c>
      <c r="AJ130" s="50" t="s">
        <v>645</v>
      </c>
      <c r="AK130" s="51" t="s">
        <v>186</v>
      </c>
      <c r="AL130" s="52">
        <v>69595</v>
      </c>
      <c r="AM130" s="53" t="s">
        <v>115</v>
      </c>
      <c r="AN130" s="42">
        <v>1</v>
      </c>
      <c r="AO130" s="54">
        <f t="shared" si="41"/>
        <v>3</v>
      </c>
      <c r="AP130" s="53">
        <v>2</v>
      </c>
      <c r="AQ130" s="53">
        <f t="shared" si="7"/>
        <v>6</v>
      </c>
      <c r="AR130" s="53"/>
      <c r="AS130" s="55"/>
      <c r="AT130" s="42">
        <v>19.66</v>
      </c>
      <c r="AU130" s="42" t="s">
        <v>146</v>
      </c>
      <c r="AV130" s="44">
        <v>2</v>
      </c>
      <c r="AW130" s="44">
        <f t="shared" si="8"/>
        <v>2</v>
      </c>
      <c r="AX130" s="42">
        <v>1</v>
      </c>
      <c r="AY130" s="42">
        <f t="shared" si="9"/>
        <v>2</v>
      </c>
      <c r="AZ130" s="42" t="s">
        <v>209</v>
      </c>
      <c r="BA130" s="53" t="s">
        <v>631</v>
      </c>
      <c r="BB130" s="57" t="s">
        <v>602</v>
      </c>
      <c r="BC130" s="58" t="s">
        <v>603</v>
      </c>
      <c r="BD130" s="58" t="s">
        <v>609</v>
      </c>
      <c r="BE130" s="59">
        <v>1</v>
      </c>
      <c r="BF130" s="58">
        <v>2</v>
      </c>
      <c r="BG130" s="58">
        <f t="shared" si="10"/>
        <v>0</v>
      </c>
      <c r="BH130" s="58" t="s">
        <v>605</v>
      </c>
      <c r="BI130" s="58" t="s">
        <v>610</v>
      </c>
      <c r="BJ130" s="60" t="s">
        <v>90</v>
      </c>
      <c r="BK130" s="61">
        <v>1</v>
      </c>
      <c r="BL130" s="62">
        <v>1</v>
      </c>
      <c r="BM130" s="62">
        <f t="shared" si="11"/>
        <v>0</v>
      </c>
      <c r="BN130" s="58" t="s">
        <v>607</v>
      </c>
      <c r="BO130" s="59"/>
      <c r="BP130" s="59">
        <v>35</v>
      </c>
      <c r="BQ130" s="63">
        <f t="shared" si="42"/>
        <v>1</v>
      </c>
      <c r="BR130" s="45">
        <v>1</v>
      </c>
      <c r="BS130" s="45">
        <f t="shared" si="13"/>
        <v>0</v>
      </c>
      <c r="BU130" s="46"/>
      <c r="BV130" s="64">
        <v>1.6666666670000001</v>
      </c>
      <c r="BW130" s="54">
        <f t="shared" si="43"/>
        <v>1</v>
      </c>
      <c r="BX130" s="45">
        <v>1</v>
      </c>
      <c r="BY130" s="45">
        <f t="shared" si="44"/>
        <v>0</v>
      </c>
      <c r="BZ130" s="61" t="s">
        <v>91</v>
      </c>
      <c r="CA130" s="46"/>
      <c r="CB130" s="65">
        <v>7141</v>
      </c>
      <c r="CC130" s="45">
        <v>3</v>
      </c>
      <c r="CD130" s="45">
        <v>2</v>
      </c>
      <c r="CE130" s="45">
        <f t="shared" si="16"/>
        <v>0.95424250943932487</v>
      </c>
      <c r="CG130" s="46"/>
      <c r="CH130" s="66" t="s">
        <v>106</v>
      </c>
      <c r="CI130" s="67">
        <v>3</v>
      </c>
      <c r="CJ130" s="68">
        <v>2</v>
      </c>
      <c r="CK130" s="68">
        <f t="shared" si="17"/>
        <v>0.95424250943932487</v>
      </c>
      <c r="CL130" s="78"/>
      <c r="CM130" s="79" t="s">
        <v>144</v>
      </c>
      <c r="CO130" s="70">
        <f t="shared" si="45"/>
        <v>2.1111111111111112</v>
      </c>
      <c r="CQ130" s="45">
        <f t="shared" si="19"/>
        <v>0.21205389098651664</v>
      </c>
      <c r="CR130" s="45">
        <f t="shared" si="20"/>
        <v>1.6294982222188463</v>
      </c>
      <c r="CT130" s="71">
        <f t="shared" si="21"/>
        <v>1.0892159880238683</v>
      </c>
    </row>
    <row r="131" spans="1:98" ht="16">
      <c r="A131" s="36">
        <v>129</v>
      </c>
      <c r="B131" s="37"/>
      <c r="C131" s="37"/>
      <c r="D131" s="37"/>
      <c r="E131" s="38" t="s">
        <v>462</v>
      </c>
      <c r="F131" s="38" t="s">
        <v>463</v>
      </c>
      <c r="G131" s="38" t="s">
        <v>464</v>
      </c>
      <c r="H131" s="38" t="s">
        <v>184</v>
      </c>
      <c r="I131" s="72">
        <v>5.4</v>
      </c>
      <c r="J131" s="53" t="s">
        <v>146</v>
      </c>
      <c r="K131" s="42">
        <v>2</v>
      </c>
      <c r="L131" s="42">
        <v>2</v>
      </c>
      <c r="M131" s="42">
        <v>1</v>
      </c>
      <c r="N131" s="42">
        <f t="shared" si="0"/>
        <v>2</v>
      </c>
      <c r="O131" s="42" t="s">
        <v>799</v>
      </c>
      <c r="P131" s="53"/>
      <c r="Q131" s="43">
        <v>6</v>
      </c>
      <c r="R131" s="44">
        <f t="shared" si="40"/>
        <v>3</v>
      </c>
      <c r="S131" s="45">
        <v>1</v>
      </c>
      <c r="T131" s="45">
        <f t="shared" si="2"/>
        <v>3</v>
      </c>
      <c r="V131" s="46"/>
      <c r="W131" s="58" t="s">
        <v>465</v>
      </c>
      <c r="X131" s="73">
        <v>3.3</v>
      </c>
      <c r="Y131" s="44">
        <f t="shared" si="3"/>
        <v>2</v>
      </c>
      <c r="Z131" s="45">
        <v>1</v>
      </c>
      <c r="AA131" s="45">
        <f t="shared" si="4"/>
        <v>2</v>
      </c>
      <c r="AB131" s="45">
        <v>1</v>
      </c>
      <c r="AD131" s="49" t="s">
        <v>163</v>
      </c>
      <c r="AE131" s="50" t="s">
        <v>146</v>
      </c>
      <c r="AF131" s="50">
        <v>2</v>
      </c>
      <c r="AG131" s="50">
        <v>3</v>
      </c>
      <c r="AH131" s="50">
        <v>2</v>
      </c>
      <c r="AI131" s="50">
        <f t="shared" si="5"/>
        <v>6</v>
      </c>
      <c r="AJ131" s="50" t="s">
        <v>645</v>
      </c>
      <c r="AK131" s="51" t="s">
        <v>186</v>
      </c>
      <c r="AL131" s="61">
        <v>37975</v>
      </c>
      <c r="AM131" s="53" t="s">
        <v>146</v>
      </c>
      <c r="AN131" s="42">
        <v>2</v>
      </c>
      <c r="AO131" s="54">
        <f t="shared" si="41"/>
        <v>3</v>
      </c>
      <c r="AP131" s="53">
        <v>2</v>
      </c>
      <c r="AQ131" s="53">
        <f t="shared" si="7"/>
        <v>6</v>
      </c>
      <c r="AR131" s="53"/>
      <c r="AS131" s="55" t="s">
        <v>832</v>
      </c>
      <c r="AT131" s="53">
        <v>30.5</v>
      </c>
      <c r="AU131" s="42" t="s">
        <v>146</v>
      </c>
      <c r="AV131" s="44">
        <v>2</v>
      </c>
      <c r="AW131" s="44">
        <f t="shared" si="8"/>
        <v>1</v>
      </c>
      <c r="AX131" s="42">
        <v>1</v>
      </c>
      <c r="AY131" s="42">
        <f t="shared" si="9"/>
        <v>1</v>
      </c>
      <c r="AZ131" s="42" t="s">
        <v>466</v>
      </c>
      <c r="BA131" s="53" t="s">
        <v>646</v>
      </c>
      <c r="BB131" s="57" t="s">
        <v>602</v>
      </c>
      <c r="BC131" s="58" t="s">
        <v>603</v>
      </c>
      <c r="BD131" s="58" t="s">
        <v>609</v>
      </c>
      <c r="BE131" s="59">
        <v>1</v>
      </c>
      <c r="BF131" s="58">
        <v>2</v>
      </c>
      <c r="BG131" s="58">
        <f t="shared" si="10"/>
        <v>0</v>
      </c>
      <c r="BH131" s="58" t="s">
        <v>605</v>
      </c>
      <c r="BI131" s="58" t="s">
        <v>610</v>
      </c>
      <c r="BJ131" s="60" t="s">
        <v>90</v>
      </c>
      <c r="BK131" s="61">
        <v>1</v>
      </c>
      <c r="BL131" s="62">
        <v>1</v>
      </c>
      <c r="BM131" s="62">
        <f t="shared" si="11"/>
        <v>0</v>
      </c>
      <c r="BN131" s="58" t="s">
        <v>607</v>
      </c>
      <c r="BO131" s="59"/>
      <c r="BP131" s="59">
        <v>24</v>
      </c>
      <c r="BQ131" s="63">
        <f t="shared" si="42"/>
        <v>2</v>
      </c>
      <c r="BR131" s="45">
        <v>1</v>
      </c>
      <c r="BS131" s="45">
        <f t="shared" si="13"/>
        <v>0.3010299956639812</v>
      </c>
      <c r="BU131" s="46"/>
      <c r="BV131" s="64">
        <v>2</v>
      </c>
      <c r="BW131" s="54">
        <f t="shared" si="43"/>
        <v>1</v>
      </c>
      <c r="BX131" s="45">
        <v>1</v>
      </c>
      <c r="BY131" s="45">
        <f t="shared" si="44"/>
        <v>0</v>
      </c>
      <c r="BZ131" s="61" t="s">
        <v>273</v>
      </c>
      <c r="CA131" s="46"/>
      <c r="CB131" s="65">
        <v>6945</v>
      </c>
      <c r="CC131" s="45">
        <v>3</v>
      </c>
      <c r="CD131" s="45">
        <v>2</v>
      </c>
      <c r="CE131" s="45">
        <f t="shared" si="16"/>
        <v>0.95424250943932487</v>
      </c>
      <c r="CG131" s="46"/>
      <c r="CH131" s="66" t="s">
        <v>92</v>
      </c>
      <c r="CI131" s="67">
        <v>3</v>
      </c>
      <c r="CJ131" s="68">
        <v>2</v>
      </c>
      <c r="CK131" s="68">
        <f t="shared" si="17"/>
        <v>0.95424250943932487</v>
      </c>
      <c r="CL131" s="68"/>
      <c r="CM131" s="69"/>
      <c r="CO131" s="70">
        <f t="shared" si="45"/>
        <v>2</v>
      </c>
      <c r="CQ131" s="45">
        <f t="shared" si="19"/>
        <v>0.24550166828251452</v>
      </c>
      <c r="CR131" s="45">
        <f t="shared" si="20"/>
        <v>1.7599554244151643</v>
      </c>
      <c r="CT131" s="71">
        <f t="shared" si="21"/>
        <v>1.2559985060094747</v>
      </c>
    </row>
    <row r="132" spans="1:98" ht="16">
      <c r="A132" s="36">
        <v>130</v>
      </c>
      <c r="B132" s="37"/>
      <c r="C132" s="37"/>
      <c r="D132" s="37"/>
      <c r="E132" s="38" t="s">
        <v>451</v>
      </c>
      <c r="F132" s="38" t="s">
        <v>452</v>
      </c>
      <c r="G132" s="38" t="s">
        <v>453</v>
      </c>
      <c r="H132" s="38" t="s">
        <v>277</v>
      </c>
      <c r="I132" s="72">
        <v>25</v>
      </c>
      <c r="J132" s="53" t="s">
        <v>88</v>
      </c>
      <c r="K132" s="42">
        <v>0</v>
      </c>
      <c r="L132" s="42">
        <v>1</v>
      </c>
      <c r="M132" s="42">
        <v>1</v>
      </c>
      <c r="N132" s="42">
        <f t="shared" si="0"/>
        <v>1</v>
      </c>
      <c r="O132" s="53"/>
      <c r="P132" s="53"/>
      <c r="Q132" s="43">
        <v>26.35</v>
      </c>
      <c r="R132" s="44">
        <f t="shared" si="40"/>
        <v>3</v>
      </c>
      <c r="S132" s="45">
        <v>1</v>
      </c>
      <c r="T132" s="45">
        <f t="shared" si="2"/>
        <v>3</v>
      </c>
      <c r="V132" s="46"/>
      <c r="W132" s="58" t="s">
        <v>454</v>
      </c>
      <c r="X132" s="73">
        <v>3</v>
      </c>
      <c r="Y132" s="44">
        <f t="shared" si="3"/>
        <v>2</v>
      </c>
      <c r="Z132" s="45">
        <v>1</v>
      </c>
      <c r="AA132" s="45">
        <f t="shared" si="4"/>
        <v>2</v>
      </c>
      <c r="AB132" s="45">
        <v>1</v>
      </c>
      <c r="AD132" s="49" t="s">
        <v>455</v>
      </c>
      <c r="AE132" s="50" t="s">
        <v>88</v>
      </c>
      <c r="AF132" s="50">
        <v>0</v>
      </c>
      <c r="AG132" s="50">
        <v>3</v>
      </c>
      <c r="AH132" s="50">
        <v>2</v>
      </c>
      <c r="AI132" s="50">
        <f t="shared" si="5"/>
        <v>6</v>
      </c>
      <c r="AJ132" s="50">
        <v>1</v>
      </c>
      <c r="AK132" s="51" t="s">
        <v>114</v>
      </c>
      <c r="AL132" s="52">
        <v>66876</v>
      </c>
      <c r="AM132" s="53" t="s">
        <v>146</v>
      </c>
      <c r="AN132" s="42">
        <v>2</v>
      </c>
      <c r="AO132" s="54">
        <f t="shared" si="41"/>
        <v>3</v>
      </c>
      <c r="AP132" s="53">
        <v>2</v>
      </c>
      <c r="AQ132" s="53">
        <f t="shared" si="7"/>
        <v>6</v>
      </c>
      <c r="AR132" s="53"/>
      <c r="AS132" s="55"/>
      <c r="AT132" s="42">
        <v>44.5</v>
      </c>
      <c r="AU132" s="42" t="s">
        <v>146</v>
      </c>
      <c r="AV132" s="44">
        <v>2</v>
      </c>
      <c r="AW132" s="44">
        <f t="shared" si="8"/>
        <v>1</v>
      </c>
      <c r="AX132" s="42">
        <v>1</v>
      </c>
      <c r="AY132" s="42">
        <f t="shared" si="9"/>
        <v>1</v>
      </c>
      <c r="AZ132" s="42" t="s">
        <v>280</v>
      </c>
      <c r="BA132" s="53" t="s">
        <v>833</v>
      </c>
      <c r="BB132" s="57" t="s">
        <v>602</v>
      </c>
      <c r="BC132" s="58" t="s">
        <v>603</v>
      </c>
      <c r="BD132" s="58" t="s">
        <v>609</v>
      </c>
      <c r="BE132" s="59">
        <v>1</v>
      </c>
      <c r="BF132" s="58">
        <v>2</v>
      </c>
      <c r="BG132" s="58">
        <f t="shared" si="10"/>
        <v>0</v>
      </c>
      <c r="BH132" s="58" t="s">
        <v>605</v>
      </c>
      <c r="BI132" s="58" t="s">
        <v>731</v>
      </c>
      <c r="BJ132" s="60" t="s">
        <v>90</v>
      </c>
      <c r="BK132" s="61">
        <v>1</v>
      </c>
      <c r="BL132" s="62">
        <v>1</v>
      </c>
      <c r="BM132" s="62">
        <f t="shared" si="11"/>
        <v>0</v>
      </c>
      <c r="BN132" s="58" t="s">
        <v>607</v>
      </c>
      <c r="BO132" s="59"/>
      <c r="BP132" s="59">
        <v>79</v>
      </c>
      <c r="BQ132" s="63">
        <f t="shared" si="42"/>
        <v>1</v>
      </c>
      <c r="BR132" s="45">
        <v>1</v>
      </c>
      <c r="BS132" s="45">
        <f t="shared" si="13"/>
        <v>0</v>
      </c>
      <c r="BU132" s="46"/>
      <c r="BV132" s="64">
        <v>1.375</v>
      </c>
      <c r="BW132" s="54">
        <f t="shared" si="43"/>
        <v>1</v>
      </c>
      <c r="BX132" s="45">
        <v>1</v>
      </c>
      <c r="BY132" s="45">
        <f t="shared" si="44"/>
        <v>0</v>
      </c>
      <c r="BZ132" s="61" t="s">
        <v>99</v>
      </c>
      <c r="CA132" s="46"/>
      <c r="CB132" s="65">
        <v>6822</v>
      </c>
      <c r="CC132" s="45">
        <v>3</v>
      </c>
      <c r="CD132" s="45">
        <v>2</v>
      </c>
      <c r="CE132" s="45">
        <f t="shared" si="16"/>
        <v>0.95424250943932487</v>
      </c>
      <c r="CG132" s="46"/>
      <c r="CH132" s="66" t="s">
        <v>216</v>
      </c>
      <c r="CI132" s="85">
        <v>3</v>
      </c>
      <c r="CJ132" s="68">
        <v>2</v>
      </c>
      <c r="CK132" s="68">
        <f t="shared" si="17"/>
        <v>0.95424250943932487</v>
      </c>
      <c r="CL132" s="68"/>
      <c r="CM132" s="69" t="s">
        <v>144</v>
      </c>
      <c r="CO132" s="70">
        <f t="shared" si="45"/>
        <v>2</v>
      </c>
      <c r="CQ132" s="45">
        <f t="shared" si="19"/>
        <v>0.21205389098651664</v>
      </c>
      <c r="CR132" s="45">
        <f t="shared" si="20"/>
        <v>1.6294982222188463</v>
      </c>
      <c r="CT132" s="71">
        <f t="shared" si="21"/>
        <v>1.1816378513642358</v>
      </c>
    </row>
    <row r="133" spans="1:98" ht="16">
      <c r="A133" s="36">
        <v>131</v>
      </c>
      <c r="B133" s="37"/>
      <c r="C133" s="37"/>
      <c r="D133" s="37"/>
      <c r="E133" s="38" t="s">
        <v>834</v>
      </c>
      <c r="F133" s="38" t="s">
        <v>835</v>
      </c>
      <c r="G133" s="38" t="s">
        <v>836</v>
      </c>
      <c r="H133" s="38" t="s">
        <v>83</v>
      </c>
      <c r="I133" s="72">
        <v>4.5</v>
      </c>
      <c r="J133" s="53" t="s">
        <v>88</v>
      </c>
      <c r="K133" s="42">
        <v>0</v>
      </c>
      <c r="L133" s="42">
        <v>3</v>
      </c>
      <c r="M133" s="42">
        <v>1</v>
      </c>
      <c r="N133" s="42">
        <f t="shared" si="0"/>
        <v>3</v>
      </c>
      <c r="O133" s="53"/>
      <c r="P133" s="53"/>
      <c r="Q133" s="43">
        <v>6</v>
      </c>
      <c r="R133" s="44">
        <f t="shared" si="40"/>
        <v>3</v>
      </c>
      <c r="S133" s="45">
        <v>1</v>
      </c>
      <c r="T133" s="45">
        <f t="shared" si="2"/>
        <v>3</v>
      </c>
      <c r="V133" s="46"/>
      <c r="W133" s="58" t="s">
        <v>195</v>
      </c>
      <c r="X133" s="73">
        <v>2.7</v>
      </c>
      <c r="Y133" s="44">
        <f t="shared" si="3"/>
        <v>2</v>
      </c>
      <c r="Z133" s="45">
        <v>1</v>
      </c>
      <c r="AA133" s="45">
        <f t="shared" si="4"/>
        <v>2</v>
      </c>
      <c r="AB133" s="45">
        <v>1</v>
      </c>
      <c r="AD133" s="49" t="s">
        <v>87</v>
      </c>
      <c r="AE133" s="50" t="s">
        <v>88</v>
      </c>
      <c r="AF133" s="50">
        <v>0</v>
      </c>
      <c r="AG133" s="50">
        <v>3</v>
      </c>
      <c r="AH133" s="50">
        <v>2</v>
      </c>
      <c r="AI133" s="50">
        <f t="shared" si="5"/>
        <v>6</v>
      </c>
      <c r="AJ133" s="50">
        <v>1</v>
      </c>
      <c r="AK133" s="51" t="s">
        <v>89</v>
      </c>
      <c r="AL133" s="61">
        <v>102000</v>
      </c>
      <c r="AM133" s="53" t="s">
        <v>115</v>
      </c>
      <c r="AN133" s="42">
        <v>1</v>
      </c>
      <c r="AO133" s="54">
        <f t="shared" si="41"/>
        <v>3</v>
      </c>
      <c r="AP133" s="53">
        <v>2</v>
      </c>
      <c r="AQ133" s="53">
        <f t="shared" si="7"/>
        <v>6</v>
      </c>
      <c r="AR133" s="53"/>
      <c r="AS133" s="55" t="s">
        <v>744</v>
      </c>
      <c r="AT133" s="42">
        <v>21.5</v>
      </c>
      <c r="AU133" s="42" t="s">
        <v>88</v>
      </c>
      <c r="AV133" s="56">
        <v>0</v>
      </c>
      <c r="AW133" s="44">
        <f t="shared" si="8"/>
        <v>2</v>
      </c>
      <c r="AX133" s="42">
        <v>1</v>
      </c>
      <c r="AY133" s="42">
        <f t="shared" si="9"/>
        <v>2</v>
      </c>
      <c r="AZ133" s="42"/>
      <c r="BA133" s="42"/>
      <c r="BB133" s="57" t="s">
        <v>602</v>
      </c>
      <c r="BC133" s="58" t="s">
        <v>603</v>
      </c>
      <c r="BD133" s="58" t="s">
        <v>604</v>
      </c>
      <c r="BE133" s="59">
        <v>2</v>
      </c>
      <c r="BF133" s="58">
        <v>2</v>
      </c>
      <c r="BG133" s="58">
        <f t="shared" si="10"/>
        <v>0.6020599913279624</v>
      </c>
      <c r="BH133" s="58" t="s">
        <v>605</v>
      </c>
      <c r="BI133" s="58" t="s">
        <v>815</v>
      </c>
      <c r="BJ133" s="60" t="s">
        <v>90</v>
      </c>
      <c r="BK133" s="61">
        <v>1</v>
      </c>
      <c r="BL133" s="62">
        <v>1</v>
      </c>
      <c r="BM133" s="62">
        <f t="shared" si="11"/>
        <v>0</v>
      </c>
      <c r="BN133" s="58" t="s">
        <v>607</v>
      </c>
      <c r="BO133" s="59"/>
      <c r="BP133" s="92">
        <v>64.75</v>
      </c>
      <c r="BQ133" s="90">
        <f t="shared" si="42"/>
        <v>1</v>
      </c>
      <c r="BR133" s="45">
        <v>1</v>
      </c>
      <c r="BS133" s="45">
        <f t="shared" si="13"/>
        <v>0</v>
      </c>
      <c r="BT133" s="93"/>
      <c r="BU133" s="94"/>
      <c r="BV133" s="64">
        <v>1.3333333329999999</v>
      </c>
      <c r="BW133" s="54">
        <f t="shared" si="43"/>
        <v>1</v>
      </c>
      <c r="BX133" s="45">
        <v>1</v>
      </c>
      <c r="BY133" s="45">
        <f t="shared" si="44"/>
        <v>0</v>
      </c>
      <c r="BZ133" s="61" t="s">
        <v>91</v>
      </c>
      <c r="CA133" s="46"/>
      <c r="CB133" s="65">
        <v>6728</v>
      </c>
      <c r="CC133" s="45">
        <v>3</v>
      </c>
      <c r="CD133" s="45">
        <v>2</v>
      </c>
      <c r="CE133" s="45">
        <f t="shared" si="16"/>
        <v>0.95424250943932487</v>
      </c>
      <c r="CG133" s="46"/>
      <c r="CH133" s="66" t="s">
        <v>92</v>
      </c>
      <c r="CI133" s="67">
        <v>3</v>
      </c>
      <c r="CJ133" s="68">
        <v>2</v>
      </c>
      <c r="CK133" s="68">
        <f t="shared" si="17"/>
        <v>0.95424250943932487</v>
      </c>
      <c r="CL133" s="68"/>
      <c r="CM133" s="69"/>
      <c r="CO133" s="70">
        <f t="shared" si="45"/>
        <v>2.1111111111111112</v>
      </c>
      <c r="CQ133" s="45">
        <f t="shared" si="19"/>
        <v>0.27894944557851242</v>
      </c>
      <c r="CR133" s="45">
        <f t="shared" si="20"/>
        <v>1.9008569961559403</v>
      </c>
      <c r="CT133" s="71">
        <f t="shared" si="21"/>
        <v>1.2655697469176588</v>
      </c>
    </row>
    <row r="134" spans="1:98" ht="16">
      <c r="A134" s="36">
        <v>132</v>
      </c>
      <c r="B134" s="37"/>
      <c r="C134" s="37"/>
      <c r="D134" s="37"/>
      <c r="E134" s="38" t="s">
        <v>513</v>
      </c>
      <c r="F134" s="38" t="s">
        <v>395</v>
      </c>
      <c r="G134" s="38" t="s">
        <v>514</v>
      </c>
      <c r="H134" s="38" t="s">
        <v>83</v>
      </c>
      <c r="I134" s="72">
        <v>6.5</v>
      </c>
      <c r="J134" s="53" t="s">
        <v>88</v>
      </c>
      <c r="K134" s="42">
        <v>0</v>
      </c>
      <c r="L134" s="42">
        <v>2</v>
      </c>
      <c r="M134" s="42">
        <v>1</v>
      </c>
      <c r="N134" s="42">
        <f t="shared" si="0"/>
        <v>2</v>
      </c>
      <c r="O134" s="214" t="s">
        <v>837</v>
      </c>
      <c r="P134" s="53" t="s">
        <v>665</v>
      </c>
      <c r="Q134" s="43">
        <v>9.3333333330000006</v>
      </c>
      <c r="R134" s="44">
        <f t="shared" si="40"/>
        <v>3</v>
      </c>
      <c r="S134" s="45">
        <v>1</v>
      </c>
      <c r="T134" s="45">
        <f t="shared" si="2"/>
        <v>3</v>
      </c>
      <c r="V134" s="46"/>
      <c r="W134" s="58" t="s">
        <v>510</v>
      </c>
      <c r="X134" s="73">
        <v>2.4</v>
      </c>
      <c r="Y134" s="44">
        <f t="shared" si="3"/>
        <v>3</v>
      </c>
      <c r="Z134" s="45">
        <v>1</v>
      </c>
      <c r="AA134" s="45">
        <f t="shared" si="4"/>
        <v>3</v>
      </c>
      <c r="AB134" s="45">
        <v>1</v>
      </c>
      <c r="AD134" s="49" t="s">
        <v>87</v>
      </c>
      <c r="AE134" s="50" t="s">
        <v>88</v>
      </c>
      <c r="AF134" s="50">
        <v>0</v>
      </c>
      <c r="AG134" s="50">
        <v>3</v>
      </c>
      <c r="AH134" s="50">
        <v>2</v>
      </c>
      <c r="AI134" s="50">
        <f t="shared" si="5"/>
        <v>6</v>
      </c>
      <c r="AJ134" s="50">
        <v>1</v>
      </c>
      <c r="AK134" s="51" t="s">
        <v>89</v>
      </c>
      <c r="AL134" s="61">
        <v>2225</v>
      </c>
      <c r="AM134" s="53" t="s">
        <v>115</v>
      </c>
      <c r="AN134" s="42">
        <v>1</v>
      </c>
      <c r="AO134" s="54">
        <f t="shared" si="41"/>
        <v>2</v>
      </c>
      <c r="AP134" s="53">
        <v>2</v>
      </c>
      <c r="AQ134" s="53">
        <f t="shared" si="7"/>
        <v>4</v>
      </c>
      <c r="AR134" s="53"/>
      <c r="AS134" s="55"/>
      <c r="AT134" s="42">
        <v>20.100000000000001</v>
      </c>
      <c r="AU134" s="42" t="s">
        <v>88</v>
      </c>
      <c r="AV134" s="56">
        <v>0</v>
      </c>
      <c r="AW134" s="44">
        <f t="shared" si="8"/>
        <v>2</v>
      </c>
      <c r="AX134" s="42">
        <v>1</v>
      </c>
      <c r="AY134" s="42">
        <f t="shared" si="9"/>
        <v>2</v>
      </c>
      <c r="AZ134" s="42"/>
      <c r="BA134" s="42"/>
      <c r="BB134" s="57" t="s">
        <v>602</v>
      </c>
      <c r="BC134" s="58" t="s">
        <v>603</v>
      </c>
      <c r="BD134" s="58" t="s">
        <v>609</v>
      </c>
      <c r="BE134" s="59">
        <v>1</v>
      </c>
      <c r="BF134" s="58">
        <v>2</v>
      </c>
      <c r="BG134" s="58">
        <f t="shared" si="10"/>
        <v>0</v>
      </c>
      <c r="BH134" s="58" t="s">
        <v>605</v>
      </c>
      <c r="BI134" s="58" t="s">
        <v>610</v>
      </c>
      <c r="BJ134" s="60" t="s">
        <v>90</v>
      </c>
      <c r="BK134" s="61">
        <v>1</v>
      </c>
      <c r="BL134" s="62">
        <v>1</v>
      </c>
      <c r="BM134" s="62">
        <f t="shared" si="11"/>
        <v>0</v>
      </c>
      <c r="BN134" s="58" t="s">
        <v>607</v>
      </c>
      <c r="BO134" s="59"/>
      <c r="BP134" s="59">
        <v>20.75</v>
      </c>
      <c r="BQ134" s="63">
        <f t="shared" si="42"/>
        <v>2</v>
      </c>
      <c r="BR134" s="45">
        <v>1</v>
      </c>
      <c r="BS134" s="45">
        <f t="shared" si="13"/>
        <v>0.3010299956639812</v>
      </c>
      <c r="BU134" s="46"/>
      <c r="BV134" s="64">
        <v>1.3333333329999999</v>
      </c>
      <c r="BW134" s="54">
        <f t="shared" si="43"/>
        <v>1</v>
      </c>
      <c r="BX134" s="45">
        <v>1</v>
      </c>
      <c r="BY134" s="45">
        <f t="shared" si="44"/>
        <v>0</v>
      </c>
      <c r="BZ134" s="61" t="s">
        <v>381</v>
      </c>
      <c r="CA134" s="46"/>
      <c r="CB134" s="65">
        <v>6651</v>
      </c>
      <c r="CC134" s="45">
        <v>3</v>
      </c>
      <c r="CD134" s="45">
        <v>2</v>
      </c>
      <c r="CE134" s="45">
        <f t="shared" si="16"/>
        <v>0.95424250943932487</v>
      </c>
      <c r="CG134" s="46"/>
      <c r="CH134" s="66" t="s">
        <v>92</v>
      </c>
      <c r="CI134" s="67">
        <v>3</v>
      </c>
      <c r="CJ134" s="68">
        <v>2</v>
      </c>
      <c r="CK134" s="68">
        <f t="shared" si="17"/>
        <v>0.95424250943932487</v>
      </c>
      <c r="CL134" s="78"/>
      <c r="CM134" s="79" t="s">
        <v>144</v>
      </c>
      <c r="CO134" s="70">
        <f t="shared" si="45"/>
        <v>2</v>
      </c>
      <c r="CQ134" s="45">
        <f t="shared" si="19"/>
        <v>0.24550166828251452</v>
      </c>
      <c r="CR134" s="45">
        <f t="shared" si="20"/>
        <v>1.7599554244151643</v>
      </c>
      <c r="CT134" s="71">
        <f t="shared" si="21"/>
        <v>1.2559985060094747</v>
      </c>
    </row>
    <row r="135" spans="1:98" ht="16">
      <c r="A135" s="36">
        <v>133</v>
      </c>
      <c r="B135" s="37"/>
      <c r="C135" s="37"/>
      <c r="D135" s="37"/>
      <c r="E135" s="38" t="s">
        <v>457</v>
      </c>
      <c r="F135" s="38" t="s">
        <v>168</v>
      </c>
      <c r="G135" s="38" t="s">
        <v>458</v>
      </c>
      <c r="H135" s="38" t="s">
        <v>170</v>
      </c>
      <c r="I135" s="72">
        <v>5.5</v>
      </c>
      <c r="J135" s="53" t="s">
        <v>88</v>
      </c>
      <c r="K135" s="42">
        <v>0</v>
      </c>
      <c r="L135" s="42">
        <v>2</v>
      </c>
      <c r="M135" s="42">
        <v>1</v>
      </c>
      <c r="N135" s="42">
        <f t="shared" si="0"/>
        <v>2</v>
      </c>
      <c r="O135" s="53"/>
      <c r="P135" s="53"/>
      <c r="Q135" s="43">
        <v>14</v>
      </c>
      <c r="R135" s="44">
        <f t="shared" si="40"/>
        <v>3</v>
      </c>
      <c r="S135" s="45">
        <v>1</v>
      </c>
      <c r="T135" s="45">
        <f t="shared" si="2"/>
        <v>3</v>
      </c>
      <c r="V135" s="46"/>
      <c r="W135" s="58" t="s">
        <v>213</v>
      </c>
      <c r="X135" s="73">
        <v>2</v>
      </c>
      <c r="Y135" s="44">
        <f t="shared" si="3"/>
        <v>3</v>
      </c>
      <c r="Z135" s="45">
        <v>1</v>
      </c>
      <c r="AA135" s="45">
        <f t="shared" si="4"/>
        <v>3</v>
      </c>
      <c r="AB135" s="45">
        <v>1</v>
      </c>
      <c r="AD135" s="49" t="s">
        <v>172</v>
      </c>
      <c r="AE135" s="50" t="s">
        <v>88</v>
      </c>
      <c r="AF135" s="50">
        <v>0</v>
      </c>
      <c r="AG135" s="50">
        <v>3</v>
      </c>
      <c r="AH135" s="50">
        <v>2</v>
      </c>
      <c r="AI135" s="50">
        <f t="shared" si="5"/>
        <v>6</v>
      </c>
      <c r="AJ135" s="50">
        <v>1</v>
      </c>
      <c r="AK135" s="51" t="s">
        <v>114</v>
      </c>
      <c r="AL135" s="61">
        <v>6000</v>
      </c>
      <c r="AM135" s="53" t="s">
        <v>88</v>
      </c>
      <c r="AN135" s="42">
        <v>0</v>
      </c>
      <c r="AO135" s="54">
        <f t="shared" si="41"/>
        <v>2</v>
      </c>
      <c r="AP135" s="53">
        <v>2</v>
      </c>
      <c r="AQ135" s="53">
        <f t="shared" si="7"/>
        <v>4</v>
      </c>
      <c r="AR135" s="53"/>
      <c r="AS135" s="55"/>
      <c r="AT135" s="53">
        <v>44</v>
      </c>
      <c r="AU135" s="42" t="s">
        <v>146</v>
      </c>
      <c r="AV135" s="44">
        <v>2</v>
      </c>
      <c r="AW135" s="44">
        <f t="shared" si="8"/>
        <v>1</v>
      </c>
      <c r="AX135" s="42">
        <v>1</v>
      </c>
      <c r="AY135" s="42">
        <f t="shared" si="9"/>
        <v>1</v>
      </c>
      <c r="AZ135" s="42" t="s">
        <v>173</v>
      </c>
      <c r="BA135" s="53" t="s">
        <v>632</v>
      </c>
      <c r="BB135" s="57" t="s">
        <v>602</v>
      </c>
      <c r="BC135" s="58" t="s">
        <v>603</v>
      </c>
      <c r="BD135" s="58" t="s">
        <v>609</v>
      </c>
      <c r="BE135" s="59">
        <v>1</v>
      </c>
      <c r="BF135" s="58">
        <v>2</v>
      </c>
      <c r="BG135" s="58">
        <f t="shared" si="10"/>
        <v>0</v>
      </c>
      <c r="BH135" s="58" t="s">
        <v>605</v>
      </c>
      <c r="BI135" s="58" t="s">
        <v>610</v>
      </c>
      <c r="BJ135" s="60" t="s">
        <v>90</v>
      </c>
      <c r="BK135" s="61">
        <v>1</v>
      </c>
      <c r="BL135" s="62">
        <v>1</v>
      </c>
      <c r="BM135" s="62">
        <f t="shared" si="11"/>
        <v>0</v>
      </c>
      <c r="BN135" s="58" t="s">
        <v>607</v>
      </c>
      <c r="BO135" s="59"/>
      <c r="BP135" s="59">
        <v>7.5</v>
      </c>
      <c r="BQ135" s="63">
        <f t="shared" si="42"/>
        <v>3</v>
      </c>
      <c r="BR135" s="45">
        <v>1</v>
      </c>
      <c r="BS135" s="45">
        <f t="shared" si="13"/>
        <v>0.47712125471966244</v>
      </c>
      <c r="BU135" s="46"/>
      <c r="BV135" s="64">
        <v>2</v>
      </c>
      <c r="BW135" s="54">
        <f t="shared" si="43"/>
        <v>1</v>
      </c>
      <c r="BX135" s="45">
        <v>1</v>
      </c>
      <c r="BY135" s="45">
        <f t="shared" si="44"/>
        <v>0</v>
      </c>
      <c r="BZ135" s="61" t="s">
        <v>91</v>
      </c>
      <c r="CA135" s="46"/>
      <c r="CB135" s="65">
        <v>6545</v>
      </c>
      <c r="CC135" s="45">
        <v>3</v>
      </c>
      <c r="CD135" s="45">
        <v>2</v>
      </c>
      <c r="CE135" s="45">
        <f t="shared" si="16"/>
        <v>0.95424250943932487</v>
      </c>
      <c r="CG135" s="46"/>
      <c r="CH135" s="66" t="s">
        <v>92</v>
      </c>
      <c r="CI135" s="67">
        <v>3</v>
      </c>
      <c r="CJ135" s="68">
        <v>2</v>
      </c>
      <c r="CK135" s="68">
        <f t="shared" si="17"/>
        <v>0.95424250943932487</v>
      </c>
      <c r="CL135" s="78"/>
      <c r="CM135" s="79" t="s">
        <v>144</v>
      </c>
      <c r="CO135" s="70">
        <f t="shared" si="45"/>
        <v>1.8888888888888888</v>
      </c>
      <c r="CQ135" s="45">
        <f t="shared" si="19"/>
        <v>0.26506736373314577</v>
      </c>
      <c r="CR135" s="45">
        <f t="shared" si="20"/>
        <v>1.841057547098748</v>
      </c>
      <c r="CT135" s="71">
        <f t="shared" si="21"/>
        <v>1.3935371178287039</v>
      </c>
    </row>
    <row r="136" spans="1:98" ht="16">
      <c r="A136" s="36">
        <v>134</v>
      </c>
      <c r="B136" s="37"/>
      <c r="C136" s="37"/>
      <c r="D136" s="37"/>
      <c r="E136" s="38" t="s">
        <v>838</v>
      </c>
      <c r="F136" s="38" t="s">
        <v>839</v>
      </c>
      <c r="G136" s="38" t="s">
        <v>840</v>
      </c>
      <c r="H136" s="38" t="s">
        <v>841</v>
      </c>
      <c r="I136" s="72">
        <v>8.5</v>
      </c>
      <c r="J136" s="53" t="s">
        <v>88</v>
      </c>
      <c r="K136" s="42">
        <v>0</v>
      </c>
      <c r="L136" s="42">
        <v>2</v>
      </c>
      <c r="M136" s="42">
        <v>1</v>
      </c>
      <c r="N136" s="42">
        <f t="shared" si="0"/>
        <v>2</v>
      </c>
      <c r="O136" s="53"/>
      <c r="P136" s="53"/>
      <c r="Q136" s="43">
        <v>60</v>
      </c>
      <c r="R136" s="44">
        <f t="shared" si="40"/>
        <v>2</v>
      </c>
      <c r="S136" s="45">
        <v>1</v>
      </c>
      <c r="T136" s="45">
        <f t="shared" si="2"/>
        <v>2</v>
      </c>
      <c r="V136" s="46"/>
      <c r="W136" s="58" t="s">
        <v>842</v>
      </c>
      <c r="X136" s="73">
        <v>3.3</v>
      </c>
      <c r="Y136" s="44">
        <f t="shared" si="3"/>
        <v>2</v>
      </c>
      <c r="Z136" s="45">
        <v>1</v>
      </c>
      <c r="AA136" s="45">
        <f t="shared" si="4"/>
        <v>2</v>
      </c>
      <c r="AB136" s="45">
        <v>1</v>
      </c>
      <c r="AD136" s="49" t="s">
        <v>820</v>
      </c>
      <c r="AE136" s="50" t="s">
        <v>146</v>
      </c>
      <c r="AF136" s="50">
        <v>2</v>
      </c>
      <c r="AG136" s="50">
        <v>3</v>
      </c>
      <c r="AH136" s="50">
        <v>2</v>
      </c>
      <c r="AI136" s="50">
        <f t="shared" si="5"/>
        <v>6</v>
      </c>
      <c r="AJ136" s="50" t="s">
        <v>645</v>
      </c>
      <c r="AK136" s="51"/>
      <c r="AL136" s="52">
        <v>62500</v>
      </c>
      <c r="AM136" s="53" t="s">
        <v>88</v>
      </c>
      <c r="AN136" s="42">
        <v>0</v>
      </c>
      <c r="AO136" s="54">
        <f t="shared" si="41"/>
        <v>3</v>
      </c>
      <c r="AP136" s="53">
        <v>2</v>
      </c>
      <c r="AQ136" s="53">
        <f t="shared" si="7"/>
        <v>6</v>
      </c>
      <c r="AR136" s="53"/>
      <c r="AS136" s="55"/>
      <c r="AT136" s="42">
        <v>25</v>
      </c>
      <c r="AU136" s="42" t="s">
        <v>115</v>
      </c>
      <c r="AV136" s="44">
        <v>1</v>
      </c>
      <c r="AW136" s="44">
        <f t="shared" si="8"/>
        <v>2</v>
      </c>
      <c r="AX136" s="42">
        <v>1</v>
      </c>
      <c r="AY136" s="42">
        <f t="shared" si="9"/>
        <v>2</v>
      </c>
      <c r="AZ136" s="42" t="s">
        <v>203</v>
      </c>
      <c r="BA136" s="53" t="s">
        <v>843</v>
      </c>
      <c r="BB136" s="57" t="s">
        <v>602</v>
      </c>
      <c r="BC136" s="58" t="s">
        <v>603</v>
      </c>
      <c r="BD136" s="58" t="s">
        <v>609</v>
      </c>
      <c r="BE136" s="59">
        <v>1</v>
      </c>
      <c r="BF136" s="58">
        <v>2</v>
      </c>
      <c r="BG136" s="58">
        <f t="shared" si="10"/>
        <v>0</v>
      </c>
      <c r="BH136" s="58" t="s">
        <v>605</v>
      </c>
      <c r="BI136" s="58" t="s">
        <v>610</v>
      </c>
      <c r="BJ136" s="60" t="s">
        <v>90</v>
      </c>
      <c r="BK136" s="61">
        <v>1</v>
      </c>
      <c r="BL136" s="62">
        <v>1</v>
      </c>
      <c r="BM136" s="62">
        <f t="shared" si="11"/>
        <v>0</v>
      </c>
      <c r="BN136" s="58" t="s">
        <v>607</v>
      </c>
      <c r="BO136" s="59"/>
      <c r="BP136" s="59">
        <v>24</v>
      </c>
      <c r="BQ136" s="63">
        <f t="shared" si="42"/>
        <v>2</v>
      </c>
      <c r="BR136" s="45">
        <v>1</v>
      </c>
      <c r="BS136" s="45">
        <f t="shared" si="13"/>
        <v>0.3010299956639812</v>
      </c>
      <c r="BU136" s="46"/>
      <c r="BV136" s="64">
        <v>2.5</v>
      </c>
      <c r="BW136" s="54">
        <f t="shared" si="43"/>
        <v>2</v>
      </c>
      <c r="BX136" s="45">
        <v>1</v>
      </c>
      <c r="BY136" s="45">
        <f t="shared" si="44"/>
        <v>0.3010299956639812</v>
      </c>
      <c r="BZ136" s="61" t="s">
        <v>273</v>
      </c>
      <c r="CA136" s="46"/>
      <c r="CB136" s="65">
        <v>6506</v>
      </c>
      <c r="CC136" s="45">
        <v>3</v>
      </c>
      <c r="CD136" s="45">
        <v>2</v>
      </c>
      <c r="CE136" s="45">
        <f t="shared" si="16"/>
        <v>0.95424250943932487</v>
      </c>
      <c r="CG136" s="46"/>
      <c r="CH136" s="66" t="s">
        <v>106</v>
      </c>
      <c r="CI136" s="67">
        <v>3</v>
      </c>
      <c r="CJ136" s="68">
        <v>2</v>
      </c>
      <c r="CK136" s="68">
        <f t="shared" si="17"/>
        <v>0.95424250943932487</v>
      </c>
      <c r="CL136" s="78"/>
      <c r="CM136" s="79" t="s">
        <v>144</v>
      </c>
      <c r="CO136" s="70">
        <f t="shared" si="45"/>
        <v>2</v>
      </c>
      <c r="CQ136" s="45">
        <f t="shared" si="19"/>
        <v>0.27894944557851242</v>
      </c>
      <c r="CR136" s="45">
        <f t="shared" si="20"/>
        <v>1.9008569961559403</v>
      </c>
      <c r="CT136" s="71">
        <f t="shared" si="21"/>
        <v>1.3459358556495564</v>
      </c>
    </row>
    <row r="137" spans="1:98" ht="16">
      <c r="A137" s="36">
        <v>135</v>
      </c>
      <c r="B137" s="37"/>
      <c r="C137" s="37"/>
      <c r="D137" s="37"/>
      <c r="E137" s="38" t="s">
        <v>467</v>
      </c>
      <c r="F137" s="38" t="s">
        <v>182</v>
      </c>
      <c r="G137" s="38" t="s">
        <v>468</v>
      </c>
      <c r="H137" s="38" t="s">
        <v>184</v>
      </c>
      <c r="I137" s="72">
        <v>6.5</v>
      </c>
      <c r="J137" s="53" t="s">
        <v>88</v>
      </c>
      <c r="K137" s="42">
        <v>0</v>
      </c>
      <c r="L137" s="42">
        <v>2</v>
      </c>
      <c r="M137" s="42">
        <v>1</v>
      </c>
      <c r="N137" s="42">
        <f t="shared" si="0"/>
        <v>2</v>
      </c>
      <c r="O137" s="53"/>
      <c r="P137" s="53"/>
      <c r="Q137" s="43">
        <v>12</v>
      </c>
      <c r="R137" s="44">
        <f t="shared" si="40"/>
        <v>3</v>
      </c>
      <c r="S137" s="45">
        <v>1</v>
      </c>
      <c r="T137" s="45">
        <f t="shared" si="2"/>
        <v>3</v>
      </c>
      <c r="V137" s="46"/>
      <c r="W137" s="58" t="s">
        <v>185</v>
      </c>
      <c r="X137" s="73">
        <v>3.4</v>
      </c>
      <c r="Y137" s="44">
        <f t="shared" si="3"/>
        <v>2</v>
      </c>
      <c r="Z137" s="45">
        <v>1</v>
      </c>
      <c r="AA137" s="45">
        <f t="shared" si="4"/>
        <v>2</v>
      </c>
      <c r="AB137" s="45">
        <v>1</v>
      </c>
      <c r="AD137" s="49" t="s">
        <v>163</v>
      </c>
      <c r="AE137" s="50" t="s">
        <v>146</v>
      </c>
      <c r="AF137" s="50">
        <v>2</v>
      </c>
      <c r="AG137" s="50">
        <v>3</v>
      </c>
      <c r="AH137" s="50">
        <v>2</v>
      </c>
      <c r="AI137" s="50">
        <f t="shared" si="5"/>
        <v>6</v>
      </c>
      <c r="AJ137" s="50" t="s">
        <v>645</v>
      </c>
      <c r="AK137" s="51" t="s">
        <v>186</v>
      </c>
      <c r="AL137" s="61">
        <v>37975</v>
      </c>
      <c r="AM137" s="53" t="s">
        <v>146</v>
      </c>
      <c r="AN137" s="42">
        <v>2</v>
      </c>
      <c r="AO137" s="54">
        <f t="shared" si="41"/>
        <v>3</v>
      </c>
      <c r="AP137" s="53">
        <v>2</v>
      </c>
      <c r="AQ137" s="53">
        <f t="shared" si="7"/>
        <v>6</v>
      </c>
      <c r="AR137" s="53"/>
      <c r="AS137" s="55"/>
      <c r="AT137" s="53">
        <v>30.5</v>
      </c>
      <c r="AU137" s="42" t="s">
        <v>146</v>
      </c>
      <c r="AV137" s="44">
        <v>2</v>
      </c>
      <c r="AW137" s="44">
        <f t="shared" si="8"/>
        <v>1</v>
      </c>
      <c r="AX137" s="42">
        <v>1</v>
      </c>
      <c r="AY137" s="42">
        <f t="shared" si="9"/>
        <v>1</v>
      </c>
      <c r="AZ137" s="42" t="s">
        <v>466</v>
      </c>
      <c r="BA137" s="53" t="s">
        <v>646</v>
      </c>
      <c r="BB137" s="57" t="s">
        <v>602</v>
      </c>
      <c r="BC137" s="58" t="s">
        <v>603</v>
      </c>
      <c r="BD137" s="58" t="s">
        <v>609</v>
      </c>
      <c r="BE137" s="59">
        <v>1</v>
      </c>
      <c r="BF137" s="58">
        <v>2</v>
      </c>
      <c r="BG137" s="58">
        <f t="shared" si="10"/>
        <v>0</v>
      </c>
      <c r="BH137" s="58" t="s">
        <v>605</v>
      </c>
      <c r="BI137" s="58" t="s">
        <v>610</v>
      </c>
      <c r="BJ137" s="60" t="s">
        <v>90</v>
      </c>
      <c r="BK137" s="61">
        <v>1</v>
      </c>
      <c r="BL137" s="62">
        <v>1</v>
      </c>
      <c r="BM137" s="62">
        <f t="shared" si="11"/>
        <v>0</v>
      </c>
      <c r="BN137" s="58" t="s">
        <v>607</v>
      </c>
      <c r="BO137" s="59"/>
      <c r="BP137" s="59">
        <v>7</v>
      </c>
      <c r="BQ137" s="63">
        <f t="shared" si="42"/>
        <v>3</v>
      </c>
      <c r="BR137" s="45">
        <v>1</v>
      </c>
      <c r="BS137" s="45">
        <f t="shared" si="13"/>
        <v>0.47712125471966244</v>
      </c>
      <c r="BU137" s="46"/>
      <c r="BV137" s="64">
        <v>1.3333333329999999</v>
      </c>
      <c r="BW137" s="54">
        <f t="shared" si="43"/>
        <v>1</v>
      </c>
      <c r="BX137" s="45">
        <v>1</v>
      </c>
      <c r="BY137" s="45">
        <f t="shared" si="44"/>
        <v>0</v>
      </c>
      <c r="BZ137" s="61" t="s">
        <v>91</v>
      </c>
      <c r="CA137" s="46"/>
      <c r="CB137" s="65">
        <v>6468</v>
      </c>
      <c r="CC137" s="45">
        <v>3</v>
      </c>
      <c r="CD137" s="45">
        <v>2</v>
      </c>
      <c r="CE137" s="45">
        <f t="shared" si="16"/>
        <v>0.95424250943932487</v>
      </c>
      <c r="CG137" s="46"/>
      <c r="CH137" s="66" t="s">
        <v>137</v>
      </c>
      <c r="CI137" s="67">
        <v>2</v>
      </c>
      <c r="CJ137" s="68">
        <v>2</v>
      </c>
      <c r="CK137" s="68">
        <f t="shared" si="17"/>
        <v>0.6020599913279624</v>
      </c>
      <c r="CL137" s="68"/>
      <c r="CM137" s="69"/>
      <c r="CO137" s="70">
        <f t="shared" si="45"/>
        <v>2</v>
      </c>
      <c r="CQ137" s="45">
        <f t="shared" si="19"/>
        <v>0.22593597283188332</v>
      </c>
      <c r="CR137" s="45">
        <f t="shared" si="20"/>
        <v>1.682426006079768</v>
      </c>
      <c r="CT137" s="71">
        <f t="shared" si="21"/>
        <v>1.210663146285532</v>
      </c>
    </row>
    <row r="138" spans="1:98" ht="16">
      <c r="A138" s="36">
        <v>136</v>
      </c>
      <c r="B138" s="37"/>
      <c r="C138" s="37"/>
      <c r="D138" s="37"/>
      <c r="E138" s="38" t="s">
        <v>844</v>
      </c>
      <c r="F138" s="38" t="s">
        <v>845</v>
      </c>
      <c r="G138" s="38" t="s">
        <v>846</v>
      </c>
      <c r="H138" s="38" t="s">
        <v>847</v>
      </c>
      <c r="I138" s="72">
        <v>5</v>
      </c>
      <c r="J138" s="53" t="s">
        <v>88</v>
      </c>
      <c r="K138" s="42">
        <v>0</v>
      </c>
      <c r="L138" s="42">
        <v>2</v>
      </c>
      <c r="M138" s="42">
        <v>1</v>
      </c>
      <c r="N138" s="42">
        <f t="shared" si="0"/>
        <v>2</v>
      </c>
      <c r="O138" s="53"/>
      <c r="P138" s="53"/>
      <c r="Q138" s="43">
        <v>14</v>
      </c>
      <c r="R138" s="44">
        <f t="shared" si="40"/>
        <v>3</v>
      </c>
      <c r="S138" s="45">
        <v>1</v>
      </c>
      <c r="T138" s="45">
        <f t="shared" si="2"/>
        <v>3</v>
      </c>
      <c r="V138" s="46"/>
      <c r="W138" s="58" t="s">
        <v>848</v>
      </c>
      <c r="X138" s="73">
        <v>3</v>
      </c>
      <c r="Y138" s="44">
        <f t="shared" si="3"/>
        <v>2</v>
      </c>
      <c r="Z138" s="45">
        <v>1</v>
      </c>
      <c r="AA138" s="45">
        <f t="shared" si="4"/>
        <v>2</v>
      </c>
      <c r="AB138" s="45">
        <v>1</v>
      </c>
      <c r="AD138" s="49" t="s">
        <v>163</v>
      </c>
      <c r="AE138" s="50" t="s">
        <v>146</v>
      </c>
      <c r="AF138" s="50">
        <v>2</v>
      </c>
      <c r="AG138" s="50">
        <v>3</v>
      </c>
      <c r="AH138" s="50">
        <v>2</v>
      </c>
      <c r="AI138" s="50">
        <f t="shared" si="5"/>
        <v>6</v>
      </c>
      <c r="AJ138" s="50" t="s">
        <v>849</v>
      </c>
      <c r="AK138" s="51"/>
      <c r="AL138" s="61">
        <v>350</v>
      </c>
      <c r="AM138" s="53" t="s">
        <v>88</v>
      </c>
      <c r="AN138" s="42">
        <v>0</v>
      </c>
      <c r="AO138" s="54">
        <f t="shared" si="41"/>
        <v>1</v>
      </c>
      <c r="AP138" s="53">
        <v>2</v>
      </c>
      <c r="AQ138" s="53">
        <f t="shared" si="7"/>
        <v>2</v>
      </c>
      <c r="AR138" s="53"/>
      <c r="AS138" s="100" t="s">
        <v>850</v>
      </c>
      <c r="AT138" s="42">
        <v>23.9</v>
      </c>
      <c r="AU138" s="42" t="s">
        <v>88</v>
      </c>
      <c r="AV138" s="56">
        <v>0</v>
      </c>
      <c r="AW138" s="44">
        <f t="shared" si="8"/>
        <v>2</v>
      </c>
      <c r="AX138" s="42">
        <v>1</v>
      </c>
      <c r="AY138" s="42">
        <f t="shared" si="9"/>
        <v>2</v>
      </c>
      <c r="AZ138" s="42"/>
      <c r="BA138" s="42"/>
      <c r="BB138" s="57" t="s">
        <v>602</v>
      </c>
      <c r="BC138" s="58" t="s">
        <v>603</v>
      </c>
      <c r="BD138" s="58" t="s">
        <v>609</v>
      </c>
      <c r="BE138" s="59">
        <v>1</v>
      </c>
      <c r="BF138" s="58">
        <v>2</v>
      </c>
      <c r="BG138" s="58">
        <f t="shared" si="10"/>
        <v>0</v>
      </c>
      <c r="BH138" s="58" t="s">
        <v>605</v>
      </c>
      <c r="BI138" s="58" t="s">
        <v>731</v>
      </c>
      <c r="BJ138" s="60" t="s">
        <v>90</v>
      </c>
      <c r="BK138" s="61">
        <v>1</v>
      </c>
      <c r="BL138" s="62">
        <v>1</v>
      </c>
      <c r="BM138" s="62">
        <f t="shared" si="11"/>
        <v>0</v>
      </c>
      <c r="BN138" s="58" t="s">
        <v>607</v>
      </c>
      <c r="BO138" s="59"/>
      <c r="BP138" s="59">
        <v>7</v>
      </c>
      <c r="BQ138" s="63">
        <f t="shared" si="42"/>
        <v>3</v>
      </c>
      <c r="BR138" s="45">
        <v>1</v>
      </c>
      <c r="BS138" s="45">
        <f t="shared" si="13"/>
        <v>0.47712125471966244</v>
      </c>
      <c r="BU138" s="46"/>
      <c r="BV138" s="64">
        <v>1.8333333329999999</v>
      </c>
      <c r="BW138" s="54">
        <f t="shared" si="43"/>
        <v>1</v>
      </c>
      <c r="BX138" s="45">
        <v>1</v>
      </c>
      <c r="BY138" s="45">
        <f t="shared" si="44"/>
        <v>0</v>
      </c>
      <c r="BZ138" s="61" t="s">
        <v>91</v>
      </c>
      <c r="CA138" s="46"/>
      <c r="CB138" s="65">
        <v>6405</v>
      </c>
      <c r="CC138" s="45">
        <v>3</v>
      </c>
      <c r="CD138" s="45">
        <v>2</v>
      </c>
      <c r="CE138" s="45">
        <f t="shared" si="16"/>
        <v>0.95424250943932487</v>
      </c>
      <c r="CG138" s="46"/>
      <c r="CH138" s="66" t="s">
        <v>92</v>
      </c>
      <c r="CI138" s="67">
        <v>3</v>
      </c>
      <c r="CJ138" s="68">
        <v>2</v>
      </c>
      <c r="CK138" s="68">
        <f t="shared" si="17"/>
        <v>0.95424250943932487</v>
      </c>
      <c r="CL138" s="68"/>
      <c r="CM138" s="69"/>
      <c r="CO138" s="70">
        <f t="shared" si="45"/>
        <v>1.6666666666666667</v>
      </c>
      <c r="CQ138" s="45">
        <f t="shared" si="19"/>
        <v>0.26506736373314577</v>
      </c>
      <c r="CR138" s="45">
        <f t="shared" si="20"/>
        <v>1.841057547098748</v>
      </c>
      <c r="CT138" s="71">
        <f t="shared" si="21"/>
        <v>1.5764376217629228</v>
      </c>
    </row>
    <row r="139" spans="1:98" ht="16" hidden="1">
      <c r="A139" s="36">
        <v>137</v>
      </c>
      <c r="B139" s="37"/>
      <c r="C139" s="37" t="s">
        <v>144</v>
      </c>
      <c r="D139" s="37" t="s">
        <v>686</v>
      </c>
      <c r="E139" s="38" t="s">
        <v>851</v>
      </c>
      <c r="F139" s="38" t="s">
        <v>268</v>
      </c>
      <c r="G139" s="38" t="s">
        <v>688</v>
      </c>
      <c r="H139" s="38" t="s">
        <v>184</v>
      </c>
      <c r="I139" s="87"/>
      <c r="J139" s="53"/>
      <c r="K139" s="53"/>
      <c r="L139" s="53"/>
      <c r="M139" s="42">
        <v>1</v>
      </c>
      <c r="N139" s="42">
        <f t="shared" si="0"/>
        <v>0</v>
      </c>
      <c r="O139" s="53"/>
      <c r="P139" s="53"/>
      <c r="Q139" s="43"/>
      <c r="R139" s="44" t="str">
        <f>IF(Q139="","***",IF(Q139&lt;5,3,IF(Q139&lt;15,2,1)))</f>
        <v>***</v>
      </c>
      <c r="S139" s="45">
        <v>1</v>
      </c>
      <c r="T139" s="45" t="e">
        <f t="shared" si="2"/>
        <v>#VALUE!</v>
      </c>
      <c r="V139" s="46"/>
      <c r="W139" s="58" t="s">
        <v>133</v>
      </c>
      <c r="X139" s="73">
        <v>3.3</v>
      </c>
      <c r="Y139" s="44">
        <f t="shared" si="3"/>
        <v>2</v>
      </c>
      <c r="Z139" s="45">
        <v>1</v>
      </c>
      <c r="AA139" s="45">
        <f t="shared" si="4"/>
        <v>2</v>
      </c>
      <c r="AB139" s="45">
        <v>1</v>
      </c>
      <c r="AD139" s="49" t="s">
        <v>163</v>
      </c>
      <c r="AE139" s="50" t="s">
        <v>146</v>
      </c>
      <c r="AF139" s="50">
        <v>2</v>
      </c>
      <c r="AG139" s="50">
        <v>3</v>
      </c>
      <c r="AH139" s="50">
        <v>2</v>
      </c>
      <c r="AI139" s="50">
        <f t="shared" si="5"/>
        <v>6</v>
      </c>
      <c r="AJ139" s="50" t="s">
        <v>645</v>
      </c>
      <c r="AK139" s="51" t="s">
        <v>186</v>
      </c>
      <c r="AL139" s="61"/>
      <c r="AM139" s="53"/>
      <c r="AN139" s="42"/>
      <c r="AO139" s="42"/>
      <c r="AP139" s="53">
        <v>2</v>
      </c>
      <c r="AQ139" s="53">
        <f t="shared" si="7"/>
        <v>0</v>
      </c>
      <c r="AR139" s="53"/>
      <c r="AS139" s="55"/>
      <c r="AT139" s="89"/>
      <c r="AU139" s="42"/>
      <c r="AV139" s="44"/>
      <c r="AW139" s="44" t="str">
        <f t="shared" si="8"/>
        <v>***</v>
      </c>
      <c r="AX139" s="42">
        <v>1</v>
      </c>
      <c r="AY139" s="42" t="e">
        <f t="shared" si="9"/>
        <v>#VALUE!</v>
      </c>
      <c r="AZ139" s="89"/>
      <c r="BA139" s="89"/>
      <c r="BB139" s="57"/>
      <c r="BC139" s="58"/>
      <c r="BD139" s="58"/>
      <c r="BE139" s="58"/>
      <c r="BF139" s="58">
        <v>2</v>
      </c>
      <c r="BG139" s="58" t="e">
        <f t="shared" si="10"/>
        <v>#NUM!</v>
      </c>
      <c r="BH139" s="58" t="s">
        <v>605</v>
      </c>
      <c r="BI139" s="58"/>
      <c r="BJ139" s="60" t="s">
        <v>90</v>
      </c>
      <c r="BK139" s="61">
        <v>1</v>
      </c>
      <c r="BL139" s="62">
        <v>1</v>
      </c>
      <c r="BM139" s="62">
        <f t="shared" si="11"/>
        <v>0</v>
      </c>
      <c r="BN139" s="58" t="s">
        <v>607</v>
      </c>
      <c r="BO139" s="59"/>
      <c r="BP139" s="59"/>
      <c r="BQ139" s="90"/>
      <c r="BR139" s="45">
        <v>1</v>
      </c>
      <c r="BS139" s="45" t="e">
        <f t="shared" si="13"/>
        <v>#NUM!</v>
      </c>
      <c r="BU139" s="46"/>
      <c r="BV139" s="64"/>
      <c r="BW139" s="45"/>
      <c r="BX139" s="45">
        <v>1</v>
      </c>
      <c r="BY139" s="45" t="e">
        <f>BX139*LOG(BV139)</f>
        <v>#NUM!</v>
      </c>
      <c r="BZ139" s="61"/>
      <c r="CA139" s="46"/>
      <c r="CB139" s="65">
        <v>6338</v>
      </c>
      <c r="CC139" s="45">
        <v>3</v>
      </c>
      <c r="CD139" s="45">
        <v>2</v>
      </c>
      <c r="CE139" s="45">
        <f t="shared" si="16"/>
        <v>0.95424250943932487</v>
      </c>
      <c r="CG139" s="46"/>
      <c r="CH139" s="66" t="s">
        <v>92</v>
      </c>
      <c r="CI139" s="67">
        <v>3</v>
      </c>
      <c r="CJ139" s="68">
        <v>1</v>
      </c>
      <c r="CK139" s="68">
        <f t="shared" si="17"/>
        <v>0.47712125471966244</v>
      </c>
      <c r="CL139" s="68"/>
      <c r="CM139" s="69"/>
      <c r="CO139" s="70" t="e">
        <f>(SUM(N139,T139,AA139,AI139,AQ139,AY139)/SUM(M139,S139,Z139,AH139,AP139,AX139,BF139))</f>
        <v>#VALUE!</v>
      </c>
      <c r="CQ139" s="45" t="e">
        <f t="shared" si="19"/>
        <v>#NUM!</v>
      </c>
      <c r="CR139" s="45" t="e">
        <f t="shared" si="20"/>
        <v>#NUM!</v>
      </c>
      <c r="CT139" s="71" t="e">
        <f t="shared" si="21"/>
        <v>#VALUE!</v>
      </c>
    </row>
    <row r="140" spans="1:98" ht="16">
      <c r="A140" s="36">
        <v>138</v>
      </c>
      <c r="B140" s="37"/>
      <c r="C140" s="37"/>
      <c r="D140" s="37"/>
      <c r="E140" s="38" t="s">
        <v>852</v>
      </c>
      <c r="F140" s="38" t="s">
        <v>386</v>
      </c>
      <c r="G140" s="38" t="s">
        <v>853</v>
      </c>
      <c r="H140" s="38" t="s">
        <v>170</v>
      </c>
      <c r="I140" s="72">
        <v>10</v>
      </c>
      <c r="J140" s="53" t="s">
        <v>88</v>
      </c>
      <c r="K140" s="42">
        <v>0</v>
      </c>
      <c r="L140" s="42">
        <v>2</v>
      </c>
      <c r="M140" s="42">
        <v>1</v>
      </c>
      <c r="N140" s="42">
        <f t="shared" si="0"/>
        <v>2</v>
      </c>
      <c r="O140" s="214" t="s">
        <v>854</v>
      </c>
      <c r="P140" s="53" t="s">
        <v>652</v>
      </c>
      <c r="Q140" s="43">
        <v>11</v>
      </c>
      <c r="R140" s="44">
        <f>IF(Q140="","***",IF(Q140&lt;30,3,IF(Q140&gt;60,1,2)))</f>
        <v>3</v>
      </c>
      <c r="S140" s="45">
        <v>1</v>
      </c>
      <c r="T140" s="45">
        <f t="shared" si="2"/>
        <v>3</v>
      </c>
      <c r="V140" s="46"/>
      <c r="W140" s="58" t="s">
        <v>213</v>
      </c>
      <c r="X140" s="73">
        <v>2</v>
      </c>
      <c r="Y140" s="44">
        <f t="shared" si="3"/>
        <v>3</v>
      </c>
      <c r="Z140" s="45">
        <v>1</v>
      </c>
      <c r="AA140" s="45">
        <f t="shared" si="4"/>
        <v>3</v>
      </c>
      <c r="AB140" s="45">
        <v>1</v>
      </c>
      <c r="AD140" s="49" t="s">
        <v>172</v>
      </c>
      <c r="AE140" s="50" t="s">
        <v>88</v>
      </c>
      <c r="AF140" s="50">
        <v>0</v>
      </c>
      <c r="AG140" s="50">
        <v>3</v>
      </c>
      <c r="AH140" s="50">
        <v>2</v>
      </c>
      <c r="AI140" s="50">
        <f t="shared" si="5"/>
        <v>6</v>
      </c>
      <c r="AJ140" s="50">
        <v>1</v>
      </c>
      <c r="AK140" s="51" t="s">
        <v>114</v>
      </c>
      <c r="AL140" s="61">
        <v>8450</v>
      </c>
      <c r="AM140" s="53" t="s">
        <v>115</v>
      </c>
      <c r="AN140" s="42">
        <v>1</v>
      </c>
      <c r="AO140" s="54">
        <f>IF(AL140="","***",IF(AL140&gt;15000,3,IF(AL140&lt;1000,1,2)))</f>
        <v>2</v>
      </c>
      <c r="AP140" s="53">
        <v>2</v>
      </c>
      <c r="AQ140" s="53">
        <f t="shared" si="7"/>
        <v>4</v>
      </c>
      <c r="AR140" s="53"/>
      <c r="AS140" s="55" t="s">
        <v>746</v>
      </c>
      <c r="AT140" s="53">
        <v>44</v>
      </c>
      <c r="AU140" s="42" t="s">
        <v>146</v>
      </c>
      <c r="AV140" s="44">
        <v>2</v>
      </c>
      <c r="AW140" s="44">
        <f t="shared" si="8"/>
        <v>1</v>
      </c>
      <c r="AX140" s="42">
        <v>1</v>
      </c>
      <c r="AY140" s="42">
        <f t="shared" si="9"/>
        <v>1</v>
      </c>
      <c r="AZ140" s="42" t="s">
        <v>173</v>
      </c>
      <c r="BA140" s="53" t="s">
        <v>632</v>
      </c>
      <c r="BB140" s="57" t="s">
        <v>622</v>
      </c>
      <c r="BC140" s="58" t="s">
        <v>622</v>
      </c>
      <c r="BD140" s="58" t="s">
        <v>623</v>
      </c>
      <c r="BE140" s="59">
        <v>3</v>
      </c>
      <c r="BF140" s="58">
        <v>2</v>
      </c>
      <c r="BG140" s="58">
        <f t="shared" si="10"/>
        <v>0.95424250943932487</v>
      </c>
      <c r="BH140" s="58" t="s">
        <v>605</v>
      </c>
      <c r="BI140" s="58" t="s">
        <v>775</v>
      </c>
      <c r="BJ140" s="60" t="s">
        <v>90</v>
      </c>
      <c r="BK140" s="61">
        <v>1</v>
      </c>
      <c r="BL140" s="62">
        <v>1</v>
      </c>
      <c r="BM140" s="62">
        <f t="shared" si="11"/>
        <v>0</v>
      </c>
      <c r="BN140" s="58" t="s">
        <v>607</v>
      </c>
      <c r="BO140" s="59"/>
      <c r="BP140" s="59">
        <v>5.5</v>
      </c>
      <c r="BQ140" s="63">
        <f>IF(BP140&lt;10,3,IF(BP140&lt;30,2,1))</f>
        <v>3</v>
      </c>
      <c r="BR140" s="45">
        <v>1</v>
      </c>
      <c r="BS140" s="45">
        <f t="shared" si="13"/>
        <v>0.47712125471966244</v>
      </c>
      <c r="BU140" s="46"/>
      <c r="BV140" s="64">
        <v>2</v>
      </c>
      <c r="BW140" s="54">
        <f>IF(BV140&lt;2.5,1,IF(BV140&gt;3.5,3,2))</f>
        <v>1</v>
      </c>
      <c r="BX140" s="45">
        <v>1</v>
      </c>
      <c r="BY140" s="45">
        <f>BX140*LOG(BW140)</f>
        <v>0</v>
      </c>
      <c r="BZ140" s="61">
        <v>46</v>
      </c>
      <c r="CA140" s="46"/>
      <c r="CB140" s="65">
        <v>6304</v>
      </c>
      <c r="CC140" s="45">
        <v>3</v>
      </c>
      <c r="CD140" s="45">
        <v>2</v>
      </c>
      <c r="CE140" s="45">
        <f t="shared" si="16"/>
        <v>0.95424250943932487</v>
      </c>
      <c r="CG140" s="46"/>
      <c r="CH140" s="66" t="s">
        <v>137</v>
      </c>
      <c r="CI140" s="67">
        <v>2</v>
      </c>
      <c r="CJ140" s="68">
        <v>2</v>
      </c>
      <c r="CK140" s="68">
        <f t="shared" si="17"/>
        <v>0.6020599913279624</v>
      </c>
      <c r="CL140" s="68"/>
      <c r="CM140" s="69"/>
      <c r="CO140" s="70">
        <f>(SUM(T140,AA140,AI140,AQ140,AY140)/SUM(S140,Z140,AH140,AP140,AX140,BF140))</f>
        <v>1.8888888888888888</v>
      </c>
      <c r="CQ140" s="45">
        <f t="shared" si="19"/>
        <v>0.33196291832514163</v>
      </c>
      <c r="CR140" s="45">
        <f t="shared" si="20"/>
        <v>2.1476470922214639</v>
      </c>
      <c r="CT140" s="71">
        <f t="shared" si="21"/>
        <v>1.5973921714841817</v>
      </c>
    </row>
    <row r="141" spans="1:98" ht="16" hidden="1">
      <c r="A141" s="36">
        <v>139</v>
      </c>
      <c r="B141" s="37"/>
      <c r="C141" s="37" t="s">
        <v>144</v>
      </c>
      <c r="D141" s="37" t="s">
        <v>686</v>
      </c>
      <c r="E141" s="38" t="s">
        <v>855</v>
      </c>
      <c r="F141" s="38" t="s">
        <v>101</v>
      </c>
      <c r="G141" s="38" t="s">
        <v>688</v>
      </c>
      <c r="H141" s="38" t="s">
        <v>83</v>
      </c>
      <c r="I141" s="87"/>
      <c r="J141" s="53"/>
      <c r="K141" s="53"/>
      <c r="L141" s="53"/>
      <c r="M141" s="42">
        <v>1</v>
      </c>
      <c r="N141" s="42">
        <f t="shared" si="0"/>
        <v>0</v>
      </c>
      <c r="O141" s="53"/>
      <c r="P141" s="53"/>
      <c r="Q141" s="43"/>
      <c r="R141" s="44" t="str">
        <f>IF(Q141="","***",IF(Q141&lt;5,3,IF(Q141&lt;15,2,1)))</f>
        <v>***</v>
      </c>
      <c r="S141" s="45">
        <v>1</v>
      </c>
      <c r="T141" s="45" t="e">
        <f t="shared" si="2"/>
        <v>#VALUE!</v>
      </c>
      <c r="V141" s="46"/>
      <c r="W141" s="58"/>
      <c r="X141" s="88"/>
      <c r="Y141" s="44" t="str">
        <f t="shared" si="3"/>
        <v>***</v>
      </c>
      <c r="Z141" s="45">
        <v>1</v>
      </c>
      <c r="AA141" s="45" t="e">
        <f t="shared" si="4"/>
        <v>#VALUE!</v>
      </c>
      <c r="AB141" s="45">
        <v>1</v>
      </c>
      <c r="AD141" s="49" t="s">
        <v>89</v>
      </c>
      <c r="AE141" s="50" t="s">
        <v>115</v>
      </c>
      <c r="AF141" s="50">
        <v>1</v>
      </c>
      <c r="AG141" s="50">
        <v>3</v>
      </c>
      <c r="AH141" s="50">
        <v>2</v>
      </c>
      <c r="AI141" s="50">
        <f t="shared" si="5"/>
        <v>6</v>
      </c>
      <c r="AJ141" s="50" t="s">
        <v>755</v>
      </c>
      <c r="AK141" s="51" t="s">
        <v>89</v>
      </c>
      <c r="AL141" s="61"/>
      <c r="AM141" s="53"/>
      <c r="AN141" s="42"/>
      <c r="AO141" s="42"/>
      <c r="AP141" s="53">
        <v>2</v>
      </c>
      <c r="AQ141" s="53">
        <f t="shared" si="7"/>
        <v>0</v>
      </c>
      <c r="AR141" s="53"/>
      <c r="AS141" s="55"/>
      <c r="AT141" s="89"/>
      <c r="AU141" s="42"/>
      <c r="AV141" s="44"/>
      <c r="AW141" s="44" t="str">
        <f t="shared" si="8"/>
        <v>***</v>
      </c>
      <c r="AX141" s="42">
        <v>1</v>
      </c>
      <c r="AY141" s="42" t="e">
        <f t="shared" si="9"/>
        <v>#VALUE!</v>
      </c>
      <c r="AZ141" s="89"/>
      <c r="BA141" s="89"/>
      <c r="BB141" s="57"/>
      <c r="BC141" s="58"/>
      <c r="BD141" s="58"/>
      <c r="BE141" s="58"/>
      <c r="BF141" s="58">
        <v>2</v>
      </c>
      <c r="BG141" s="58" t="e">
        <f t="shared" si="10"/>
        <v>#NUM!</v>
      </c>
      <c r="BH141" s="58" t="s">
        <v>605</v>
      </c>
      <c r="BI141" s="58"/>
      <c r="BJ141" s="60" t="s">
        <v>90</v>
      </c>
      <c r="BK141" s="61">
        <v>1</v>
      </c>
      <c r="BL141" s="62">
        <v>1</v>
      </c>
      <c r="BM141" s="62">
        <f t="shared" si="11"/>
        <v>0</v>
      </c>
      <c r="BN141" s="58" t="s">
        <v>607</v>
      </c>
      <c r="BO141" s="59"/>
      <c r="BP141" s="59"/>
      <c r="BQ141" s="90"/>
      <c r="BR141" s="45">
        <v>1</v>
      </c>
      <c r="BS141" s="45" t="e">
        <f t="shared" si="13"/>
        <v>#NUM!</v>
      </c>
      <c r="BU141" s="46"/>
      <c r="BV141" s="64"/>
      <c r="BW141" s="45"/>
      <c r="BX141" s="45">
        <v>1</v>
      </c>
      <c r="BY141" s="45" t="e">
        <f>BX141*LOG(BV141)</f>
        <v>#NUM!</v>
      </c>
      <c r="BZ141" s="61"/>
      <c r="CA141" s="46"/>
      <c r="CB141" s="65">
        <v>6225</v>
      </c>
      <c r="CC141" s="45">
        <v>3</v>
      </c>
      <c r="CD141" s="45">
        <v>2</v>
      </c>
      <c r="CE141" s="45">
        <f t="shared" si="16"/>
        <v>0.95424250943932487</v>
      </c>
      <c r="CG141" s="46"/>
      <c r="CH141" s="66" t="s">
        <v>106</v>
      </c>
      <c r="CI141" s="67">
        <v>3</v>
      </c>
      <c r="CJ141" s="68">
        <v>1</v>
      </c>
      <c r="CK141" s="68">
        <f t="shared" si="17"/>
        <v>0.47712125471966244</v>
      </c>
      <c r="CL141" s="68"/>
      <c r="CM141" s="69"/>
      <c r="CO141" s="70" t="e">
        <f>(SUM(N141,T141,AA141,AI141,AQ141,AY141)/SUM(M141,S141,Z141,AH141,AP141,AX141,BF141))</f>
        <v>#VALUE!</v>
      </c>
      <c r="CQ141" s="45" t="e">
        <f t="shared" si="19"/>
        <v>#NUM!</v>
      </c>
      <c r="CR141" s="45" t="e">
        <f t="shared" si="20"/>
        <v>#NUM!</v>
      </c>
      <c r="CT141" s="71" t="e">
        <f t="shared" si="21"/>
        <v>#VALUE!</v>
      </c>
    </row>
    <row r="142" spans="1:98" ht="16">
      <c r="A142" s="36">
        <v>140</v>
      </c>
      <c r="B142" s="37"/>
      <c r="C142" s="37"/>
      <c r="D142" s="37"/>
      <c r="E142" s="38" t="s">
        <v>856</v>
      </c>
      <c r="F142" s="38" t="s">
        <v>857</v>
      </c>
      <c r="G142" s="38" t="s">
        <v>858</v>
      </c>
      <c r="H142" s="38" t="s">
        <v>859</v>
      </c>
      <c r="I142" s="72">
        <v>4.5</v>
      </c>
      <c r="J142" s="53" t="s">
        <v>88</v>
      </c>
      <c r="K142" s="42">
        <v>0</v>
      </c>
      <c r="L142" s="42">
        <v>3</v>
      </c>
      <c r="M142" s="42">
        <v>1</v>
      </c>
      <c r="N142" s="42">
        <f t="shared" si="0"/>
        <v>3</v>
      </c>
      <c r="O142" s="53" t="s">
        <v>860</v>
      </c>
      <c r="P142" s="53"/>
      <c r="Q142" s="43">
        <v>19</v>
      </c>
      <c r="R142" s="44">
        <f t="shared" ref="R142:R156" si="46">IF(Q142="","***",IF(Q142&lt;30,3,IF(Q142&gt;60,1,2)))</f>
        <v>3</v>
      </c>
      <c r="S142" s="45">
        <v>1</v>
      </c>
      <c r="T142" s="45">
        <f t="shared" si="2"/>
        <v>3</v>
      </c>
      <c r="V142" s="46"/>
      <c r="W142" s="58" t="s">
        <v>861</v>
      </c>
      <c r="X142" s="73">
        <v>3.8</v>
      </c>
      <c r="Y142" s="44">
        <f t="shared" si="3"/>
        <v>1</v>
      </c>
      <c r="Z142" s="45">
        <v>1</v>
      </c>
      <c r="AA142" s="45">
        <f t="shared" si="4"/>
        <v>1</v>
      </c>
      <c r="AB142" s="45">
        <v>1</v>
      </c>
      <c r="AD142" s="49" t="s">
        <v>862</v>
      </c>
      <c r="AE142" s="50" t="s">
        <v>88</v>
      </c>
      <c r="AF142" s="50">
        <v>0</v>
      </c>
      <c r="AG142" s="50">
        <v>1</v>
      </c>
      <c r="AH142" s="50">
        <v>2</v>
      </c>
      <c r="AI142" s="50">
        <f t="shared" si="5"/>
        <v>2</v>
      </c>
      <c r="AJ142" s="50">
        <v>1</v>
      </c>
      <c r="AK142" s="51" t="s">
        <v>863</v>
      </c>
      <c r="AL142" s="61">
        <v>2508</v>
      </c>
      <c r="AM142" s="53" t="s">
        <v>88</v>
      </c>
      <c r="AN142" s="42">
        <v>0</v>
      </c>
      <c r="AO142" s="54">
        <f t="shared" ref="AO142:AO156" si="47">IF(AL142="","***",IF(AL142&gt;15000,3,IF(AL142&lt;1000,1,2)))</f>
        <v>2</v>
      </c>
      <c r="AP142" s="53">
        <v>2</v>
      </c>
      <c r="AQ142" s="53">
        <f t="shared" si="7"/>
        <v>4</v>
      </c>
      <c r="AR142" s="53"/>
      <c r="AS142" s="55"/>
      <c r="AT142" s="42">
        <v>0</v>
      </c>
      <c r="AU142" s="42" t="s">
        <v>88</v>
      </c>
      <c r="AV142" s="56">
        <v>0</v>
      </c>
      <c r="AW142" s="44">
        <f t="shared" si="8"/>
        <v>3</v>
      </c>
      <c r="AX142" s="42">
        <v>1</v>
      </c>
      <c r="AY142" s="42">
        <f t="shared" si="9"/>
        <v>3</v>
      </c>
      <c r="AZ142" s="42" t="s">
        <v>864</v>
      </c>
      <c r="BA142" s="77" t="s">
        <v>865</v>
      </c>
      <c r="BB142" s="57" t="s">
        <v>602</v>
      </c>
      <c r="BC142" s="58" t="s">
        <v>603</v>
      </c>
      <c r="BD142" s="58" t="s">
        <v>609</v>
      </c>
      <c r="BE142" s="59">
        <v>1</v>
      </c>
      <c r="BF142" s="58">
        <v>2</v>
      </c>
      <c r="BG142" s="58">
        <f t="shared" si="10"/>
        <v>0</v>
      </c>
      <c r="BH142" s="58" t="s">
        <v>605</v>
      </c>
      <c r="BI142" s="58" t="s">
        <v>610</v>
      </c>
      <c r="BJ142" s="60" t="s">
        <v>90</v>
      </c>
      <c r="BK142" s="61">
        <v>1</v>
      </c>
      <c r="BL142" s="62">
        <v>1</v>
      </c>
      <c r="BM142" s="62">
        <f t="shared" si="11"/>
        <v>0</v>
      </c>
      <c r="BN142" s="58" t="s">
        <v>607</v>
      </c>
      <c r="BO142" s="59"/>
      <c r="BP142" s="92">
        <v>30</v>
      </c>
      <c r="BQ142" s="90">
        <f t="shared" ref="BQ142:BQ156" si="48">IF(BP142&lt;10,3,IF(BP142&lt;30,2,1))</f>
        <v>1</v>
      </c>
      <c r="BR142" s="45">
        <v>1</v>
      </c>
      <c r="BS142" s="45">
        <f t="shared" si="13"/>
        <v>0</v>
      </c>
      <c r="BT142" s="93"/>
      <c r="BU142" s="94"/>
      <c r="BV142" s="64">
        <v>3</v>
      </c>
      <c r="BW142" s="54">
        <f t="shared" ref="BW142:BW156" si="49">IF(BV142&lt;2.5,1,IF(BV142&gt;3.5,3,2))</f>
        <v>2</v>
      </c>
      <c r="BX142" s="45">
        <v>1</v>
      </c>
      <c r="BY142" s="45">
        <f t="shared" ref="BY142:BY156" si="50">BX142*LOG(BW142)</f>
        <v>0.3010299956639812</v>
      </c>
      <c r="BZ142" s="61" t="s">
        <v>91</v>
      </c>
      <c r="CA142" s="46"/>
      <c r="CB142" s="65">
        <v>6145</v>
      </c>
      <c r="CC142" s="45">
        <v>3</v>
      </c>
      <c r="CD142" s="45">
        <v>2</v>
      </c>
      <c r="CE142" s="45">
        <f t="shared" si="16"/>
        <v>0.95424250943932487</v>
      </c>
      <c r="CG142" s="46"/>
      <c r="CH142" s="66" t="s">
        <v>137</v>
      </c>
      <c r="CI142" s="67">
        <v>2</v>
      </c>
      <c r="CJ142" s="68">
        <v>2</v>
      </c>
      <c r="CK142" s="68">
        <f t="shared" si="17"/>
        <v>0.6020599913279624</v>
      </c>
      <c r="CL142" s="68"/>
      <c r="CM142" s="69"/>
      <c r="CO142" s="70">
        <f t="shared" ref="CO142:CO156" si="51">(SUM(T142,AA142,AI142,AQ142,AY142)/SUM(S142,Z142,AH142,AP142,AX142,BF142))</f>
        <v>1.4444444444444444</v>
      </c>
      <c r="CQ142" s="45">
        <f t="shared" si="19"/>
        <v>0.20637027738125205</v>
      </c>
      <c r="CR142" s="45">
        <f t="shared" si="20"/>
        <v>1.6083119076007948</v>
      </c>
      <c r="CT142" s="71">
        <f t="shared" si="21"/>
        <v>1.6702683806348819</v>
      </c>
    </row>
    <row r="143" spans="1:98" ht="16">
      <c r="A143" s="36">
        <v>141</v>
      </c>
      <c r="B143" s="37"/>
      <c r="C143" s="37"/>
      <c r="D143" s="37" t="s">
        <v>866</v>
      </c>
      <c r="E143" s="38" t="s">
        <v>472</v>
      </c>
      <c r="F143" s="38" t="s">
        <v>158</v>
      </c>
      <c r="G143" s="101" t="s">
        <v>473</v>
      </c>
      <c r="H143" s="38" t="s">
        <v>160</v>
      </c>
      <c r="I143" s="72">
        <v>15</v>
      </c>
      <c r="J143" s="53" t="s">
        <v>88</v>
      </c>
      <c r="K143" s="42">
        <v>0</v>
      </c>
      <c r="L143" s="42">
        <v>2</v>
      </c>
      <c r="M143" s="42">
        <v>1</v>
      </c>
      <c r="N143" s="42">
        <f t="shared" si="0"/>
        <v>2</v>
      </c>
      <c r="O143" s="214" t="s">
        <v>867</v>
      </c>
      <c r="P143" s="53" t="s">
        <v>665</v>
      </c>
      <c r="Q143" s="43">
        <v>10</v>
      </c>
      <c r="R143" s="44">
        <f t="shared" si="46"/>
        <v>3</v>
      </c>
      <c r="S143" s="45">
        <v>1</v>
      </c>
      <c r="T143" s="45">
        <f t="shared" si="2"/>
        <v>3</v>
      </c>
      <c r="V143" s="46"/>
      <c r="W143" s="58" t="s">
        <v>474</v>
      </c>
      <c r="X143" s="73">
        <v>2.8</v>
      </c>
      <c r="Y143" s="44">
        <f t="shared" si="3"/>
        <v>2</v>
      </c>
      <c r="Z143" s="45">
        <v>1</v>
      </c>
      <c r="AA143" s="45">
        <f t="shared" si="4"/>
        <v>2</v>
      </c>
      <c r="AB143" s="45">
        <v>1</v>
      </c>
      <c r="AD143" s="49" t="s">
        <v>475</v>
      </c>
      <c r="AE143" s="50" t="s">
        <v>146</v>
      </c>
      <c r="AF143" s="50">
        <v>2</v>
      </c>
      <c r="AG143" s="50">
        <v>3</v>
      </c>
      <c r="AH143" s="50">
        <v>2</v>
      </c>
      <c r="AI143" s="50">
        <f t="shared" si="5"/>
        <v>6</v>
      </c>
      <c r="AJ143" s="50">
        <v>1</v>
      </c>
      <c r="AK143" s="51"/>
      <c r="AL143" s="61">
        <v>53556</v>
      </c>
      <c r="AM143" s="53" t="s">
        <v>115</v>
      </c>
      <c r="AN143" s="42">
        <v>1</v>
      </c>
      <c r="AO143" s="54">
        <f t="shared" si="47"/>
        <v>3</v>
      </c>
      <c r="AP143" s="53">
        <v>2</v>
      </c>
      <c r="AQ143" s="53">
        <f t="shared" si="7"/>
        <v>6</v>
      </c>
      <c r="AR143" s="53"/>
      <c r="AS143" s="55"/>
      <c r="AT143" s="42">
        <v>38</v>
      </c>
      <c r="AU143" s="42" t="s">
        <v>88</v>
      </c>
      <c r="AV143" s="56">
        <v>0</v>
      </c>
      <c r="AW143" s="44">
        <f t="shared" si="8"/>
        <v>1</v>
      </c>
      <c r="AX143" s="42">
        <v>1</v>
      </c>
      <c r="AY143" s="42">
        <f t="shared" si="9"/>
        <v>1</v>
      </c>
      <c r="AZ143" s="42">
        <v>89</v>
      </c>
      <c r="BA143" s="53"/>
      <c r="BB143" s="57" t="s">
        <v>642</v>
      </c>
      <c r="BC143" s="58" t="s">
        <v>643</v>
      </c>
      <c r="BD143" s="58" t="s">
        <v>609</v>
      </c>
      <c r="BE143" s="59">
        <v>2</v>
      </c>
      <c r="BF143" s="58">
        <v>2</v>
      </c>
      <c r="BG143" s="58">
        <f t="shared" si="10"/>
        <v>0.6020599913279624</v>
      </c>
      <c r="BH143" s="58" t="s">
        <v>605</v>
      </c>
      <c r="BI143" s="58" t="s">
        <v>644</v>
      </c>
      <c r="BJ143" s="81" t="s">
        <v>166</v>
      </c>
      <c r="BK143" s="61">
        <v>3</v>
      </c>
      <c r="BL143" s="62">
        <v>1</v>
      </c>
      <c r="BM143" s="62">
        <f t="shared" si="11"/>
        <v>0.47712125471966244</v>
      </c>
      <c r="BN143" s="58" t="s">
        <v>607</v>
      </c>
      <c r="BO143" s="59"/>
      <c r="BP143" s="92">
        <v>18</v>
      </c>
      <c r="BQ143" s="90">
        <f t="shared" si="48"/>
        <v>2</v>
      </c>
      <c r="BR143" s="45">
        <v>1</v>
      </c>
      <c r="BS143" s="45">
        <f t="shared" si="13"/>
        <v>0.3010299956639812</v>
      </c>
      <c r="BT143" s="93"/>
      <c r="BU143" s="94"/>
      <c r="BV143" s="64">
        <v>2.3333333330000001</v>
      </c>
      <c r="BW143" s="54">
        <f t="shared" si="49"/>
        <v>1</v>
      </c>
      <c r="BX143" s="45">
        <v>1</v>
      </c>
      <c r="BY143" s="45">
        <f t="shared" si="50"/>
        <v>0</v>
      </c>
      <c r="BZ143" s="61" t="s">
        <v>91</v>
      </c>
      <c r="CA143" s="46"/>
      <c r="CB143" s="65">
        <v>6051</v>
      </c>
      <c r="CC143" s="45">
        <v>3</v>
      </c>
      <c r="CD143" s="45">
        <v>2</v>
      </c>
      <c r="CE143" s="45">
        <f t="shared" si="16"/>
        <v>0.95424250943932487</v>
      </c>
      <c r="CG143" s="46"/>
      <c r="CH143" s="66" t="s">
        <v>92</v>
      </c>
      <c r="CI143" s="67">
        <v>3</v>
      </c>
      <c r="CJ143" s="68">
        <v>2</v>
      </c>
      <c r="CK143" s="68">
        <f t="shared" si="17"/>
        <v>0.95424250943932487</v>
      </c>
      <c r="CL143" s="68"/>
      <c r="CM143" s="69"/>
      <c r="CO143" s="70">
        <f t="shared" si="51"/>
        <v>2</v>
      </c>
      <c r="CQ143" s="45">
        <f t="shared" si="19"/>
        <v>0.36541069562113954</v>
      </c>
      <c r="CR143" s="45">
        <f t="shared" si="20"/>
        <v>2.3195871576575349</v>
      </c>
      <c r="CT143" s="71">
        <f t="shared" si="21"/>
        <v>1.655690268937609</v>
      </c>
    </row>
    <row r="144" spans="1:98" ht="16">
      <c r="A144" s="36">
        <v>142</v>
      </c>
      <c r="B144" s="37"/>
      <c r="C144" s="37"/>
      <c r="D144" s="37"/>
      <c r="E144" s="38" t="s">
        <v>482</v>
      </c>
      <c r="F144" s="38" t="s">
        <v>483</v>
      </c>
      <c r="G144" s="38" t="s">
        <v>484</v>
      </c>
      <c r="H144" s="38" t="s">
        <v>286</v>
      </c>
      <c r="I144" s="72">
        <v>7.5</v>
      </c>
      <c r="J144" s="53" t="s">
        <v>88</v>
      </c>
      <c r="K144" s="42">
        <v>0</v>
      </c>
      <c r="L144" s="42">
        <v>2</v>
      </c>
      <c r="M144" s="42">
        <v>1</v>
      </c>
      <c r="N144" s="42">
        <f t="shared" si="0"/>
        <v>2</v>
      </c>
      <c r="O144" s="53"/>
      <c r="P144" s="53"/>
      <c r="Q144" s="43">
        <v>14</v>
      </c>
      <c r="R144" s="44">
        <f t="shared" si="46"/>
        <v>3</v>
      </c>
      <c r="S144" s="45">
        <v>1</v>
      </c>
      <c r="T144" s="45">
        <f t="shared" si="2"/>
        <v>3</v>
      </c>
      <c r="V144" s="46"/>
      <c r="W144" s="58" t="s">
        <v>485</v>
      </c>
      <c r="X144" s="73">
        <v>2.8</v>
      </c>
      <c r="Y144" s="44">
        <f t="shared" si="3"/>
        <v>2</v>
      </c>
      <c r="Z144" s="45">
        <v>1</v>
      </c>
      <c r="AA144" s="45">
        <f t="shared" si="4"/>
        <v>2</v>
      </c>
      <c r="AB144" s="45">
        <v>1</v>
      </c>
      <c r="AD144" s="49" t="s">
        <v>288</v>
      </c>
      <c r="AE144" s="50" t="s">
        <v>88</v>
      </c>
      <c r="AF144" s="50">
        <v>0</v>
      </c>
      <c r="AG144" s="50">
        <v>3</v>
      </c>
      <c r="AH144" s="50">
        <v>2</v>
      </c>
      <c r="AI144" s="50">
        <f t="shared" si="5"/>
        <v>6</v>
      </c>
      <c r="AJ144" s="50">
        <v>1</v>
      </c>
      <c r="AK144" s="51" t="s">
        <v>135</v>
      </c>
      <c r="AL144" s="52">
        <v>10969</v>
      </c>
      <c r="AM144" s="53" t="s">
        <v>115</v>
      </c>
      <c r="AN144" s="42">
        <v>1</v>
      </c>
      <c r="AO144" s="54">
        <f t="shared" si="47"/>
        <v>2</v>
      </c>
      <c r="AP144" s="53">
        <v>2</v>
      </c>
      <c r="AQ144" s="53">
        <f t="shared" si="7"/>
        <v>4</v>
      </c>
      <c r="AR144" s="53"/>
      <c r="AS144" s="55"/>
      <c r="AT144" s="53">
        <v>38.5</v>
      </c>
      <c r="AU144" s="42" t="s">
        <v>115</v>
      </c>
      <c r="AV144" s="44">
        <v>1</v>
      </c>
      <c r="AW144" s="44">
        <f t="shared" si="8"/>
        <v>1</v>
      </c>
      <c r="AX144" s="42">
        <v>1</v>
      </c>
      <c r="AY144" s="42">
        <f t="shared" si="9"/>
        <v>1</v>
      </c>
      <c r="AZ144" s="42">
        <v>63</v>
      </c>
      <c r="BA144" s="53" t="s">
        <v>556</v>
      </c>
      <c r="BB144" s="57" t="s">
        <v>602</v>
      </c>
      <c r="BC144" s="58" t="s">
        <v>603</v>
      </c>
      <c r="BD144" s="58" t="s">
        <v>604</v>
      </c>
      <c r="BE144" s="59">
        <v>2</v>
      </c>
      <c r="BF144" s="58">
        <v>2</v>
      </c>
      <c r="BG144" s="58">
        <f t="shared" si="10"/>
        <v>0.6020599913279624</v>
      </c>
      <c r="BH144" s="58" t="s">
        <v>605</v>
      </c>
      <c r="BI144" s="58" t="s">
        <v>606</v>
      </c>
      <c r="BJ144" s="81" t="s">
        <v>166</v>
      </c>
      <c r="BK144" s="61">
        <v>3</v>
      </c>
      <c r="BL144" s="62">
        <v>1</v>
      </c>
      <c r="BM144" s="62">
        <f t="shared" si="11"/>
        <v>0.47712125471966244</v>
      </c>
      <c r="BN144" s="58" t="s">
        <v>607</v>
      </c>
      <c r="BO144" s="59"/>
      <c r="BP144" s="59">
        <v>30</v>
      </c>
      <c r="BQ144" s="63">
        <f t="shared" si="48"/>
        <v>1</v>
      </c>
      <c r="BR144" s="45">
        <v>1</v>
      </c>
      <c r="BS144" s="45">
        <f t="shared" si="13"/>
        <v>0</v>
      </c>
      <c r="BU144" s="46"/>
      <c r="BV144" s="64">
        <v>2.3333333330000001</v>
      </c>
      <c r="BW144" s="54">
        <f t="shared" si="49"/>
        <v>1</v>
      </c>
      <c r="BX144" s="45">
        <v>1</v>
      </c>
      <c r="BY144" s="45">
        <f t="shared" si="50"/>
        <v>0</v>
      </c>
      <c r="BZ144" s="61" t="s">
        <v>91</v>
      </c>
      <c r="CA144" s="46"/>
      <c r="CB144" s="102">
        <v>6032</v>
      </c>
      <c r="CC144" s="45">
        <v>3</v>
      </c>
      <c r="CD144" s="45">
        <v>2</v>
      </c>
      <c r="CE144" s="45">
        <f t="shared" si="16"/>
        <v>0.95424250943932487</v>
      </c>
      <c r="CG144" s="46"/>
      <c r="CH144" s="66" t="s">
        <v>106</v>
      </c>
      <c r="CI144" s="67">
        <v>3</v>
      </c>
      <c r="CJ144" s="68">
        <v>2</v>
      </c>
      <c r="CK144" s="68">
        <f t="shared" si="17"/>
        <v>0.95424250943932487</v>
      </c>
      <c r="CL144" s="68"/>
      <c r="CM144" s="69"/>
      <c r="CO144" s="70">
        <f t="shared" si="51"/>
        <v>1.7777777777777777</v>
      </c>
      <c r="CQ144" s="45">
        <f t="shared" si="19"/>
        <v>0.33196291832514163</v>
      </c>
      <c r="CR144" s="45">
        <f t="shared" si="20"/>
        <v>2.1476470922214639</v>
      </c>
      <c r="CT144" s="71">
        <f t="shared" si="21"/>
        <v>1.6765801528045741</v>
      </c>
    </row>
    <row r="145" spans="1:98" ht="16">
      <c r="A145" s="36">
        <v>143</v>
      </c>
      <c r="B145" s="37"/>
      <c r="C145" s="37"/>
      <c r="D145" s="37"/>
      <c r="E145" s="38" t="s">
        <v>868</v>
      </c>
      <c r="F145" s="38" t="s">
        <v>869</v>
      </c>
      <c r="G145" s="38" t="s">
        <v>870</v>
      </c>
      <c r="H145" s="38" t="s">
        <v>739</v>
      </c>
      <c r="I145" s="72">
        <v>10</v>
      </c>
      <c r="J145" s="53" t="s">
        <v>88</v>
      </c>
      <c r="K145" s="42">
        <v>0</v>
      </c>
      <c r="L145" s="42">
        <v>2</v>
      </c>
      <c r="M145" s="42">
        <v>1</v>
      </c>
      <c r="N145" s="42">
        <f t="shared" si="0"/>
        <v>2</v>
      </c>
      <c r="O145" s="53"/>
      <c r="P145" s="53"/>
      <c r="Q145" s="43">
        <v>37.5</v>
      </c>
      <c r="R145" s="44">
        <f t="shared" si="46"/>
        <v>2</v>
      </c>
      <c r="S145" s="45">
        <v>1</v>
      </c>
      <c r="T145" s="45">
        <f t="shared" si="2"/>
        <v>2</v>
      </c>
      <c r="V145" s="46"/>
      <c r="W145" s="58" t="s">
        <v>871</v>
      </c>
      <c r="X145" s="73">
        <v>3.4</v>
      </c>
      <c r="Y145" s="44">
        <f t="shared" si="3"/>
        <v>2</v>
      </c>
      <c r="Z145" s="45">
        <v>1</v>
      </c>
      <c r="AA145" s="45">
        <f t="shared" si="4"/>
        <v>2</v>
      </c>
      <c r="AB145" s="45">
        <v>1</v>
      </c>
      <c r="AD145" s="49" t="s">
        <v>872</v>
      </c>
      <c r="AE145" s="50" t="s">
        <v>88</v>
      </c>
      <c r="AF145" s="50">
        <v>0</v>
      </c>
      <c r="AG145" s="50">
        <v>3</v>
      </c>
      <c r="AH145" s="50">
        <v>2</v>
      </c>
      <c r="AI145" s="50">
        <f t="shared" si="5"/>
        <v>6</v>
      </c>
      <c r="AJ145" s="50">
        <v>1</v>
      </c>
      <c r="AK145" s="51" t="s">
        <v>135</v>
      </c>
      <c r="AL145" s="61">
        <v>18</v>
      </c>
      <c r="AM145" s="53" t="s">
        <v>146</v>
      </c>
      <c r="AN145" s="42">
        <v>2</v>
      </c>
      <c r="AO145" s="54">
        <f t="shared" si="47"/>
        <v>1</v>
      </c>
      <c r="AP145" s="53">
        <v>2</v>
      </c>
      <c r="AQ145" s="53">
        <f t="shared" si="7"/>
        <v>2</v>
      </c>
      <c r="AR145" s="53"/>
      <c r="AS145" s="55"/>
      <c r="AT145" s="42">
        <v>44.3</v>
      </c>
      <c r="AU145" s="42" t="s">
        <v>88</v>
      </c>
      <c r="AV145" s="56">
        <v>0</v>
      </c>
      <c r="AW145" s="44">
        <f t="shared" si="8"/>
        <v>1</v>
      </c>
      <c r="AX145" s="42">
        <v>1</v>
      </c>
      <c r="AY145" s="42">
        <f t="shared" si="9"/>
        <v>1</v>
      </c>
      <c r="AZ145" s="42"/>
      <c r="BA145" s="42"/>
      <c r="BB145" s="57" t="s">
        <v>602</v>
      </c>
      <c r="BC145" s="58" t="s">
        <v>603</v>
      </c>
      <c r="BD145" s="58" t="s">
        <v>604</v>
      </c>
      <c r="BE145" s="59">
        <v>2</v>
      </c>
      <c r="BF145" s="58">
        <v>2</v>
      </c>
      <c r="BG145" s="58">
        <f t="shared" si="10"/>
        <v>0.6020599913279624</v>
      </c>
      <c r="BH145" s="58" t="s">
        <v>605</v>
      </c>
      <c r="BI145" s="58" t="s">
        <v>606</v>
      </c>
      <c r="BJ145" s="60" t="s">
        <v>90</v>
      </c>
      <c r="BK145" s="61">
        <v>1</v>
      </c>
      <c r="BL145" s="62">
        <v>1</v>
      </c>
      <c r="BM145" s="62">
        <f t="shared" si="11"/>
        <v>0</v>
      </c>
      <c r="BN145" s="58" t="s">
        <v>607</v>
      </c>
      <c r="BO145" s="59"/>
      <c r="BP145" s="59">
        <v>82.75</v>
      </c>
      <c r="BQ145" s="63">
        <f t="shared" si="48"/>
        <v>1</v>
      </c>
      <c r="BR145" s="45">
        <v>1</v>
      </c>
      <c r="BS145" s="45">
        <f t="shared" si="13"/>
        <v>0</v>
      </c>
      <c r="BU145" s="46"/>
      <c r="BV145" s="64">
        <v>3</v>
      </c>
      <c r="BW145" s="54">
        <f t="shared" si="49"/>
        <v>2</v>
      </c>
      <c r="BX145" s="45">
        <v>1</v>
      </c>
      <c r="BY145" s="45">
        <f t="shared" si="50"/>
        <v>0.3010299956639812</v>
      </c>
      <c r="BZ145" s="61" t="s">
        <v>99</v>
      </c>
      <c r="CA145" s="46"/>
      <c r="CB145" s="65">
        <v>5971</v>
      </c>
      <c r="CC145" s="45">
        <v>2</v>
      </c>
      <c r="CD145" s="45">
        <v>2</v>
      </c>
      <c r="CE145" s="45">
        <f t="shared" si="16"/>
        <v>0.6020599913279624</v>
      </c>
      <c r="CG145" s="46"/>
      <c r="CH145" s="66" t="s">
        <v>92</v>
      </c>
      <c r="CI145" s="67">
        <v>3</v>
      </c>
      <c r="CJ145" s="68">
        <v>2</v>
      </c>
      <c r="CK145" s="68">
        <f t="shared" si="17"/>
        <v>0.95424250943932487</v>
      </c>
      <c r="CL145" s="68"/>
      <c r="CM145" s="69" t="s">
        <v>144</v>
      </c>
      <c r="CO145" s="70">
        <f t="shared" si="51"/>
        <v>1.4444444444444444</v>
      </c>
      <c r="CQ145" s="45">
        <f t="shared" si="19"/>
        <v>0.27326583197324783</v>
      </c>
      <c r="CR145" s="45">
        <f t="shared" si="20"/>
        <v>1.8761425449123872</v>
      </c>
      <c r="CT145" s="71">
        <f t="shared" si="21"/>
        <v>1.7853231767456859</v>
      </c>
    </row>
    <row r="146" spans="1:98" ht="16">
      <c r="A146" s="36">
        <v>144</v>
      </c>
      <c r="B146" s="37"/>
      <c r="C146" s="37"/>
      <c r="D146" s="37"/>
      <c r="E146" s="38" t="s">
        <v>873</v>
      </c>
      <c r="F146" s="38" t="s">
        <v>158</v>
      </c>
      <c r="G146" s="38" t="s">
        <v>874</v>
      </c>
      <c r="H146" s="38" t="s">
        <v>160</v>
      </c>
      <c r="I146" s="72">
        <v>6.5</v>
      </c>
      <c r="J146" s="53" t="s">
        <v>88</v>
      </c>
      <c r="K146" s="42">
        <v>0</v>
      </c>
      <c r="L146" s="42">
        <v>2</v>
      </c>
      <c r="M146" s="42">
        <v>1</v>
      </c>
      <c r="N146" s="42">
        <f t="shared" si="0"/>
        <v>2</v>
      </c>
      <c r="O146" s="53"/>
      <c r="P146" s="53"/>
      <c r="Q146" s="43">
        <v>19</v>
      </c>
      <c r="R146" s="44">
        <f t="shared" si="46"/>
        <v>3</v>
      </c>
      <c r="S146" s="45">
        <v>1</v>
      </c>
      <c r="T146" s="45">
        <f t="shared" si="2"/>
        <v>3</v>
      </c>
      <c r="V146" s="46"/>
      <c r="W146" s="58" t="s">
        <v>875</v>
      </c>
      <c r="X146" s="73">
        <v>2.8</v>
      </c>
      <c r="Y146" s="44">
        <f t="shared" si="3"/>
        <v>2</v>
      </c>
      <c r="Z146" s="45">
        <v>1</v>
      </c>
      <c r="AA146" s="45">
        <f t="shared" si="4"/>
        <v>2</v>
      </c>
      <c r="AB146" s="45">
        <v>1</v>
      </c>
      <c r="AD146" s="49" t="s">
        <v>876</v>
      </c>
      <c r="AE146" s="50" t="s">
        <v>88</v>
      </c>
      <c r="AF146" s="50">
        <v>0</v>
      </c>
      <c r="AG146" s="50">
        <v>3</v>
      </c>
      <c r="AH146" s="50">
        <v>2</v>
      </c>
      <c r="AI146" s="50">
        <f t="shared" si="5"/>
        <v>6</v>
      </c>
      <c r="AJ146" s="50">
        <v>1</v>
      </c>
      <c r="AK146" s="51" t="s">
        <v>877</v>
      </c>
      <c r="AL146" s="61">
        <v>42438</v>
      </c>
      <c r="AM146" s="53" t="s">
        <v>88</v>
      </c>
      <c r="AN146" s="42">
        <v>0</v>
      </c>
      <c r="AO146" s="54">
        <f t="shared" si="47"/>
        <v>3</v>
      </c>
      <c r="AP146" s="53">
        <v>2</v>
      </c>
      <c r="AQ146" s="53">
        <f t="shared" si="7"/>
        <v>6</v>
      </c>
      <c r="AR146" s="53"/>
      <c r="AS146" s="55"/>
      <c r="AT146" s="42">
        <v>30</v>
      </c>
      <c r="AU146" s="42" t="s">
        <v>88</v>
      </c>
      <c r="AV146" s="56">
        <v>0</v>
      </c>
      <c r="AW146" s="44">
        <f t="shared" si="8"/>
        <v>1</v>
      </c>
      <c r="AX146" s="42">
        <v>1</v>
      </c>
      <c r="AY146" s="42">
        <f t="shared" si="9"/>
        <v>1</v>
      </c>
      <c r="AZ146" s="42"/>
      <c r="BA146" s="42"/>
      <c r="BB146" s="57" t="s">
        <v>602</v>
      </c>
      <c r="BC146" s="58" t="s">
        <v>603</v>
      </c>
      <c r="BD146" s="58" t="s">
        <v>609</v>
      </c>
      <c r="BE146" s="59">
        <v>1</v>
      </c>
      <c r="BF146" s="58">
        <v>2</v>
      </c>
      <c r="BG146" s="58">
        <f t="shared" si="10"/>
        <v>0</v>
      </c>
      <c r="BH146" s="58" t="s">
        <v>605</v>
      </c>
      <c r="BI146" s="58" t="s">
        <v>878</v>
      </c>
      <c r="BJ146" s="81" t="s">
        <v>166</v>
      </c>
      <c r="BK146" s="61">
        <v>3</v>
      </c>
      <c r="BL146" s="62">
        <v>1</v>
      </c>
      <c r="BM146" s="62">
        <f t="shared" si="11"/>
        <v>0.47712125471966244</v>
      </c>
      <c r="BN146" s="58" t="s">
        <v>607</v>
      </c>
      <c r="BO146" s="59"/>
      <c r="BP146" s="59">
        <v>23.75</v>
      </c>
      <c r="BQ146" s="63">
        <f t="shared" si="48"/>
        <v>2</v>
      </c>
      <c r="BR146" s="45">
        <v>1</v>
      </c>
      <c r="BS146" s="45">
        <f t="shared" si="13"/>
        <v>0.3010299956639812</v>
      </c>
      <c r="BU146" s="46"/>
      <c r="BV146" s="64">
        <v>2</v>
      </c>
      <c r="BW146" s="54">
        <f t="shared" si="49"/>
        <v>1</v>
      </c>
      <c r="BX146" s="45">
        <v>1</v>
      </c>
      <c r="BY146" s="45">
        <f t="shared" si="50"/>
        <v>0</v>
      </c>
      <c r="BZ146" s="61" t="s">
        <v>273</v>
      </c>
      <c r="CA146" s="46"/>
      <c r="CB146" s="65">
        <v>5964</v>
      </c>
      <c r="CC146" s="45">
        <v>2</v>
      </c>
      <c r="CD146" s="45">
        <v>2</v>
      </c>
      <c r="CE146" s="45">
        <f t="shared" si="16"/>
        <v>0.6020599913279624</v>
      </c>
      <c r="CG146" s="46"/>
      <c r="CH146" s="66" t="s">
        <v>92</v>
      </c>
      <c r="CI146" s="67">
        <v>3</v>
      </c>
      <c r="CJ146" s="68">
        <v>2</v>
      </c>
      <c r="CK146" s="68">
        <f t="shared" si="17"/>
        <v>0.95424250943932487</v>
      </c>
      <c r="CL146" s="68"/>
      <c r="CM146" s="69"/>
      <c r="CO146" s="70">
        <f t="shared" si="51"/>
        <v>2</v>
      </c>
      <c r="CQ146" s="45">
        <f t="shared" si="19"/>
        <v>0.25938375012788117</v>
      </c>
      <c r="CR146" s="45">
        <f t="shared" si="20"/>
        <v>1.8171205928321397</v>
      </c>
      <c r="CT146" s="71">
        <f t="shared" si="21"/>
        <v>1.2913891989754085</v>
      </c>
    </row>
    <row r="147" spans="1:98" ht="16">
      <c r="A147" s="36">
        <v>145</v>
      </c>
      <c r="B147" s="37"/>
      <c r="C147" s="37"/>
      <c r="D147" s="37"/>
      <c r="E147" s="38" t="s">
        <v>879</v>
      </c>
      <c r="F147" s="38" t="s">
        <v>429</v>
      </c>
      <c r="G147" s="38" t="s">
        <v>880</v>
      </c>
      <c r="H147" s="38" t="s">
        <v>152</v>
      </c>
      <c r="I147" s="72">
        <v>6.5</v>
      </c>
      <c r="J147" s="53" t="s">
        <v>88</v>
      </c>
      <c r="K147" s="42">
        <v>0</v>
      </c>
      <c r="L147" s="42">
        <v>2</v>
      </c>
      <c r="M147" s="42">
        <v>1</v>
      </c>
      <c r="N147" s="42">
        <f t="shared" si="0"/>
        <v>2</v>
      </c>
      <c r="O147" s="53"/>
      <c r="P147" s="53"/>
      <c r="Q147" s="43">
        <v>7.5</v>
      </c>
      <c r="R147" s="44">
        <f t="shared" si="46"/>
        <v>3</v>
      </c>
      <c r="S147" s="45">
        <v>1</v>
      </c>
      <c r="T147" s="45">
        <f t="shared" si="2"/>
        <v>3</v>
      </c>
      <c r="V147" s="46"/>
      <c r="W147" s="58" t="s">
        <v>178</v>
      </c>
      <c r="X147" s="73">
        <v>3.4</v>
      </c>
      <c r="Y147" s="44">
        <f t="shared" si="3"/>
        <v>2</v>
      </c>
      <c r="Z147" s="45">
        <v>1</v>
      </c>
      <c r="AA147" s="45">
        <f t="shared" si="4"/>
        <v>2</v>
      </c>
      <c r="AB147" s="45">
        <v>1</v>
      </c>
      <c r="AD147" s="49" t="s">
        <v>362</v>
      </c>
      <c r="AE147" s="50" t="s">
        <v>88</v>
      </c>
      <c r="AF147" s="50">
        <v>0</v>
      </c>
      <c r="AG147" s="50">
        <v>2</v>
      </c>
      <c r="AH147" s="50">
        <v>2</v>
      </c>
      <c r="AI147" s="50">
        <f t="shared" si="5"/>
        <v>4</v>
      </c>
      <c r="AJ147" s="50">
        <v>1</v>
      </c>
      <c r="AK147" s="51" t="s">
        <v>156</v>
      </c>
      <c r="AL147" s="61">
        <v>539520</v>
      </c>
      <c r="AM147" s="53" t="s">
        <v>146</v>
      </c>
      <c r="AN147" s="42">
        <v>2</v>
      </c>
      <c r="AO147" s="54">
        <f t="shared" si="47"/>
        <v>3</v>
      </c>
      <c r="AP147" s="53">
        <v>2</v>
      </c>
      <c r="AQ147" s="53">
        <f t="shared" si="7"/>
        <v>6</v>
      </c>
      <c r="AR147" s="53"/>
      <c r="AS147" s="55"/>
      <c r="AT147" s="53">
        <v>26.425000000000001</v>
      </c>
      <c r="AU147" s="42" t="s">
        <v>115</v>
      </c>
      <c r="AV147" s="44">
        <v>1</v>
      </c>
      <c r="AW147" s="44">
        <f t="shared" si="8"/>
        <v>2</v>
      </c>
      <c r="AX147" s="42">
        <v>1</v>
      </c>
      <c r="AY147" s="42">
        <f t="shared" si="9"/>
        <v>2</v>
      </c>
      <c r="AZ147" s="42" t="s">
        <v>340</v>
      </c>
      <c r="BA147" s="77" t="s">
        <v>540</v>
      </c>
      <c r="BB147" s="57" t="s">
        <v>602</v>
      </c>
      <c r="BC147" s="58" t="s">
        <v>603</v>
      </c>
      <c r="BD147" s="58" t="s">
        <v>609</v>
      </c>
      <c r="BE147" s="59">
        <v>1</v>
      </c>
      <c r="BF147" s="58">
        <v>2</v>
      </c>
      <c r="BG147" s="58">
        <f t="shared" si="10"/>
        <v>0</v>
      </c>
      <c r="BH147" s="58" t="s">
        <v>605</v>
      </c>
      <c r="BI147" s="58" t="s">
        <v>878</v>
      </c>
      <c r="BJ147" s="60" t="s">
        <v>90</v>
      </c>
      <c r="BK147" s="61">
        <v>1</v>
      </c>
      <c r="BL147" s="62">
        <v>1</v>
      </c>
      <c r="BM147" s="62">
        <f t="shared" si="11"/>
        <v>0</v>
      </c>
      <c r="BN147" s="58" t="s">
        <v>607</v>
      </c>
      <c r="BO147" s="59"/>
      <c r="BP147" s="59">
        <v>23</v>
      </c>
      <c r="BQ147" s="63">
        <f t="shared" si="48"/>
        <v>2</v>
      </c>
      <c r="BR147" s="45">
        <v>1</v>
      </c>
      <c r="BS147" s="45">
        <f t="shared" si="13"/>
        <v>0.3010299956639812</v>
      </c>
      <c r="BU147" s="46"/>
      <c r="BV147" s="64">
        <v>1.375</v>
      </c>
      <c r="BW147" s="54">
        <f t="shared" si="49"/>
        <v>1</v>
      </c>
      <c r="BX147" s="45">
        <v>1</v>
      </c>
      <c r="BY147" s="45">
        <f t="shared" si="50"/>
        <v>0</v>
      </c>
      <c r="BZ147" s="61" t="s">
        <v>99</v>
      </c>
      <c r="CA147" s="46"/>
      <c r="CB147" s="65">
        <v>5928</v>
      </c>
      <c r="CC147" s="45">
        <v>2</v>
      </c>
      <c r="CD147" s="45">
        <v>2</v>
      </c>
      <c r="CE147" s="45">
        <f t="shared" si="16"/>
        <v>0.6020599913279624</v>
      </c>
      <c r="CG147" s="46"/>
      <c r="CH147" s="66" t="s">
        <v>137</v>
      </c>
      <c r="CI147" s="67">
        <v>2</v>
      </c>
      <c r="CJ147" s="68">
        <v>2</v>
      </c>
      <c r="CK147" s="68">
        <f t="shared" si="17"/>
        <v>0.6020599913279624</v>
      </c>
      <c r="CL147" s="68"/>
      <c r="CM147" s="69"/>
      <c r="CO147" s="70">
        <f t="shared" si="51"/>
        <v>1.8888888888888888</v>
      </c>
      <c r="CQ147" s="45">
        <f t="shared" si="19"/>
        <v>0.16723888647998952</v>
      </c>
      <c r="CR147" s="45">
        <f t="shared" si="20"/>
        <v>1.4697344922755988</v>
      </c>
      <c r="CT147" s="71">
        <f t="shared" si="21"/>
        <v>1.2063243322042305</v>
      </c>
    </row>
    <row r="148" spans="1:98" ht="16">
      <c r="A148" s="36">
        <v>146</v>
      </c>
      <c r="B148" s="37"/>
      <c r="C148" s="37"/>
      <c r="D148" s="37"/>
      <c r="E148" s="38" t="s">
        <v>881</v>
      </c>
      <c r="F148" s="38" t="s">
        <v>349</v>
      </c>
      <c r="G148" s="38" t="s">
        <v>882</v>
      </c>
      <c r="H148" s="38" t="s">
        <v>318</v>
      </c>
      <c r="I148" s="72">
        <v>11.5</v>
      </c>
      <c r="J148" s="53" t="s">
        <v>88</v>
      </c>
      <c r="K148" s="42">
        <v>0</v>
      </c>
      <c r="L148" s="42">
        <v>2</v>
      </c>
      <c r="M148" s="42">
        <v>1</v>
      </c>
      <c r="N148" s="42">
        <f t="shared" si="0"/>
        <v>2</v>
      </c>
      <c r="O148" s="53"/>
      <c r="P148" s="53"/>
      <c r="Q148" s="43">
        <v>20</v>
      </c>
      <c r="R148" s="44">
        <f t="shared" si="46"/>
        <v>3</v>
      </c>
      <c r="S148" s="45">
        <v>1</v>
      </c>
      <c r="T148" s="45">
        <f t="shared" si="2"/>
        <v>3</v>
      </c>
      <c r="V148" s="46"/>
      <c r="W148" s="58" t="s">
        <v>883</v>
      </c>
      <c r="X148" s="73">
        <v>3.6</v>
      </c>
      <c r="Y148" s="44">
        <f t="shared" si="3"/>
        <v>1</v>
      </c>
      <c r="Z148" s="45">
        <v>1</v>
      </c>
      <c r="AA148" s="45">
        <f t="shared" si="4"/>
        <v>1</v>
      </c>
      <c r="AB148" s="45">
        <v>1</v>
      </c>
      <c r="AD148" s="49" t="s">
        <v>163</v>
      </c>
      <c r="AE148" s="50" t="s">
        <v>146</v>
      </c>
      <c r="AF148" s="50">
        <v>2</v>
      </c>
      <c r="AG148" s="50">
        <v>3</v>
      </c>
      <c r="AH148" s="50">
        <v>2</v>
      </c>
      <c r="AI148" s="50">
        <f t="shared" si="5"/>
        <v>6</v>
      </c>
      <c r="AJ148" s="50" t="s">
        <v>645</v>
      </c>
      <c r="AK148" s="51"/>
      <c r="AL148" s="61">
        <v>48710</v>
      </c>
      <c r="AM148" s="53" t="s">
        <v>115</v>
      </c>
      <c r="AN148" s="42">
        <v>1</v>
      </c>
      <c r="AO148" s="54">
        <f t="shared" si="47"/>
        <v>3</v>
      </c>
      <c r="AP148" s="53">
        <v>2</v>
      </c>
      <c r="AQ148" s="53">
        <f t="shared" si="7"/>
        <v>6</v>
      </c>
      <c r="AR148" s="53"/>
      <c r="AS148" s="55" t="s">
        <v>884</v>
      </c>
      <c r="AT148" s="53">
        <v>26.8</v>
      </c>
      <c r="AU148" s="42" t="s">
        <v>115</v>
      </c>
      <c r="AV148" s="44">
        <v>1</v>
      </c>
      <c r="AW148" s="44">
        <f t="shared" si="8"/>
        <v>2</v>
      </c>
      <c r="AX148" s="42">
        <v>1</v>
      </c>
      <c r="AY148" s="42">
        <f t="shared" si="9"/>
        <v>2</v>
      </c>
      <c r="AZ148" s="42"/>
      <c r="BA148" s="53" t="s">
        <v>885</v>
      </c>
      <c r="BB148" s="57" t="s">
        <v>602</v>
      </c>
      <c r="BC148" s="58" t="s">
        <v>603</v>
      </c>
      <c r="BD148" s="58" t="s">
        <v>604</v>
      </c>
      <c r="BE148" s="59">
        <v>2</v>
      </c>
      <c r="BF148" s="58">
        <v>2</v>
      </c>
      <c r="BG148" s="58">
        <f t="shared" si="10"/>
        <v>0.6020599913279624</v>
      </c>
      <c r="BH148" s="58" t="s">
        <v>605</v>
      </c>
      <c r="BI148" s="58" t="s">
        <v>886</v>
      </c>
      <c r="BJ148" s="60" t="s">
        <v>90</v>
      </c>
      <c r="BK148" s="61">
        <v>1</v>
      </c>
      <c r="BL148" s="62">
        <v>1</v>
      </c>
      <c r="BM148" s="62">
        <f t="shared" si="11"/>
        <v>0</v>
      </c>
      <c r="BN148" s="58" t="s">
        <v>607</v>
      </c>
      <c r="BO148" s="59"/>
      <c r="BP148" s="59">
        <v>32.25</v>
      </c>
      <c r="BQ148" s="63">
        <f t="shared" si="48"/>
        <v>1</v>
      </c>
      <c r="BR148" s="45">
        <v>1</v>
      </c>
      <c r="BS148" s="45">
        <f t="shared" si="13"/>
        <v>0</v>
      </c>
      <c r="BU148" s="46"/>
      <c r="BV148" s="64">
        <v>2.125</v>
      </c>
      <c r="BW148" s="54">
        <f t="shared" si="49"/>
        <v>1</v>
      </c>
      <c r="BX148" s="45">
        <v>1</v>
      </c>
      <c r="BY148" s="45">
        <f t="shared" si="50"/>
        <v>0</v>
      </c>
      <c r="BZ148" s="61" t="s">
        <v>99</v>
      </c>
      <c r="CA148" s="46"/>
      <c r="CB148" s="65">
        <v>5917</v>
      </c>
      <c r="CC148" s="45">
        <v>2</v>
      </c>
      <c r="CD148" s="45">
        <v>2</v>
      </c>
      <c r="CE148" s="45">
        <f t="shared" si="16"/>
        <v>0.6020599913279624</v>
      </c>
      <c r="CG148" s="46"/>
      <c r="CH148" s="66" t="s">
        <v>92</v>
      </c>
      <c r="CI148" s="67">
        <v>3</v>
      </c>
      <c r="CJ148" s="68">
        <v>2</v>
      </c>
      <c r="CK148" s="68">
        <f t="shared" si="17"/>
        <v>0.95424250943932487</v>
      </c>
      <c r="CL148" s="68"/>
      <c r="CM148" s="69"/>
      <c r="CO148" s="70">
        <f t="shared" si="51"/>
        <v>2</v>
      </c>
      <c r="CQ148" s="45">
        <f t="shared" si="19"/>
        <v>0.23981805467724998</v>
      </c>
      <c r="CR148" s="45">
        <f t="shared" si="20"/>
        <v>1.7370729389807016</v>
      </c>
      <c r="CT148" s="71">
        <f t="shared" si="21"/>
        <v>1.2422868096287785</v>
      </c>
    </row>
    <row r="149" spans="1:98" ht="16">
      <c r="A149" s="36">
        <v>147</v>
      </c>
      <c r="B149" s="37"/>
      <c r="C149" s="37"/>
      <c r="D149" s="37"/>
      <c r="E149" s="38" t="s">
        <v>505</v>
      </c>
      <c r="F149" s="38" t="s">
        <v>395</v>
      </c>
      <c r="G149" s="38" t="s">
        <v>506</v>
      </c>
      <c r="H149" s="38" t="s">
        <v>83</v>
      </c>
      <c r="I149" s="72">
        <v>7.2</v>
      </c>
      <c r="J149" s="53" t="s">
        <v>115</v>
      </c>
      <c r="K149" s="42">
        <v>1</v>
      </c>
      <c r="L149" s="42">
        <v>2</v>
      </c>
      <c r="M149" s="42">
        <v>1</v>
      </c>
      <c r="N149" s="42">
        <f t="shared" si="0"/>
        <v>2</v>
      </c>
      <c r="O149" s="53"/>
      <c r="P149" s="53" t="s">
        <v>769</v>
      </c>
      <c r="Q149" s="43">
        <v>8</v>
      </c>
      <c r="R149" s="44">
        <f t="shared" si="46"/>
        <v>3</v>
      </c>
      <c r="S149" s="45">
        <v>1</v>
      </c>
      <c r="T149" s="45">
        <f t="shared" si="2"/>
        <v>3</v>
      </c>
      <c r="V149" s="46"/>
      <c r="W149" s="58" t="s">
        <v>195</v>
      </c>
      <c r="X149" s="73">
        <v>2.7</v>
      </c>
      <c r="Y149" s="44">
        <f t="shared" si="3"/>
        <v>2</v>
      </c>
      <c r="Z149" s="45">
        <v>1</v>
      </c>
      <c r="AA149" s="45">
        <f t="shared" si="4"/>
        <v>2</v>
      </c>
      <c r="AB149" s="45">
        <v>1</v>
      </c>
      <c r="AD149" s="49" t="s">
        <v>87</v>
      </c>
      <c r="AE149" s="50" t="s">
        <v>88</v>
      </c>
      <c r="AF149" s="50">
        <v>0</v>
      </c>
      <c r="AG149" s="50">
        <v>3</v>
      </c>
      <c r="AH149" s="50">
        <v>2</v>
      </c>
      <c r="AI149" s="50">
        <f t="shared" si="5"/>
        <v>6</v>
      </c>
      <c r="AJ149" s="50">
        <v>1</v>
      </c>
      <c r="AK149" s="51" t="s">
        <v>89</v>
      </c>
      <c r="AL149" s="61">
        <v>2225</v>
      </c>
      <c r="AM149" s="53" t="s">
        <v>115</v>
      </c>
      <c r="AN149" s="42">
        <v>1</v>
      </c>
      <c r="AO149" s="54">
        <f t="shared" si="47"/>
        <v>2</v>
      </c>
      <c r="AP149" s="53">
        <v>2</v>
      </c>
      <c r="AQ149" s="53">
        <f t="shared" si="7"/>
        <v>4</v>
      </c>
      <c r="AR149" s="53"/>
      <c r="AS149" s="55"/>
      <c r="AT149" s="42">
        <v>15.8</v>
      </c>
      <c r="AU149" s="42" t="s">
        <v>88</v>
      </c>
      <c r="AV149" s="56">
        <v>0</v>
      </c>
      <c r="AW149" s="44">
        <f t="shared" si="8"/>
        <v>2</v>
      </c>
      <c r="AX149" s="42">
        <v>1</v>
      </c>
      <c r="AY149" s="42">
        <f t="shared" si="9"/>
        <v>2</v>
      </c>
      <c r="AZ149" s="42"/>
      <c r="BA149" s="42"/>
      <c r="BB149" s="57" t="s">
        <v>602</v>
      </c>
      <c r="BC149" s="58" t="s">
        <v>603</v>
      </c>
      <c r="BD149" s="58" t="s">
        <v>609</v>
      </c>
      <c r="BE149" s="59">
        <v>1</v>
      </c>
      <c r="BF149" s="58">
        <v>2</v>
      </c>
      <c r="BG149" s="58">
        <f t="shared" si="10"/>
        <v>0</v>
      </c>
      <c r="BH149" s="58" t="s">
        <v>605</v>
      </c>
      <c r="BI149" s="58" t="s">
        <v>878</v>
      </c>
      <c r="BJ149" s="60" t="s">
        <v>90</v>
      </c>
      <c r="BK149" s="61">
        <v>1</v>
      </c>
      <c r="BL149" s="62">
        <v>1</v>
      </c>
      <c r="BM149" s="62">
        <f t="shared" si="11"/>
        <v>0</v>
      </c>
      <c r="BN149" s="58" t="s">
        <v>607</v>
      </c>
      <c r="BO149" s="59"/>
      <c r="BP149" s="59">
        <v>5.25</v>
      </c>
      <c r="BQ149" s="63">
        <f t="shared" si="48"/>
        <v>3</v>
      </c>
      <c r="BR149" s="45">
        <v>1</v>
      </c>
      <c r="BS149" s="45">
        <f t="shared" si="13"/>
        <v>0.47712125471966244</v>
      </c>
      <c r="BU149" s="46"/>
      <c r="BV149" s="64">
        <v>1</v>
      </c>
      <c r="BW149" s="54">
        <f t="shared" si="49"/>
        <v>1</v>
      </c>
      <c r="BX149" s="45">
        <v>1</v>
      </c>
      <c r="BY149" s="45">
        <f t="shared" si="50"/>
        <v>0</v>
      </c>
      <c r="BZ149" s="61" t="s">
        <v>507</v>
      </c>
      <c r="CA149" s="46"/>
      <c r="CB149" s="65">
        <v>5881</v>
      </c>
      <c r="CC149" s="45">
        <v>2</v>
      </c>
      <c r="CD149" s="45">
        <v>2</v>
      </c>
      <c r="CE149" s="45">
        <f t="shared" si="16"/>
        <v>0.6020599913279624</v>
      </c>
      <c r="CG149" s="46"/>
      <c r="CH149" s="66" t="s">
        <v>92</v>
      </c>
      <c r="CI149" s="67">
        <v>3</v>
      </c>
      <c r="CJ149" s="68">
        <v>2</v>
      </c>
      <c r="CK149" s="68">
        <f t="shared" si="17"/>
        <v>0.95424250943932487</v>
      </c>
      <c r="CL149" s="78"/>
      <c r="CM149" s="79"/>
      <c r="CO149" s="70">
        <f t="shared" si="51"/>
        <v>1.8888888888888888</v>
      </c>
      <c r="CQ149" s="45">
        <f t="shared" si="19"/>
        <v>0.22593597283188332</v>
      </c>
      <c r="CR149" s="45">
        <f t="shared" si="20"/>
        <v>1.682426006079768</v>
      </c>
      <c r="CT149" s="71">
        <f t="shared" si="21"/>
        <v>1.3039452269971126</v>
      </c>
    </row>
    <row r="150" spans="1:98" ht="16">
      <c r="A150" s="36">
        <v>148</v>
      </c>
      <c r="B150" s="37"/>
      <c r="C150" s="37"/>
      <c r="D150" s="37"/>
      <c r="E150" s="38" t="s">
        <v>522</v>
      </c>
      <c r="F150" s="38" t="s">
        <v>499</v>
      </c>
      <c r="G150" s="38" t="s">
        <v>523</v>
      </c>
      <c r="H150" s="38" t="s">
        <v>277</v>
      </c>
      <c r="I150" s="72">
        <v>10</v>
      </c>
      <c r="J150" s="53" t="s">
        <v>88</v>
      </c>
      <c r="K150" s="42">
        <v>0</v>
      </c>
      <c r="L150" s="42">
        <v>2</v>
      </c>
      <c r="M150" s="42">
        <v>1</v>
      </c>
      <c r="N150" s="42">
        <f t="shared" si="0"/>
        <v>2</v>
      </c>
      <c r="O150" s="53"/>
      <c r="P150" s="53"/>
      <c r="Q150" s="43">
        <v>24</v>
      </c>
      <c r="R150" s="44">
        <f t="shared" si="46"/>
        <v>3</v>
      </c>
      <c r="S150" s="45">
        <v>1</v>
      </c>
      <c r="T150" s="45">
        <f t="shared" si="2"/>
        <v>3</v>
      </c>
      <c r="V150" s="46"/>
      <c r="W150" s="58" t="s">
        <v>191</v>
      </c>
      <c r="X150" s="73">
        <v>3.5</v>
      </c>
      <c r="Y150" s="44">
        <f t="shared" si="3"/>
        <v>2</v>
      </c>
      <c r="Z150" s="45">
        <v>1</v>
      </c>
      <c r="AA150" s="45">
        <f t="shared" si="4"/>
        <v>2</v>
      </c>
      <c r="AB150" s="45">
        <v>1</v>
      </c>
      <c r="AD150" s="49" t="s">
        <v>455</v>
      </c>
      <c r="AE150" s="50" t="s">
        <v>88</v>
      </c>
      <c r="AF150" s="50">
        <v>0</v>
      </c>
      <c r="AG150" s="50">
        <v>3</v>
      </c>
      <c r="AH150" s="50">
        <v>2</v>
      </c>
      <c r="AI150" s="50">
        <f t="shared" si="5"/>
        <v>6</v>
      </c>
      <c r="AJ150" s="50">
        <v>1</v>
      </c>
      <c r="AK150" s="51" t="s">
        <v>114</v>
      </c>
      <c r="AL150" s="52">
        <v>40000</v>
      </c>
      <c r="AM150" s="53" t="s">
        <v>88</v>
      </c>
      <c r="AN150" s="42">
        <v>0</v>
      </c>
      <c r="AO150" s="54">
        <f t="shared" si="47"/>
        <v>3</v>
      </c>
      <c r="AP150" s="53">
        <v>2</v>
      </c>
      <c r="AQ150" s="53">
        <f t="shared" si="7"/>
        <v>6</v>
      </c>
      <c r="AR150" s="53"/>
      <c r="AS150" s="55" t="s">
        <v>524</v>
      </c>
      <c r="AT150" s="53">
        <v>42.5</v>
      </c>
      <c r="AU150" s="42" t="s">
        <v>115</v>
      </c>
      <c r="AV150" s="44">
        <v>1</v>
      </c>
      <c r="AW150" s="44">
        <f t="shared" si="8"/>
        <v>1</v>
      </c>
      <c r="AX150" s="42">
        <v>1</v>
      </c>
      <c r="AY150" s="42">
        <f t="shared" si="9"/>
        <v>1</v>
      </c>
      <c r="AZ150" s="42">
        <v>71</v>
      </c>
      <c r="BA150" s="53" t="s">
        <v>887</v>
      </c>
      <c r="BB150" s="57" t="s">
        <v>602</v>
      </c>
      <c r="BC150" s="58" t="s">
        <v>603</v>
      </c>
      <c r="BD150" s="58" t="s">
        <v>609</v>
      </c>
      <c r="BE150" s="59">
        <v>1</v>
      </c>
      <c r="BF150" s="58">
        <v>2</v>
      </c>
      <c r="BG150" s="58">
        <f t="shared" si="10"/>
        <v>0</v>
      </c>
      <c r="BH150" s="58" t="s">
        <v>605</v>
      </c>
      <c r="BI150" s="58" t="s">
        <v>610</v>
      </c>
      <c r="BJ150" s="60" t="s">
        <v>90</v>
      </c>
      <c r="BK150" s="61">
        <v>1</v>
      </c>
      <c r="BL150" s="62">
        <v>1</v>
      </c>
      <c r="BM150" s="62">
        <f t="shared" si="11"/>
        <v>0</v>
      </c>
      <c r="BN150" s="58" t="s">
        <v>607</v>
      </c>
      <c r="BO150" s="59"/>
      <c r="BP150" s="59">
        <v>10.5</v>
      </c>
      <c r="BQ150" s="63">
        <f t="shared" si="48"/>
        <v>2</v>
      </c>
      <c r="BR150" s="45">
        <v>1</v>
      </c>
      <c r="BS150" s="45">
        <f t="shared" si="13"/>
        <v>0.3010299956639812</v>
      </c>
      <c r="BU150" s="46"/>
      <c r="BV150" s="64">
        <v>1.75</v>
      </c>
      <c r="BW150" s="54">
        <f t="shared" si="49"/>
        <v>1</v>
      </c>
      <c r="BX150" s="45">
        <v>1</v>
      </c>
      <c r="BY150" s="45">
        <f t="shared" si="50"/>
        <v>0</v>
      </c>
      <c r="BZ150" s="61" t="s">
        <v>504</v>
      </c>
      <c r="CA150" s="46"/>
      <c r="CB150" s="65">
        <v>5852</v>
      </c>
      <c r="CC150" s="45">
        <v>2</v>
      </c>
      <c r="CD150" s="45">
        <v>2</v>
      </c>
      <c r="CE150" s="45">
        <f t="shared" si="16"/>
        <v>0.6020599913279624</v>
      </c>
      <c r="CG150" s="46"/>
      <c r="CH150" s="66" t="s">
        <v>216</v>
      </c>
      <c r="CI150" s="85">
        <v>3</v>
      </c>
      <c r="CJ150" s="68">
        <v>2</v>
      </c>
      <c r="CK150" s="68">
        <f t="shared" si="17"/>
        <v>0.95424250943932487</v>
      </c>
      <c r="CL150" s="68"/>
      <c r="CM150" s="69" t="s">
        <v>144</v>
      </c>
      <c r="CO150" s="70">
        <f t="shared" si="51"/>
        <v>2</v>
      </c>
      <c r="CQ150" s="45">
        <f t="shared" si="19"/>
        <v>0.20637027738125205</v>
      </c>
      <c r="CR150" s="45">
        <f t="shared" si="20"/>
        <v>1.6083119076007948</v>
      </c>
      <c r="CT150" s="71">
        <f t="shared" si="21"/>
        <v>1.1704885206309876</v>
      </c>
    </row>
    <row r="151" spans="1:98" ht="16">
      <c r="A151" s="36">
        <v>149</v>
      </c>
      <c r="B151" s="37"/>
      <c r="C151" s="37"/>
      <c r="D151" s="37"/>
      <c r="E151" s="38" t="s">
        <v>545</v>
      </c>
      <c r="F151" s="101" t="s">
        <v>546</v>
      </c>
      <c r="G151" s="38" t="s">
        <v>547</v>
      </c>
      <c r="H151" s="38" t="s">
        <v>141</v>
      </c>
      <c r="I151" s="72">
        <v>6.5</v>
      </c>
      <c r="J151" s="53" t="s">
        <v>88</v>
      </c>
      <c r="K151" s="42">
        <v>0</v>
      </c>
      <c r="L151" s="42">
        <v>2</v>
      </c>
      <c r="M151" s="42">
        <v>1</v>
      </c>
      <c r="N151" s="42">
        <f t="shared" si="0"/>
        <v>2</v>
      </c>
      <c r="O151" s="53"/>
      <c r="P151" s="53"/>
      <c r="Q151" s="43">
        <v>8</v>
      </c>
      <c r="R151" s="44">
        <f t="shared" si="46"/>
        <v>3</v>
      </c>
      <c r="S151" s="45">
        <v>1</v>
      </c>
      <c r="T151" s="45">
        <f t="shared" si="2"/>
        <v>3</v>
      </c>
      <c r="V151" s="46"/>
      <c r="W151" s="58" t="s">
        <v>548</v>
      </c>
      <c r="X151" s="73">
        <v>3.6</v>
      </c>
      <c r="Y151" s="44">
        <f t="shared" si="3"/>
        <v>1</v>
      </c>
      <c r="Z151" s="45">
        <v>1</v>
      </c>
      <c r="AA151" s="45">
        <f t="shared" si="4"/>
        <v>1</v>
      </c>
      <c r="AB151" s="45">
        <v>1</v>
      </c>
      <c r="AD151" s="49" t="s">
        <v>549</v>
      </c>
      <c r="AE151" s="50" t="s">
        <v>88</v>
      </c>
      <c r="AF151" s="50">
        <v>0</v>
      </c>
      <c r="AG151" s="50">
        <v>1</v>
      </c>
      <c r="AH151" s="50">
        <v>2</v>
      </c>
      <c r="AI151" s="50">
        <f t="shared" si="5"/>
        <v>2</v>
      </c>
      <c r="AJ151" s="50">
        <v>1</v>
      </c>
      <c r="AK151" s="51" t="s">
        <v>145</v>
      </c>
      <c r="AL151" s="61">
        <v>6294</v>
      </c>
      <c r="AM151" s="53" t="s">
        <v>115</v>
      </c>
      <c r="AN151" s="42">
        <v>1</v>
      </c>
      <c r="AO151" s="54">
        <f t="shared" si="47"/>
        <v>2</v>
      </c>
      <c r="AP151" s="53">
        <v>2</v>
      </c>
      <c r="AQ151" s="53">
        <f t="shared" si="7"/>
        <v>4</v>
      </c>
      <c r="AR151" s="53"/>
      <c r="AS151" s="55" t="s">
        <v>888</v>
      </c>
      <c r="AT151" s="42">
        <v>21.1</v>
      </c>
      <c r="AU151" s="42" t="s">
        <v>88</v>
      </c>
      <c r="AV151" s="56">
        <v>0</v>
      </c>
      <c r="AW151" s="44">
        <f t="shared" si="8"/>
        <v>2</v>
      </c>
      <c r="AX151" s="42">
        <v>1</v>
      </c>
      <c r="AY151" s="42">
        <f t="shared" si="9"/>
        <v>2</v>
      </c>
      <c r="AZ151" s="42"/>
      <c r="BA151" s="42"/>
      <c r="BB151" s="57" t="s">
        <v>602</v>
      </c>
      <c r="BC151" s="58" t="s">
        <v>603</v>
      </c>
      <c r="BD151" s="58" t="s">
        <v>609</v>
      </c>
      <c r="BE151" s="59">
        <v>1</v>
      </c>
      <c r="BF151" s="58">
        <v>2</v>
      </c>
      <c r="BG151" s="58">
        <f t="shared" si="10"/>
        <v>0</v>
      </c>
      <c r="BH151" s="58" t="s">
        <v>605</v>
      </c>
      <c r="BI151" s="58" t="s">
        <v>610</v>
      </c>
      <c r="BJ151" s="60" t="s">
        <v>90</v>
      </c>
      <c r="BK151" s="61">
        <v>1</v>
      </c>
      <c r="BL151" s="62">
        <v>1</v>
      </c>
      <c r="BM151" s="62">
        <f t="shared" si="11"/>
        <v>0</v>
      </c>
      <c r="BN151" s="58" t="s">
        <v>607</v>
      </c>
      <c r="BO151" s="59"/>
      <c r="BP151" s="92">
        <v>25.5</v>
      </c>
      <c r="BQ151" s="90">
        <f t="shared" si="48"/>
        <v>2</v>
      </c>
      <c r="BR151" s="45">
        <v>1</v>
      </c>
      <c r="BS151" s="45">
        <f t="shared" si="13"/>
        <v>0.3010299956639812</v>
      </c>
      <c r="BT151" s="93"/>
      <c r="BU151" s="94"/>
      <c r="BV151" s="64">
        <v>1.3333333329999999</v>
      </c>
      <c r="BW151" s="54">
        <f t="shared" si="49"/>
        <v>1</v>
      </c>
      <c r="BX151" s="45">
        <v>1</v>
      </c>
      <c r="BY151" s="45">
        <f t="shared" si="50"/>
        <v>0</v>
      </c>
      <c r="BZ151" s="61" t="s">
        <v>91</v>
      </c>
      <c r="CA151" s="46"/>
      <c r="CB151" s="65">
        <v>5770</v>
      </c>
      <c r="CC151" s="45">
        <v>2</v>
      </c>
      <c r="CD151" s="45">
        <v>2</v>
      </c>
      <c r="CE151" s="45">
        <f t="shared" si="16"/>
        <v>0.6020599913279624</v>
      </c>
      <c r="CG151" s="46"/>
      <c r="CH151" s="66" t="s">
        <v>92</v>
      </c>
      <c r="CI151" s="67">
        <v>3</v>
      </c>
      <c r="CJ151" s="68">
        <v>2</v>
      </c>
      <c r="CK151" s="68">
        <f t="shared" si="17"/>
        <v>0.95424250943932487</v>
      </c>
      <c r="CL151" s="68"/>
      <c r="CM151" s="69"/>
      <c r="CO151" s="70">
        <f t="shared" si="51"/>
        <v>1.3333333333333333</v>
      </c>
      <c r="CQ151" s="45">
        <f t="shared" si="19"/>
        <v>0.20637027738125205</v>
      </c>
      <c r="CR151" s="45">
        <f t="shared" si="20"/>
        <v>1.6083119076007948</v>
      </c>
      <c r="CT151" s="71">
        <f t="shared" si="21"/>
        <v>1.7742100086254433</v>
      </c>
    </row>
    <row r="152" spans="1:98" ht="16">
      <c r="A152" s="36">
        <v>150</v>
      </c>
      <c r="B152" s="37"/>
      <c r="C152" s="37"/>
      <c r="D152" s="37"/>
      <c r="E152" s="38" t="s">
        <v>889</v>
      </c>
      <c r="F152" s="38" t="s">
        <v>81</v>
      </c>
      <c r="G152" s="38" t="s">
        <v>890</v>
      </c>
      <c r="H152" s="38" t="s">
        <v>83</v>
      </c>
      <c r="I152" s="72">
        <v>6.3</v>
      </c>
      <c r="J152" s="53" t="s">
        <v>115</v>
      </c>
      <c r="K152" s="42">
        <v>1</v>
      </c>
      <c r="L152" s="42">
        <v>2</v>
      </c>
      <c r="M152" s="42">
        <v>1</v>
      </c>
      <c r="N152" s="42">
        <f t="shared" si="0"/>
        <v>2</v>
      </c>
      <c r="O152" s="42" t="s">
        <v>799</v>
      </c>
      <c r="P152" s="53"/>
      <c r="Q152" s="43">
        <v>17</v>
      </c>
      <c r="R152" s="44">
        <f t="shared" si="46"/>
        <v>3</v>
      </c>
      <c r="S152" s="45">
        <v>1</v>
      </c>
      <c r="T152" s="45">
        <f t="shared" si="2"/>
        <v>3</v>
      </c>
      <c r="V152" s="46"/>
      <c r="W152" s="58" t="s">
        <v>891</v>
      </c>
      <c r="X152" s="73">
        <v>3</v>
      </c>
      <c r="Y152" s="44">
        <f t="shared" si="3"/>
        <v>2</v>
      </c>
      <c r="Z152" s="45">
        <v>1</v>
      </c>
      <c r="AA152" s="45">
        <f t="shared" si="4"/>
        <v>2</v>
      </c>
      <c r="AB152" s="45">
        <v>1</v>
      </c>
      <c r="AD152" s="49" t="s">
        <v>87</v>
      </c>
      <c r="AE152" s="50" t="s">
        <v>88</v>
      </c>
      <c r="AF152" s="50">
        <v>0</v>
      </c>
      <c r="AG152" s="50">
        <v>3</v>
      </c>
      <c r="AH152" s="50">
        <v>2</v>
      </c>
      <c r="AI152" s="50">
        <f t="shared" si="5"/>
        <v>6</v>
      </c>
      <c r="AJ152" s="50">
        <v>1</v>
      </c>
      <c r="AK152" s="51" t="s">
        <v>89</v>
      </c>
      <c r="AL152" s="61">
        <v>102000</v>
      </c>
      <c r="AM152" s="53" t="s">
        <v>115</v>
      </c>
      <c r="AN152" s="42">
        <v>1</v>
      </c>
      <c r="AO152" s="54">
        <f t="shared" si="47"/>
        <v>3</v>
      </c>
      <c r="AP152" s="53">
        <v>2</v>
      </c>
      <c r="AQ152" s="53">
        <f t="shared" si="7"/>
        <v>6</v>
      </c>
      <c r="AR152" s="53"/>
      <c r="AS152" s="55" t="s">
        <v>744</v>
      </c>
      <c r="AT152" s="53">
        <v>30</v>
      </c>
      <c r="AU152" s="42" t="s">
        <v>115</v>
      </c>
      <c r="AV152" s="44">
        <v>1</v>
      </c>
      <c r="AW152" s="44">
        <f t="shared" si="8"/>
        <v>1</v>
      </c>
      <c r="AX152" s="42">
        <v>1</v>
      </c>
      <c r="AY152" s="42">
        <f t="shared" si="9"/>
        <v>1</v>
      </c>
      <c r="AZ152" s="42" t="s">
        <v>197</v>
      </c>
      <c r="BA152" s="53" t="s">
        <v>892</v>
      </c>
      <c r="BB152" s="57" t="s">
        <v>602</v>
      </c>
      <c r="BC152" s="58" t="s">
        <v>603</v>
      </c>
      <c r="BD152" s="58" t="s">
        <v>609</v>
      </c>
      <c r="BE152" s="59">
        <v>1</v>
      </c>
      <c r="BF152" s="58">
        <v>2</v>
      </c>
      <c r="BG152" s="58">
        <f t="shared" si="10"/>
        <v>0</v>
      </c>
      <c r="BH152" s="58" t="s">
        <v>605</v>
      </c>
      <c r="BI152" s="58" t="s">
        <v>610</v>
      </c>
      <c r="BJ152" s="60" t="s">
        <v>90</v>
      </c>
      <c r="BK152" s="61">
        <v>1</v>
      </c>
      <c r="BL152" s="62">
        <v>1</v>
      </c>
      <c r="BM152" s="62">
        <f t="shared" si="11"/>
        <v>0</v>
      </c>
      <c r="BN152" s="58" t="s">
        <v>607</v>
      </c>
      <c r="BO152" s="59"/>
      <c r="BP152" s="59">
        <v>40</v>
      </c>
      <c r="BQ152" s="63">
        <f t="shared" si="48"/>
        <v>1</v>
      </c>
      <c r="BR152" s="45">
        <v>1</v>
      </c>
      <c r="BS152" s="45">
        <f t="shared" si="13"/>
        <v>0</v>
      </c>
      <c r="BU152" s="46"/>
      <c r="BV152" s="64">
        <v>1.5</v>
      </c>
      <c r="BW152" s="54">
        <f t="shared" si="49"/>
        <v>1</v>
      </c>
      <c r="BX152" s="45">
        <v>1</v>
      </c>
      <c r="BY152" s="45">
        <f t="shared" si="50"/>
        <v>0</v>
      </c>
      <c r="BZ152" s="61" t="s">
        <v>273</v>
      </c>
      <c r="CA152" s="46"/>
      <c r="CB152" s="65">
        <v>5570</v>
      </c>
      <c r="CC152" s="45">
        <v>2</v>
      </c>
      <c r="CD152" s="45">
        <v>2</v>
      </c>
      <c r="CE152" s="45">
        <f t="shared" si="16"/>
        <v>0.6020599913279624</v>
      </c>
      <c r="CG152" s="46"/>
      <c r="CH152" s="66" t="s">
        <v>250</v>
      </c>
      <c r="CI152" s="67">
        <v>3</v>
      </c>
      <c r="CJ152" s="68">
        <v>2</v>
      </c>
      <c r="CK152" s="68">
        <f t="shared" si="17"/>
        <v>0.95424250943932487</v>
      </c>
      <c r="CL152" s="68"/>
      <c r="CM152" s="69"/>
      <c r="CO152" s="70">
        <f t="shared" si="51"/>
        <v>2</v>
      </c>
      <c r="CQ152" s="45">
        <f t="shared" si="19"/>
        <v>0.17292250008525414</v>
      </c>
      <c r="CR152" s="45">
        <f t="shared" si="20"/>
        <v>1.4890953247181091</v>
      </c>
      <c r="CT152" s="71">
        <f t="shared" si="21"/>
        <v>1.11319999850032</v>
      </c>
    </row>
    <row r="153" spans="1:98" ht="16">
      <c r="A153" s="36">
        <v>151</v>
      </c>
      <c r="B153" s="37"/>
      <c r="C153" s="37"/>
      <c r="D153" s="37"/>
      <c r="E153" s="38" t="s">
        <v>893</v>
      </c>
      <c r="F153" s="38" t="s">
        <v>124</v>
      </c>
      <c r="G153" s="38" t="s">
        <v>894</v>
      </c>
      <c r="H153" s="38" t="s">
        <v>83</v>
      </c>
      <c r="I153" s="72">
        <v>20</v>
      </c>
      <c r="J153" s="53" t="s">
        <v>88</v>
      </c>
      <c r="K153" s="42">
        <v>0</v>
      </c>
      <c r="L153" s="42">
        <v>1</v>
      </c>
      <c r="M153" s="42">
        <v>1</v>
      </c>
      <c r="N153" s="42">
        <f t="shared" si="0"/>
        <v>1</v>
      </c>
      <c r="O153" s="214" t="s">
        <v>895</v>
      </c>
      <c r="P153" s="53" t="s">
        <v>652</v>
      </c>
      <c r="Q153" s="43">
        <v>14</v>
      </c>
      <c r="R153" s="44">
        <f t="shared" si="46"/>
        <v>3</v>
      </c>
      <c r="S153" s="45">
        <v>1</v>
      </c>
      <c r="T153" s="45">
        <f t="shared" si="2"/>
        <v>3</v>
      </c>
      <c r="V153" s="46"/>
      <c r="W153" s="58" t="s">
        <v>258</v>
      </c>
      <c r="X153" s="73">
        <v>2.7</v>
      </c>
      <c r="Y153" s="44">
        <f t="shared" si="3"/>
        <v>2</v>
      </c>
      <c r="Z153" s="45">
        <v>1</v>
      </c>
      <c r="AA153" s="45">
        <f t="shared" si="4"/>
        <v>2</v>
      </c>
      <c r="AB153" s="45">
        <v>1</v>
      </c>
      <c r="AD153" s="49" t="s">
        <v>896</v>
      </c>
      <c r="AE153" s="50" t="s">
        <v>88</v>
      </c>
      <c r="AF153" s="50">
        <v>0</v>
      </c>
      <c r="AG153" s="50">
        <v>3</v>
      </c>
      <c r="AH153" s="50">
        <v>2</v>
      </c>
      <c r="AI153" s="50">
        <f t="shared" si="5"/>
        <v>6</v>
      </c>
      <c r="AJ153" s="50">
        <v>1</v>
      </c>
      <c r="AK153" s="51" t="s">
        <v>89</v>
      </c>
      <c r="AL153" s="52">
        <v>12730</v>
      </c>
      <c r="AM153" s="53" t="s">
        <v>115</v>
      </c>
      <c r="AN153" s="42">
        <v>0</v>
      </c>
      <c r="AO153" s="54">
        <f t="shared" si="47"/>
        <v>2</v>
      </c>
      <c r="AP153" s="53">
        <v>2</v>
      </c>
      <c r="AQ153" s="53">
        <f t="shared" si="7"/>
        <v>4</v>
      </c>
      <c r="AR153" s="53"/>
      <c r="AS153" s="55"/>
      <c r="AT153" s="42">
        <v>17</v>
      </c>
      <c r="AU153" s="42" t="s">
        <v>115</v>
      </c>
      <c r="AV153" s="44">
        <v>1</v>
      </c>
      <c r="AW153" s="44">
        <f t="shared" si="8"/>
        <v>2</v>
      </c>
      <c r="AX153" s="42">
        <v>1</v>
      </c>
      <c r="AY153" s="42">
        <f t="shared" si="9"/>
        <v>2</v>
      </c>
      <c r="AZ153" s="42" t="s">
        <v>197</v>
      </c>
      <c r="BA153" s="53" t="s">
        <v>681</v>
      </c>
      <c r="BB153" s="57" t="s">
        <v>622</v>
      </c>
      <c r="BC153" s="58" t="s">
        <v>622</v>
      </c>
      <c r="BD153" s="58" t="s">
        <v>623</v>
      </c>
      <c r="BE153" s="59">
        <v>3</v>
      </c>
      <c r="BF153" s="58">
        <v>2</v>
      </c>
      <c r="BG153" s="58">
        <f t="shared" si="10"/>
        <v>0.95424250943932487</v>
      </c>
      <c r="BH153" s="58" t="s">
        <v>605</v>
      </c>
      <c r="BI153" s="58" t="s">
        <v>624</v>
      </c>
      <c r="BJ153" s="60" t="s">
        <v>90</v>
      </c>
      <c r="BK153" s="61">
        <v>1</v>
      </c>
      <c r="BL153" s="62">
        <v>1</v>
      </c>
      <c r="BM153" s="62">
        <f t="shared" si="11"/>
        <v>0</v>
      </c>
      <c r="BN153" s="58" t="s">
        <v>607</v>
      </c>
      <c r="BO153" s="59"/>
      <c r="BP153" s="59">
        <v>20.5</v>
      </c>
      <c r="BQ153" s="63">
        <f t="shared" si="48"/>
        <v>2</v>
      </c>
      <c r="BR153" s="45">
        <v>1</v>
      </c>
      <c r="BS153" s="45">
        <f t="shared" si="13"/>
        <v>0.3010299956639812</v>
      </c>
      <c r="BU153" s="46"/>
      <c r="BV153" s="64">
        <v>1.5</v>
      </c>
      <c r="BW153" s="54">
        <f t="shared" si="49"/>
        <v>1</v>
      </c>
      <c r="BX153" s="45">
        <v>1</v>
      </c>
      <c r="BY153" s="45">
        <f t="shared" si="50"/>
        <v>0</v>
      </c>
      <c r="BZ153" s="61" t="s">
        <v>99</v>
      </c>
      <c r="CA153" s="46"/>
      <c r="CB153" s="65">
        <v>5570</v>
      </c>
      <c r="CC153" s="45">
        <v>2</v>
      </c>
      <c r="CD153" s="45">
        <v>2</v>
      </c>
      <c r="CE153" s="45">
        <f t="shared" si="16"/>
        <v>0.6020599913279624</v>
      </c>
      <c r="CG153" s="46"/>
      <c r="CH153" s="66" t="s">
        <v>106</v>
      </c>
      <c r="CI153" s="67">
        <v>3</v>
      </c>
      <c r="CJ153" s="68">
        <v>2</v>
      </c>
      <c r="CK153" s="68">
        <f t="shared" si="17"/>
        <v>0.95424250943932487</v>
      </c>
      <c r="CL153" s="68"/>
      <c r="CM153" s="69"/>
      <c r="CO153" s="70">
        <f t="shared" si="51"/>
        <v>1.8888888888888888</v>
      </c>
      <c r="CQ153" s="45">
        <f t="shared" si="19"/>
        <v>0.31239722287451038</v>
      </c>
      <c r="CR153" s="45">
        <f t="shared" si="20"/>
        <v>2.0530391109397983</v>
      </c>
      <c r="CT153" s="71">
        <f t="shared" si="21"/>
        <v>1.5308361344061125</v>
      </c>
    </row>
    <row r="154" spans="1:98" ht="16">
      <c r="A154" s="36">
        <v>152</v>
      </c>
      <c r="B154" s="37"/>
      <c r="C154" s="37"/>
      <c r="D154" s="37"/>
      <c r="E154" s="38" t="s">
        <v>550</v>
      </c>
      <c r="F154" s="38" t="s">
        <v>392</v>
      </c>
      <c r="G154" s="38" t="s">
        <v>551</v>
      </c>
      <c r="H154" s="38" t="s">
        <v>110</v>
      </c>
      <c r="I154" s="72">
        <v>10</v>
      </c>
      <c r="J154" s="53" t="s">
        <v>88</v>
      </c>
      <c r="K154" s="42">
        <v>0</v>
      </c>
      <c r="L154" s="42">
        <v>2</v>
      </c>
      <c r="M154" s="42">
        <v>1</v>
      </c>
      <c r="N154" s="42">
        <f t="shared" si="0"/>
        <v>2</v>
      </c>
      <c r="O154" s="53"/>
      <c r="P154" s="53"/>
      <c r="Q154" s="43">
        <v>13</v>
      </c>
      <c r="R154" s="44">
        <f t="shared" si="46"/>
        <v>3</v>
      </c>
      <c r="S154" s="45">
        <v>1</v>
      </c>
      <c r="T154" s="45">
        <f t="shared" si="2"/>
        <v>3</v>
      </c>
      <c r="V154" s="46"/>
      <c r="W154" s="58" t="s">
        <v>178</v>
      </c>
      <c r="X154" s="73">
        <v>3.4</v>
      </c>
      <c r="Y154" s="44">
        <f t="shared" si="3"/>
        <v>2</v>
      </c>
      <c r="Z154" s="45">
        <v>1</v>
      </c>
      <c r="AA154" s="45">
        <f t="shared" si="4"/>
        <v>2</v>
      </c>
      <c r="AB154" s="45">
        <v>1</v>
      </c>
      <c r="AD154" s="49" t="s">
        <v>163</v>
      </c>
      <c r="AE154" s="50" t="s">
        <v>146</v>
      </c>
      <c r="AF154" s="50">
        <v>2</v>
      </c>
      <c r="AG154" s="50">
        <v>3</v>
      </c>
      <c r="AH154" s="50">
        <v>2</v>
      </c>
      <c r="AI154" s="50">
        <f t="shared" si="5"/>
        <v>6</v>
      </c>
      <c r="AJ154" s="50">
        <v>1</v>
      </c>
      <c r="AK154" s="51"/>
      <c r="AL154" s="61">
        <v>84</v>
      </c>
      <c r="AM154" s="53" t="s">
        <v>88</v>
      </c>
      <c r="AN154" s="42">
        <v>0</v>
      </c>
      <c r="AO154" s="54">
        <f t="shared" si="47"/>
        <v>1</v>
      </c>
      <c r="AP154" s="53">
        <v>2</v>
      </c>
      <c r="AQ154" s="53">
        <f t="shared" si="7"/>
        <v>2</v>
      </c>
      <c r="AR154" s="53"/>
      <c r="AS154" s="55" t="s">
        <v>897</v>
      </c>
      <c r="AT154" s="42">
        <v>22.5</v>
      </c>
      <c r="AU154" s="42" t="s">
        <v>115</v>
      </c>
      <c r="AV154" s="44">
        <v>1</v>
      </c>
      <c r="AW154" s="44">
        <f t="shared" si="8"/>
        <v>2</v>
      </c>
      <c r="AX154" s="42">
        <v>1</v>
      </c>
      <c r="AY154" s="42">
        <f t="shared" si="9"/>
        <v>2</v>
      </c>
      <c r="AZ154" s="42" t="s">
        <v>340</v>
      </c>
      <c r="BA154" s="53" t="s">
        <v>393</v>
      </c>
      <c r="BB154" s="57" t="s">
        <v>602</v>
      </c>
      <c r="BC154" s="58" t="s">
        <v>603</v>
      </c>
      <c r="BD154" s="58" t="s">
        <v>609</v>
      </c>
      <c r="BE154" s="59">
        <v>1</v>
      </c>
      <c r="BF154" s="58">
        <v>2</v>
      </c>
      <c r="BG154" s="58">
        <f t="shared" si="10"/>
        <v>0</v>
      </c>
      <c r="BH154" s="58" t="s">
        <v>605</v>
      </c>
      <c r="BI154" s="58" t="s">
        <v>610</v>
      </c>
      <c r="BJ154" s="60" t="s">
        <v>90</v>
      </c>
      <c r="BK154" s="61">
        <v>1</v>
      </c>
      <c r="BL154" s="62">
        <v>1</v>
      </c>
      <c r="BM154" s="62">
        <f t="shared" si="11"/>
        <v>0</v>
      </c>
      <c r="BN154" s="58" t="s">
        <v>607</v>
      </c>
      <c r="BO154" s="59"/>
      <c r="BP154" s="59">
        <v>24.5</v>
      </c>
      <c r="BQ154" s="63">
        <f t="shared" si="48"/>
        <v>2</v>
      </c>
      <c r="BR154" s="45">
        <v>1</v>
      </c>
      <c r="BS154" s="45">
        <f t="shared" si="13"/>
        <v>0.3010299956639812</v>
      </c>
      <c r="BU154" s="46"/>
      <c r="BV154" s="64">
        <v>1.1666666670000001</v>
      </c>
      <c r="BW154" s="54">
        <f t="shared" si="49"/>
        <v>1</v>
      </c>
      <c r="BX154" s="45">
        <v>1</v>
      </c>
      <c r="BY154" s="45">
        <f t="shared" si="50"/>
        <v>0</v>
      </c>
      <c r="BZ154" s="61" t="s">
        <v>552</v>
      </c>
      <c r="CA154" s="46"/>
      <c r="CB154" s="65">
        <v>5320</v>
      </c>
      <c r="CC154" s="45">
        <v>2</v>
      </c>
      <c r="CD154" s="45">
        <v>2</v>
      </c>
      <c r="CE154" s="45">
        <f t="shared" si="16"/>
        <v>0.6020599913279624</v>
      </c>
      <c r="CG154" s="46"/>
      <c r="CH154" s="66" t="s">
        <v>92</v>
      </c>
      <c r="CI154" s="67">
        <v>3</v>
      </c>
      <c r="CJ154" s="68">
        <v>2</v>
      </c>
      <c r="CK154" s="68">
        <f t="shared" si="17"/>
        <v>0.95424250943932487</v>
      </c>
      <c r="CL154" s="78"/>
      <c r="CM154" s="79" t="s">
        <v>144</v>
      </c>
      <c r="CO154" s="70">
        <f t="shared" si="51"/>
        <v>1.6666666666666667</v>
      </c>
      <c r="CQ154" s="45">
        <f t="shared" si="19"/>
        <v>0.20637027738125205</v>
      </c>
      <c r="CR154" s="45">
        <f t="shared" si="20"/>
        <v>1.6083119076007948</v>
      </c>
      <c r="CT154" s="71">
        <f t="shared" si="21"/>
        <v>1.4655446614507166</v>
      </c>
    </row>
    <row r="155" spans="1:98" ht="16">
      <c r="A155" s="36">
        <v>153</v>
      </c>
      <c r="B155" s="37"/>
      <c r="C155" s="37"/>
      <c r="D155" s="37"/>
      <c r="E155" s="38" t="s">
        <v>541</v>
      </c>
      <c r="F155" s="38" t="s">
        <v>124</v>
      </c>
      <c r="G155" s="38" t="s">
        <v>542</v>
      </c>
      <c r="H155" s="38" t="s">
        <v>83</v>
      </c>
      <c r="I155" s="72">
        <v>4</v>
      </c>
      <c r="J155" s="53" t="s">
        <v>88</v>
      </c>
      <c r="K155" s="42">
        <v>0</v>
      </c>
      <c r="L155" s="42">
        <v>3</v>
      </c>
      <c r="M155" s="42">
        <v>1</v>
      </c>
      <c r="N155" s="42">
        <f t="shared" si="0"/>
        <v>3</v>
      </c>
      <c r="O155" s="53"/>
      <c r="P155" s="53"/>
      <c r="Q155" s="43">
        <v>10.33333333</v>
      </c>
      <c r="R155" s="44">
        <f t="shared" si="46"/>
        <v>3</v>
      </c>
      <c r="S155" s="45">
        <v>1</v>
      </c>
      <c r="T155" s="45">
        <f t="shared" si="2"/>
        <v>3</v>
      </c>
      <c r="V155" s="46"/>
      <c r="W155" s="58" t="s">
        <v>543</v>
      </c>
      <c r="X155" s="73">
        <v>2.2000000000000002</v>
      </c>
      <c r="Y155" s="44">
        <f t="shared" si="3"/>
        <v>3</v>
      </c>
      <c r="Z155" s="45">
        <v>1</v>
      </c>
      <c r="AA155" s="45">
        <f t="shared" si="4"/>
        <v>3</v>
      </c>
      <c r="AB155" s="45">
        <v>1</v>
      </c>
      <c r="AD155" s="49" t="s">
        <v>544</v>
      </c>
      <c r="AE155" s="50" t="s">
        <v>88</v>
      </c>
      <c r="AF155" s="50">
        <v>0</v>
      </c>
      <c r="AG155" s="50">
        <v>3</v>
      </c>
      <c r="AH155" s="50">
        <v>2</v>
      </c>
      <c r="AI155" s="50">
        <f t="shared" si="5"/>
        <v>6</v>
      </c>
      <c r="AJ155" s="50">
        <v>1</v>
      </c>
      <c r="AK155" s="51" t="s">
        <v>89</v>
      </c>
      <c r="AL155" s="52">
        <v>12730</v>
      </c>
      <c r="AM155" s="53" t="s">
        <v>115</v>
      </c>
      <c r="AN155" s="42">
        <v>1</v>
      </c>
      <c r="AO155" s="54">
        <f t="shared" si="47"/>
        <v>2</v>
      </c>
      <c r="AP155" s="53">
        <v>2</v>
      </c>
      <c r="AQ155" s="53">
        <f t="shared" si="7"/>
        <v>4</v>
      </c>
      <c r="AR155" s="53"/>
      <c r="AS155" s="55"/>
      <c r="AT155" s="42">
        <v>14.3</v>
      </c>
      <c r="AU155" s="42" t="s">
        <v>88</v>
      </c>
      <c r="AV155" s="56">
        <v>0</v>
      </c>
      <c r="AW155" s="44">
        <f t="shared" si="8"/>
        <v>2</v>
      </c>
      <c r="AX155" s="42">
        <v>1</v>
      </c>
      <c r="AY155" s="42">
        <f t="shared" si="9"/>
        <v>2</v>
      </c>
      <c r="AZ155" s="42"/>
      <c r="BA155" s="42"/>
      <c r="BB155" s="57" t="s">
        <v>602</v>
      </c>
      <c r="BC155" s="58" t="s">
        <v>603</v>
      </c>
      <c r="BD155" s="58" t="s">
        <v>604</v>
      </c>
      <c r="BE155" s="59">
        <v>2</v>
      </c>
      <c r="BF155" s="58">
        <v>2</v>
      </c>
      <c r="BG155" s="58">
        <f t="shared" si="10"/>
        <v>0.6020599913279624</v>
      </c>
      <c r="BH155" s="58" t="s">
        <v>605</v>
      </c>
      <c r="BI155" s="58" t="s">
        <v>774</v>
      </c>
      <c r="BJ155" s="60" t="s">
        <v>90</v>
      </c>
      <c r="BK155" s="61">
        <v>1</v>
      </c>
      <c r="BL155" s="62">
        <v>1</v>
      </c>
      <c r="BM155" s="62">
        <f t="shared" si="11"/>
        <v>0</v>
      </c>
      <c r="BN155" s="58" t="s">
        <v>607</v>
      </c>
      <c r="BO155" s="59"/>
      <c r="BP155" s="59">
        <v>19.5</v>
      </c>
      <c r="BQ155" s="63">
        <f t="shared" si="48"/>
        <v>2</v>
      </c>
      <c r="BR155" s="45">
        <v>1</v>
      </c>
      <c r="BS155" s="45">
        <f t="shared" si="13"/>
        <v>0.3010299956639812</v>
      </c>
      <c r="BU155" s="46"/>
      <c r="BV155" s="64">
        <v>2.3333333330000001</v>
      </c>
      <c r="BW155" s="54">
        <f t="shared" si="49"/>
        <v>1</v>
      </c>
      <c r="BX155" s="45">
        <v>1</v>
      </c>
      <c r="BY155" s="45">
        <f t="shared" si="50"/>
        <v>0</v>
      </c>
      <c r="BZ155" s="61" t="s">
        <v>381</v>
      </c>
      <c r="CA155" s="46"/>
      <c r="CB155" s="65">
        <v>5282</v>
      </c>
      <c r="CC155" s="45">
        <v>2</v>
      </c>
      <c r="CD155" s="45">
        <v>2</v>
      </c>
      <c r="CE155" s="45">
        <f t="shared" si="16"/>
        <v>0.6020599913279624</v>
      </c>
      <c r="CG155" s="46"/>
      <c r="CH155" s="66" t="s">
        <v>106</v>
      </c>
      <c r="CI155" s="67">
        <v>3</v>
      </c>
      <c r="CJ155" s="68">
        <v>2</v>
      </c>
      <c r="CK155" s="68">
        <f t="shared" si="17"/>
        <v>0.95424250943932487</v>
      </c>
      <c r="CL155" s="68"/>
      <c r="CM155" s="69"/>
      <c r="CO155" s="70">
        <f t="shared" si="51"/>
        <v>2</v>
      </c>
      <c r="CQ155" s="45">
        <f t="shared" si="19"/>
        <v>0.27326583197324783</v>
      </c>
      <c r="CR155" s="45">
        <f t="shared" si="20"/>
        <v>1.8761425449123872</v>
      </c>
      <c r="CT155" s="71">
        <f t="shared" si="21"/>
        <v>1.329520875731387</v>
      </c>
    </row>
    <row r="156" spans="1:98" ht="16">
      <c r="A156" s="36">
        <v>154</v>
      </c>
      <c r="B156" s="37"/>
      <c r="C156" s="37"/>
      <c r="D156" s="37"/>
      <c r="E156" s="38" t="s">
        <v>898</v>
      </c>
      <c r="F156" s="38" t="s">
        <v>899</v>
      </c>
      <c r="G156" s="38" t="s">
        <v>900</v>
      </c>
      <c r="H156" s="38" t="s">
        <v>170</v>
      </c>
      <c r="I156" s="72">
        <v>5.5</v>
      </c>
      <c r="J156" s="53" t="s">
        <v>88</v>
      </c>
      <c r="K156" s="42">
        <v>0</v>
      </c>
      <c r="L156" s="42">
        <v>2</v>
      </c>
      <c r="M156" s="42">
        <v>1</v>
      </c>
      <c r="N156" s="42">
        <f t="shared" si="0"/>
        <v>2</v>
      </c>
      <c r="O156" s="53"/>
      <c r="P156" s="53"/>
      <c r="Q156" s="43">
        <v>11</v>
      </c>
      <c r="R156" s="44">
        <f t="shared" si="46"/>
        <v>3</v>
      </c>
      <c r="S156" s="45">
        <v>1</v>
      </c>
      <c r="T156" s="45">
        <f t="shared" si="2"/>
        <v>3</v>
      </c>
      <c r="V156" s="46"/>
      <c r="W156" s="58" t="s">
        <v>292</v>
      </c>
      <c r="X156" s="73">
        <v>3.5</v>
      </c>
      <c r="Y156" s="44">
        <f t="shared" si="3"/>
        <v>2</v>
      </c>
      <c r="Z156" s="45">
        <v>1</v>
      </c>
      <c r="AA156" s="45">
        <f t="shared" si="4"/>
        <v>2</v>
      </c>
      <c r="AB156" s="45">
        <v>1</v>
      </c>
      <c r="AD156" s="49" t="s">
        <v>172</v>
      </c>
      <c r="AE156" s="50" t="s">
        <v>88</v>
      </c>
      <c r="AF156" s="50">
        <v>0</v>
      </c>
      <c r="AG156" s="50">
        <v>3</v>
      </c>
      <c r="AH156" s="50">
        <v>2</v>
      </c>
      <c r="AI156" s="50">
        <f t="shared" si="5"/>
        <v>6</v>
      </c>
      <c r="AJ156" s="50">
        <v>1</v>
      </c>
      <c r="AK156" s="51" t="s">
        <v>114</v>
      </c>
      <c r="AL156" s="61">
        <v>1445</v>
      </c>
      <c r="AM156" s="53" t="s">
        <v>88</v>
      </c>
      <c r="AN156" s="42">
        <v>0</v>
      </c>
      <c r="AO156" s="54">
        <f t="shared" si="47"/>
        <v>2</v>
      </c>
      <c r="AP156" s="53">
        <v>2</v>
      </c>
      <c r="AQ156" s="53">
        <f t="shared" si="7"/>
        <v>4</v>
      </c>
      <c r="AR156" s="53"/>
      <c r="AS156" s="55" t="s">
        <v>901</v>
      </c>
      <c r="AT156" s="53">
        <v>22.75</v>
      </c>
      <c r="AU156" s="42" t="s">
        <v>146</v>
      </c>
      <c r="AV156" s="44">
        <v>2</v>
      </c>
      <c r="AW156" s="44">
        <f t="shared" si="8"/>
        <v>2</v>
      </c>
      <c r="AX156" s="42">
        <v>1</v>
      </c>
      <c r="AY156" s="42">
        <f t="shared" si="9"/>
        <v>2</v>
      </c>
      <c r="AZ156" s="42" t="s">
        <v>902</v>
      </c>
      <c r="BA156" s="53" t="s">
        <v>903</v>
      </c>
      <c r="BB156" s="57" t="s">
        <v>602</v>
      </c>
      <c r="BC156" s="58" t="s">
        <v>603</v>
      </c>
      <c r="BD156" s="58" t="s">
        <v>609</v>
      </c>
      <c r="BE156" s="59">
        <v>1</v>
      </c>
      <c r="BF156" s="58">
        <v>2</v>
      </c>
      <c r="BG156" s="58">
        <f t="shared" si="10"/>
        <v>0</v>
      </c>
      <c r="BH156" s="58" t="s">
        <v>605</v>
      </c>
      <c r="BI156" s="58" t="s">
        <v>610</v>
      </c>
      <c r="BJ156" s="60" t="s">
        <v>90</v>
      </c>
      <c r="BK156" s="61">
        <v>1</v>
      </c>
      <c r="BL156" s="62">
        <v>1</v>
      </c>
      <c r="BM156" s="62">
        <f t="shared" si="11"/>
        <v>0</v>
      </c>
      <c r="BN156" s="58" t="s">
        <v>607</v>
      </c>
      <c r="BO156" s="86"/>
      <c r="BP156" s="86">
        <v>15.5</v>
      </c>
      <c r="BQ156" s="63">
        <f t="shared" si="48"/>
        <v>2</v>
      </c>
      <c r="BR156" s="45">
        <v>1</v>
      </c>
      <c r="BS156" s="45">
        <f t="shared" si="13"/>
        <v>0.3010299956639812</v>
      </c>
      <c r="BU156" s="46"/>
      <c r="BV156" s="64">
        <v>2</v>
      </c>
      <c r="BW156" s="54">
        <f t="shared" si="49"/>
        <v>1</v>
      </c>
      <c r="BX156" s="45">
        <v>1</v>
      </c>
      <c r="BY156" s="45">
        <f t="shared" si="50"/>
        <v>0</v>
      </c>
      <c r="BZ156" s="61" t="s">
        <v>91</v>
      </c>
      <c r="CA156" s="46"/>
      <c r="CB156" s="65">
        <v>5212</v>
      </c>
      <c r="CC156" s="45">
        <v>2</v>
      </c>
      <c r="CD156" s="45">
        <v>2</v>
      </c>
      <c r="CE156" s="45">
        <f t="shared" si="16"/>
        <v>0.6020599913279624</v>
      </c>
      <c r="CG156" s="46"/>
      <c r="CH156" s="66" t="s">
        <v>92</v>
      </c>
      <c r="CI156" s="67">
        <v>3</v>
      </c>
      <c r="CJ156" s="68">
        <v>2</v>
      </c>
      <c r="CK156" s="68">
        <f t="shared" si="17"/>
        <v>0.95424250943932487</v>
      </c>
      <c r="CL156" s="78"/>
      <c r="CM156" s="79" t="s">
        <v>144</v>
      </c>
      <c r="CO156" s="70">
        <f t="shared" si="51"/>
        <v>1.8888888888888888</v>
      </c>
      <c r="CQ156" s="45">
        <f t="shared" si="19"/>
        <v>0.20637027738125205</v>
      </c>
      <c r="CR156" s="45">
        <f t="shared" si="20"/>
        <v>1.6083119076007948</v>
      </c>
      <c r="CT156" s="71">
        <f t="shared" si="21"/>
        <v>1.2667325203702184</v>
      </c>
    </row>
    <row r="157" spans="1:98" ht="16" hidden="1">
      <c r="A157" s="36">
        <v>155</v>
      </c>
      <c r="B157" s="37"/>
      <c r="C157" s="37" t="s">
        <v>144</v>
      </c>
      <c r="D157" s="37" t="s">
        <v>686</v>
      </c>
      <c r="E157" s="38" t="s">
        <v>904</v>
      </c>
      <c r="F157" s="38" t="s">
        <v>353</v>
      </c>
      <c r="G157" s="38" t="s">
        <v>688</v>
      </c>
      <c r="H157" s="38" t="s">
        <v>819</v>
      </c>
      <c r="I157" s="87"/>
      <c r="J157" s="53"/>
      <c r="K157" s="53"/>
      <c r="L157" s="53"/>
      <c r="M157" s="42">
        <v>1</v>
      </c>
      <c r="N157" s="42">
        <f t="shared" si="0"/>
        <v>0</v>
      </c>
      <c r="O157" s="53"/>
      <c r="P157" s="53"/>
      <c r="Q157" s="43"/>
      <c r="R157" s="44" t="str">
        <f>IF(Q157="","***",IF(Q157&lt;5,3,IF(Q157&lt;15,2,1)))</f>
        <v>***</v>
      </c>
      <c r="S157" s="45">
        <v>1</v>
      </c>
      <c r="T157" s="45" t="e">
        <f t="shared" si="2"/>
        <v>#VALUE!</v>
      </c>
      <c r="V157" s="46"/>
      <c r="W157" s="58"/>
      <c r="X157" s="88"/>
      <c r="Y157" s="44" t="str">
        <f t="shared" si="3"/>
        <v>***</v>
      </c>
      <c r="Z157" s="45">
        <v>1</v>
      </c>
      <c r="AA157" s="45" t="e">
        <f t="shared" si="4"/>
        <v>#VALUE!</v>
      </c>
      <c r="AB157" s="45">
        <v>1</v>
      </c>
      <c r="AD157" s="49" t="s">
        <v>401</v>
      </c>
      <c r="AE157" s="50" t="s">
        <v>115</v>
      </c>
      <c r="AF157" s="50">
        <v>1</v>
      </c>
      <c r="AG157" s="50">
        <v>3</v>
      </c>
      <c r="AH157" s="50">
        <v>2</v>
      </c>
      <c r="AI157" s="50">
        <f t="shared" si="5"/>
        <v>6</v>
      </c>
      <c r="AJ157" s="50" t="s">
        <v>755</v>
      </c>
      <c r="AK157" s="51"/>
      <c r="AL157" s="61"/>
      <c r="AM157" s="53"/>
      <c r="AN157" s="42"/>
      <c r="AO157" s="42"/>
      <c r="AP157" s="53">
        <v>2</v>
      </c>
      <c r="AQ157" s="53">
        <f t="shared" si="7"/>
        <v>0</v>
      </c>
      <c r="AR157" s="53"/>
      <c r="AS157" s="55"/>
      <c r="AT157" s="89"/>
      <c r="AU157" s="42"/>
      <c r="AV157" s="44"/>
      <c r="AW157" s="44" t="str">
        <f t="shared" si="8"/>
        <v>***</v>
      </c>
      <c r="AX157" s="42">
        <v>1</v>
      </c>
      <c r="AY157" s="42" t="e">
        <f t="shared" si="9"/>
        <v>#VALUE!</v>
      </c>
      <c r="AZ157" s="89"/>
      <c r="BA157" s="89"/>
      <c r="BB157" s="57"/>
      <c r="BC157" s="58"/>
      <c r="BD157" s="58"/>
      <c r="BE157" s="58"/>
      <c r="BF157" s="58">
        <v>2</v>
      </c>
      <c r="BG157" s="58" t="e">
        <f t="shared" si="10"/>
        <v>#NUM!</v>
      </c>
      <c r="BH157" s="58" t="s">
        <v>605</v>
      </c>
      <c r="BI157" s="58"/>
      <c r="BJ157" s="60" t="s">
        <v>90</v>
      </c>
      <c r="BK157" s="61">
        <v>1</v>
      </c>
      <c r="BL157" s="62">
        <v>1</v>
      </c>
      <c r="BM157" s="62">
        <f t="shared" si="11"/>
        <v>0</v>
      </c>
      <c r="BN157" s="58" t="s">
        <v>607</v>
      </c>
      <c r="BO157" s="59"/>
      <c r="BP157" s="59"/>
      <c r="BQ157" s="90"/>
      <c r="BR157" s="45">
        <v>1</v>
      </c>
      <c r="BS157" s="45" t="e">
        <f t="shared" si="13"/>
        <v>#NUM!</v>
      </c>
      <c r="BU157" s="46"/>
      <c r="BV157" s="64"/>
      <c r="BW157" s="45"/>
      <c r="BX157" s="45">
        <v>1</v>
      </c>
      <c r="BY157" s="45" t="e">
        <f>BX157*LOG(BV157)</f>
        <v>#NUM!</v>
      </c>
      <c r="BZ157" s="61"/>
      <c r="CA157" s="46"/>
      <c r="CB157" s="65">
        <v>5083</v>
      </c>
      <c r="CC157" s="45">
        <v>2</v>
      </c>
      <c r="CD157" s="45">
        <v>2</v>
      </c>
      <c r="CE157" s="45">
        <f t="shared" si="16"/>
        <v>0.6020599913279624</v>
      </c>
      <c r="CG157" s="46"/>
      <c r="CH157" s="66" t="s">
        <v>92</v>
      </c>
      <c r="CI157" s="67">
        <v>3</v>
      </c>
      <c r="CJ157" s="68">
        <v>1</v>
      </c>
      <c r="CK157" s="68">
        <f t="shared" si="17"/>
        <v>0.47712125471966244</v>
      </c>
      <c r="CL157" s="68"/>
      <c r="CM157" s="69" t="s">
        <v>144</v>
      </c>
      <c r="CO157" s="70" t="e">
        <f>(SUM(N157,T157,AA157,AI157,AQ157,AY157)/SUM(M157,S157,Z157,AH157,AP157,AX157,BF157))</f>
        <v>#VALUE!</v>
      </c>
      <c r="CQ157" s="45" t="e">
        <f t="shared" si="19"/>
        <v>#NUM!</v>
      </c>
      <c r="CR157" s="45" t="e">
        <f t="shared" si="20"/>
        <v>#NUM!</v>
      </c>
      <c r="CT157" s="71" t="e">
        <f t="shared" si="21"/>
        <v>#VALUE!</v>
      </c>
    </row>
    <row r="158" spans="1:98" ht="16">
      <c r="A158" s="36">
        <v>156</v>
      </c>
      <c r="B158" s="37"/>
      <c r="C158" s="37"/>
      <c r="D158" s="37"/>
      <c r="E158" s="38" t="s">
        <v>905</v>
      </c>
      <c r="F158" s="38" t="s">
        <v>906</v>
      </c>
      <c r="G158" s="38" t="s">
        <v>907</v>
      </c>
      <c r="H158" s="38" t="s">
        <v>152</v>
      </c>
      <c r="I158" s="72">
        <v>10</v>
      </c>
      <c r="J158" s="53" t="s">
        <v>88</v>
      </c>
      <c r="K158" s="42">
        <v>0</v>
      </c>
      <c r="L158" s="42">
        <v>2</v>
      </c>
      <c r="M158" s="42">
        <v>1</v>
      </c>
      <c r="N158" s="42">
        <f t="shared" si="0"/>
        <v>2</v>
      </c>
      <c r="O158" s="214" t="s">
        <v>908</v>
      </c>
      <c r="P158" s="53" t="s">
        <v>652</v>
      </c>
      <c r="Q158" s="43">
        <v>39.333333330000002</v>
      </c>
      <c r="R158" s="44">
        <f>IF(Q158="","***",IF(Q158&lt;30,3,IF(Q158&gt;60,1,2)))</f>
        <v>2</v>
      </c>
      <c r="S158" s="45">
        <v>1</v>
      </c>
      <c r="T158" s="45">
        <f t="shared" si="2"/>
        <v>2</v>
      </c>
      <c r="V158" s="46"/>
      <c r="W158" s="58" t="s">
        <v>287</v>
      </c>
      <c r="X158" s="73">
        <v>3.5</v>
      </c>
      <c r="Y158" s="44">
        <f t="shared" si="3"/>
        <v>2</v>
      </c>
      <c r="Z158" s="45">
        <v>1</v>
      </c>
      <c r="AA158" s="45">
        <f t="shared" si="4"/>
        <v>2</v>
      </c>
      <c r="AB158" s="45">
        <v>1</v>
      </c>
      <c r="AD158" s="49" t="s">
        <v>909</v>
      </c>
      <c r="AE158" s="50" t="s">
        <v>88</v>
      </c>
      <c r="AF158" s="50">
        <v>0</v>
      </c>
      <c r="AG158" s="50">
        <v>3</v>
      </c>
      <c r="AH158" s="50">
        <v>2</v>
      </c>
      <c r="AI158" s="50">
        <f t="shared" si="5"/>
        <v>6</v>
      </c>
      <c r="AJ158" s="50">
        <v>1</v>
      </c>
      <c r="AK158" s="51" t="s">
        <v>910</v>
      </c>
      <c r="AL158" s="61">
        <v>6851</v>
      </c>
      <c r="AM158" s="53" t="s">
        <v>88</v>
      </c>
      <c r="AN158" s="42">
        <v>0</v>
      </c>
      <c r="AO158" s="54">
        <f>IF(AL158="","***",IF(AL158&gt;15000,3,IF(AL158&lt;1000,1,2)))</f>
        <v>2</v>
      </c>
      <c r="AP158" s="53">
        <v>2</v>
      </c>
      <c r="AQ158" s="53">
        <f t="shared" si="7"/>
        <v>4</v>
      </c>
      <c r="AR158" s="53"/>
      <c r="AS158" s="55"/>
      <c r="AT158" s="42">
        <v>50.1</v>
      </c>
      <c r="AU158" s="42" t="s">
        <v>88</v>
      </c>
      <c r="AV158" s="56">
        <v>0</v>
      </c>
      <c r="AW158" s="44">
        <f t="shared" si="8"/>
        <v>1</v>
      </c>
      <c r="AX158" s="42">
        <v>1</v>
      </c>
      <c r="AY158" s="42">
        <f t="shared" si="9"/>
        <v>1</v>
      </c>
      <c r="AZ158" s="42"/>
      <c r="BA158" s="42"/>
      <c r="BB158" s="57" t="s">
        <v>602</v>
      </c>
      <c r="BC158" s="58" t="s">
        <v>603</v>
      </c>
      <c r="BD158" s="58" t="s">
        <v>609</v>
      </c>
      <c r="BE158" s="59">
        <v>1</v>
      </c>
      <c r="BF158" s="58">
        <v>2</v>
      </c>
      <c r="BG158" s="58">
        <f t="shared" si="10"/>
        <v>0</v>
      </c>
      <c r="BH158" s="58" t="s">
        <v>605</v>
      </c>
      <c r="BI158" s="58" t="s">
        <v>610</v>
      </c>
      <c r="BJ158" s="60" t="s">
        <v>90</v>
      </c>
      <c r="BK158" s="61">
        <v>1</v>
      </c>
      <c r="BL158" s="62">
        <v>1</v>
      </c>
      <c r="BM158" s="62">
        <f t="shared" si="11"/>
        <v>0</v>
      </c>
      <c r="BN158" s="58" t="s">
        <v>607</v>
      </c>
      <c r="BO158" s="59"/>
      <c r="BP158" s="59">
        <v>12.75</v>
      </c>
      <c r="BQ158" s="63">
        <f t="shared" ref="BQ158:BQ184" si="52">IF(BP158&lt;10,3,IF(BP158&lt;30,2,1))</f>
        <v>2</v>
      </c>
      <c r="BR158" s="45">
        <v>1</v>
      </c>
      <c r="BS158" s="45">
        <f t="shared" si="13"/>
        <v>0.3010299956639812</v>
      </c>
      <c r="BU158" s="46"/>
      <c r="BV158" s="64">
        <v>2.375</v>
      </c>
      <c r="BW158" s="54">
        <f>IF(BV158&lt;2.5,1,IF(BV158&gt;3.5,3,2))</f>
        <v>1</v>
      </c>
      <c r="BX158" s="45">
        <v>1</v>
      </c>
      <c r="BY158" s="45">
        <f>BX158*LOG(BW158)</f>
        <v>0</v>
      </c>
      <c r="BZ158" s="61" t="s">
        <v>99</v>
      </c>
      <c r="CA158" s="46"/>
      <c r="CB158" s="65">
        <v>5073</v>
      </c>
      <c r="CC158" s="45">
        <v>2</v>
      </c>
      <c r="CD158" s="45">
        <v>2</v>
      </c>
      <c r="CE158" s="45">
        <f t="shared" si="16"/>
        <v>0.6020599913279624</v>
      </c>
      <c r="CG158" s="46"/>
      <c r="CH158" s="66" t="s">
        <v>92</v>
      </c>
      <c r="CI158" s="67">
        <v>3</v>
      </c>
      <c r="CJ158" s="68">
        <v>2</v>
      </c>
      <c r="CK158" s="68">
        <f t="shared" si="17"/>
        <v>0.95424250943932487</v>
      </c>
      <c r="CL158" s="78"/>
      <c r="CM158" s="79" t="s">
        <v>144</v>
      </c>
      <c r="CO158" s="70">
        <f>(SUM(T158,AA158,AI158,AQ158,AY158)/SUM(S158,Z158,AH158,AP158,AX158,BF158))</f>
        <v>1.6666666666666667</v>
      </c>
      <c r="CQ158" s="45">
        <f t="shared" si="19"/>
        <v>0.20637027738125205</v>
      </c>
      <c r="CR158" s="45">
        <f t="shared" si="20"/>
        <v>1.6083119076007948</v>
      </c>
      <c r="CT158" s="71">
        <f t="shared" si="21"/>
        <v>1.4655446614507166</v>
      </c>
    </row>
    <row r="159" spans="1:98" ht="16">
      <c r="A159" s="36">
        <v>157</v>
      </c>
      <c r="B159" s="37"/>
      <c r="C159" s="37"/>
      <c r="D159" s="37"/>
      <c r="E159" s="38" t="s">
        <v>911</v>
      </c>
      <c r="F159" s="38" t="s">
        <v>906</v>
      </c>
      <c r="G159" s="101" t="s">
        <v>912</v>
      </c>
      <c r="H159" s="38" t="s">
        <v>152</v>
      </c>
      <c r="I159" s="72">
        <v>10</v>
      </c>
      <c r="J159" s="53" t="s">
        <v>88</v>
      </c>
      <c r="K159" s="42">
        <v>0</v>
      </c>
      <c r="L159" s="42">
        <v>2</v>
      </c>
      <c r="M159" s="42">
        <v>1</v>
      </c>
      <c r="N159" s="42">
        <f t="shared" si="0"/>
        <v>2</v>
      </c>
      <c r="O159" s="53"/>
      <c r="P159" s="53"/>
      <c r="Q159" s="43">
        <v>15.33333333</v>
      </c>
      <c r="R159" s="44">
        <f>IF(Q159="","***",IF(Q159&lt;30,3,IF(Q159&gt;60,1,2)))</f>
        <v>3</v>
      </c>
      <c r="S159" s="45">
        <v>1</v>
      </c>
      <c r="T159" s="45">
        <f t="shared" si="2"/>
        <v>3</v>
      </c>
      <c r="V159" s="46"/>
      <c r="W159" s="58" t="s">
        <v>406</v>
      </c>
      <c r="X159" s="73">
        <v>3.1</v>
      </c>
      <c r="Y159" s="44">
        <f t="shared" si="3"/>
        <v>2</v>
      </c>
      <c r="Z159" s="45">
        <v>1</v>
      </c>
      <c r="AA159" s="45">
        <f t="shared" si="4"/>
        <v>2</v>
      </c>
      <c r="AB159" s="45">
        <v>1</v>
      </c>
      <c r="AD159" s="49" t="s">
        <v>155</v>
      </c>
      <c r="AE159" s="50" t="s">
        <v>88</v>
      </c>
      <c r="AF159" s="50">
        <v>0</v>
      </c>
      <c r="AG159" s="50">
        <v>2</v>
      </c>
      <c r="AH159" s="50">
        <v>2</v>
      </c>
      <c r="AI159" s="50">
        <f t="shared" si="5"/>
        <v>4</v>
      </c>
      <c r="AJ159" s="50">
        <v>1</v>
      </c>
      <c r="AK159" s="51" t="s">
        <v>156</v>
      </c>
      <c r="AL159" s="61">
        <v>79449</v>
      </c>
      <c r="AM159" s="53" t="s">
        <v>115</v>
      </c>
      <c r="AN159" s="42">
        <v>1</v>
      </c>
      <c r="AO159" s="54">
        <f>IF(AL159="","***",IF(AL159&gt;15000,3,IF(AL159&lt;1000,1,2)))</f>
        <v>3</v>
      </c>
      <c r="AP159" s="53">
        <v>2</v>
      </c>
      <c r="AQ159" s="53">
        <f t="shared" si="7"/>
        <v>6</v>
      </c>
      <c r="AR159" s="53"/>
      <c r="AS159" s="55"/>
      <c r="AT159" s="42">
        <v>72.400000000000006</v>
      </c>
      <c r="AU159" s="42" t="s">
        <v>88</v>
      </c>
      <c r="AV159" s="56">
        <v>0</v>
      </c>
      <c r="AW159" s="44">
        <f t="shared" si="8"/>
        <v>1</v>
      </c>
      <c r="AX159" s="42">
        <v>1</v>
      </c>
      <c r="AY159" s="42">
        <f t="shared" si="9"/>
        <v>1</v>
      </c>
      <c r="AZ159" s="42"/>
      <c r="BA159" s="42"/>
      <c r="BB159" s="57" t="s">
        <v>602</v>
      </c>
      <c r="BC159" s="58" t="s">
        <v>603</v>
      </c>
      <c r="BD159" s="58" t="s">
        <v>609</v>
      </c>
      <c r="BE159" s="59">
        <v>1</v>
      </c>
      <c r="BF159" s="58">
        <v>2</v>
      </c>
      <c r="BG159" s="58">
        <f t="shared" si="10"/>
        <v>0</v>
      </c>
      <c r="BH159" s="58" t="s">
        <v>605</v>
      </c>
      <c r="BI159" s="58" t="s">
        <v>610</v>
      </c>
      <c r="BJ159" s="60" t="s">
        <v>90</v>
      </c>
      <c r="BK159" s="61">
        <v>1</v>
      </c>
      <c r="BL159" s="62">
        <v>1</v>
      </c>
      <c r="BM159" s="62">
        <f t="shared" si="11"/>
        <v>0</v>
      </c>
      <c r="BN159" s="58" t="s">
        <v>607</v>
      </c>
      <c r="BO159" s="59"/>
      <c r="BP159" s="59">
        <v>7.75</v>
      </c>
      <c r="BQ159" s="63">
        <f t="shared" si="52"/>
        <v>3</v>
      </c>
      <c r="BR159" s="45">
        <v>1</v>
      </c>
      <c r="BS159" s="45">
        <f t="shared" si="13"/>
        <v>0.47712125471966244</v>
      </c>
      <c r="BU159" s="46"/>
      <c r="BV159" s="64">
        <v>1.875</v>
      </c>
      <c r="BW159" s="54">
        <f>IF(BV159&lt;2.5,1,IF(BV159&gt;3.5,3,2))</f>
        <v>1</v>
      </c>
      <c r="BX159" s="45">
        <v>1</v>
      </c>
      <c r="BY159" s="45">
        <f>BX159*LOG(BW159)</f>
        <v>0</v>
      </c>
      <c r="BZ159" s="61" t="s">
        <v>99</v>
      </c>
      <c r="CA159" s="46"/>
      <c r="CB159" s="65">
        <v>5054</v>
      </c>
      <c r="CC159" s="45">
        <v>2</v>
      </c>
      <c r="CD159" s="45">
        <v>2</v>
      </c>
      <c r="CE159" s="45">
        <f t="shared" si="16"/>
        <v>0.6020599913279624</v>
      </c>
      <c r="CG159" s="46"/>
      <c r="CH159" s="66" t="s">
        <v>92</v>
      </c>
      <c r="CI159" s="67">
        <v>3</v>
      </c>
      <c r="CJ159" s="68">
        <v>2</v>
      </c>
      <c r="CK159" s="68">
        <f t="shared" si="17"/>
        <v>0.95424250943932487</v>
      </c>
      <c r="CL159" s="78"/>
      <c r="CM159" s="79" t="s">
        <v>144</v>
      </c>
      <c r="CO159" s="70">
        <f>(SUM(T159,AA159,AI159,AQ159,AY159)/SUM(S159,Z159,AH159,AP159,AX159,BF159))</f>
        <v>1.7777777777777777</v>
      </c>
      <c r="CQ159" s="45">
        <f t="shared" si="19"/>
        <v>0.22593597283188332</v>
      </c>
      <c r="CR159" s="45">
        <f t="shared" si="20"/>
        <v>1.682426006079768</v>
      </c>
      <c r="CT159" s="71">
        <f t="shared" si="21"/>
        <v>1.3998329951347093</v>
      </c>
    </row>
    <row r="160" spans="1:98" ht="16" hidden="1">
      <c r="A160" s="36">
        <v>158</v>
      </c>
      <c r="B160" s="37"/>
      <c r="C160" s="37" t="s">
        <v>144</v>
      </c>
      <c r="D160" s="37" t="s">
        <v>913</v>
      </c>
      <c r="E160" s="38" t="s">
        <v>914</v>
      </c>
      <c r="F160" s="38" t="s">
        <v>915</v>
      </c>
      <c r="G160" s="38" t="s">
        <v>282</v>
      </c>
      <c r="H160" s="38" t="s">
        <v>224</v>
      </c>
      <c r="I160" s="72">
        <v>4</v>
      </c>
      <c r="J160" s="53" t="s">
        <v>88</v>
      </c>
      <c r="K160" s="42">
        <v>0</v>
      </c>
      <c r="L160" s="42">
        <v>3</v>
      </c>
      <c r="M160" s="42">
        <v>1</v>
      </c>
      <c r="N160" s="42">
        <f t="shared" si="0"/>
        <v>3</v>
      </c>
      <c r="O160" s="214" t="s">
        <v>916</v>
      </c>
      <c r="P160" s="53" t="s">
        <v>652</v>
      </c>
      <c r="Q160" s="43">
        <v>6.2</v>
      </c>
      <c r="R160" s="44">
        <f>IF(Q160="","***",IF(Q160&lt;5,3,IF(Q160&lt;15,2,1)))</f>
        <v>2</v>
      </c>
      <c r="S160" s="45">
        <v>1</v>
      </c>
      <c r="T160" s="45">
        <f t="shared" si="2"/>
        <v>2</v>
      </c>
      <c r="V160" s="46"/>
      <c r="W160" s="58" t="s">
        <v>225</v>
      </c>
      <c r="X160" s="73">
        <v>3.5</v>
      </c>
      <c r="Y160" s="44">
        <f t="shared" si="3"/>
        <v>2</v>
      </c>
      <c r="Z160" s="45">
        <v>1</v>
      </c>
      <c r="AA160" s="45">
        <f t="shared" si="4"/>
        <v>2</v>
      </c>
      <c r="AB160" s="45">
        <v>1</v>
      </c>
      <c r="AD160" s="49" t="s">
        <v>89</v>
      </c>
      <c r="AE160" s="50" t="s">
        <v>146</v>
      </c>
      <c r="AF160" s="50">
        <v>2</v>
      </c>
      <c r="AG160" s="50">
        <v>3</v>
      </c>
      <c r="AH160" s="50">
        <v>2</v>
      </c>
      <c r="AI160" s="50">
        <f t="shared" si="5"/>
        <v>6</v>
      </c>
      <c r="AJ160" s="50" t="s">
        <v>633</v>
      </c>
      <c r="AK160" s="51" t="s">
        <v>89</v>
      </c>
      <c r="AL160" s="103" t="s">
        <v>755</v>
      </c>
      <c r="AM160" s="53"/>
      <c r="AN160" s="53"/>
      <c r="AO160" s="53"/>
      <c r="AP160" s="53">
        <v>2</v>
      </c>
      <c r="AQ160" s="53">
        <f t="shared" si="7"/>
        <v>0</v>
      </c>
      <c r="AR160" s="53"/>
      <c r="AS160" s="55" t="s">
        <v>917</v>
      </c>
      <c r="AT160" s="42">
        <v>61</v>
      </c>
      <c r="AU160" s="42" t="s">
        <v>115</v>
      </c>
      <c r="AV160" s="44">
        <v>1</v>
      </c>
      <c r="AW160" s="44">
        <f t="shared" si="8"/>
        <v>1</v>
      </c>
      <c r="AX160" s="42">
        <v>1</v>
      </c>
      <c r="AY160" s="42">
        <f t="shared" si="9"/>
        <v>1</v>
      </c>
      <c r="AZ160" s="42" t="s">
        <v>227</v>
      </c>
      <c r="BA160" s="53" t="s">
        <v>228</v>
      </c>
      <c r="BB160" s="57" t="s">
        <v>642</v>
      </c>
      <c r="BC160" s="58" t="s">
        <v>643</v>
      </c>
      <c r="BD160" s="58" t="s">
        <v>604</v>
      </c>
      <c r="BE160" s="59">
        <v>3</v>
      </c>
      <c r="BF160" s="58">
        <v>2</v>
      </c>
      <c r="BG160" s="58">
        <f t="shared" si="10"/>
        <v>0.95424250943932487</v>
      </c>
      <c r="BH160" s="58" t="s">
        <v>605</v>
      </c>
      <c r="BI160" s="58" t="s">
        <v>691</v>
      </c>
      <c r="BJ160" s="60" t="s">
        <v>90</v>
      </c>
      <c r="BK160" s="61">
        <v>1</v>
      </c>
      <c r="BL160" s="62">
        <v>1</v>
      </c>
      <c r="BM160" s="62">
        <f t="shared" si="11"/>
        <v>0</v>
      </c>
      <c r="BN160" s="58" t="s">
        <v>607</v>
      </c>
      <c r="BO160" s="59"/>
      <c r="BP160" s="59">
        <v>17.5</v>
      </c>
      <c r="BQ160" s="90">
        <f t="shared" si="52"/>
        <v>2</v>
      </c>
      <c r="BR160" s="45">
        <v>1</v>
      </c>
      <c r="BS160" s="45">
        <f t="shared" si="13"/>
        <v>0.3010299956639812</v>
      </c>
      <c r="BT160" s="93">
        <v>1</v>
      </c>
      <c r="BU160" s="94"/>
      <c r="BV160" s="64">
        <v>1</v>
      </c>
      <c r="BW160" s="45"/>
      <c r="BX160" s="45">
        <v>1</v>
      </c>
      <c r="BY160" s="45">
        <f>BX160*LOG(BV160)</f>
        <v>0</v>
      </c>
      <c r="BZ160" s="61">
        <v>10</v>
      </c>
      <c r="CA160" s="46"/>
      <c r="CB160" s="65">
        <v>5049</v>
      </c>
      <c r="CC160" s="45">
        <v>2</v>
      </c>
      <c r="CD160" s="45">
        <v>2</v>
      </c>
      <c r="CE160" s="45">
        <f t="shared" si="16"/>
        <v>0.6020599913279624</v>
      </c>
      <c r="CG160" s="46"/>
      <c r="CH160" s="66" t="s">
        <v>92</v>
      </c>
      <c r="CI160" s="67">
        <v>3</v>
      </c>
      <c r="CJ160" s="68">
        <v>1</v>
      </c>
      <c r="CK160" s="68">
        <f t="shared" si="17"/>
        <v>0.47712125471966244</v>
      </c>
      <c r="CL160" s="78"/>
      <c r="CM160" s="79" t="s">
        <v>144</v>
      </c>
      <c r="CO160" s="70">
        <f>(SUM(N160,T160,AA160,AI160,AQ160,AY160)/SUM(M160,S160,Z160,AH160,AP160,AX160,BF160))</f>
        <v>1.4</v>
      </c>
      <c r="CQ160" s="45">
        <f t="shared" si="19"/>
        <v>0.29180671889386639</v>
      </c>
      <c r="CR160" s="45">
        <f t="shared" si="20"/>
        <v>1.9579730911015187</v>
      </c>
      <c r="CT160" s="71">
        <f t="shared" si="21"/>
        <v>1.864862580265527</v>
      </c>
    </row>
    <row r="161" spans="1:99" ht="16">
      <c r="A161" s="36">
        <v>159</v>
      </c>
      <c r="B161" s="37"/>
      <c r="C161" s="37"/>
      <c r="D161" s="37"/>
      <c r="E161" s="38" t="s">
        <v>918</v>
      </c>
      <c r="F161" s="38" t="s">
        <v>360</v>
      </c>
      <c r="G161" s="38" t="s">
        <v>919</v>
      </c>
      <c r="H161" s="38" t="s">
        <v>152</v>
      </c>
      <c r="I161" s="72">
        <v>7.7</v>
      </c>
      <c r="J161" s="53" t="s">
        <v>115</v>
      </c>
      <c r="K161" s="42">
        <v>1</v>
      </c>
      <c r="L161" s="42">
        <v>2</v>
      </c>
      <c r="M161" s="42">
        <v>1</v>
      </c>
      <c r="N161" s="42">
        <f t="shared" si="0"/>
        <v>2</v>
      </c>
      <c r="O161" s="42" t="s">
        <v>799</v>
      </c>
      <c r="P161" s="53"/>
      <c r="Q161" s="43">
        <v>9.5</v>
      </c>
      <c r="R161" s="44">
        <f t="shared" ref="R161:R181" si="53">IF(Q161="","***",IF(Q161&lt;30,3,IF(Q161&gt;60,1,2)))</f>
        <v>3</v>
      </c>
      <c r="S161" s="45">
        <v>1</v>
      </c>
      <c r="T161" s="45">
        <f t="shared" si="2"/>
        <v>3</v>
      </c>
      <c r="V161" s="46"/>
      <c r="W161" s="58" t="s">
        <v>920</v>
      </c>
      <c r="X161" s="73">
        <v>3.3</v>
      </c>
      <c r="Y161" s="44">
        <f t="shared" si="3"/>
        <v>2</v>
      </c>
      <c r="Z161" s="45">
        <v>1</v>
      </c>
      <c r="AA161" s="45">
        <f t="shared" si="4"/>
        <v>2</v>
      </c>
      <c r="AB161" s="45">
        <v>1</v>
      </c>
      <c r="AD161" s="49" t="s">
        <v>362</v>
      </c>
      <c r="AE161" s="50" t="s">
        <v>88</v>
      </c>
      <c r="AF161" s="50">
        <v>0</v>
      </c>
      <c r="AG161" s="50">
        <v>2</v>
      </c>
      <c r="AH161" s="50">
        <v>2</v>
      </c>
      <c r="AI161" s="50">
        <f t="shared" si="5"/>
        <v>4</v>
      </c>
      <c r="AJ161" s="50">
        <v>1</v>
      </c>
      <c r="AK161" s="51" t="s">
        <v>156</v>
      </c>
      <c r="AL161" s="61">
        <v>517850</v>
      </c>
      <c r="AM161" s="53" t="s">
        <v>115</v>
      </c>
      <c r="AN161" s="42">
        <v>1</v>
      </c>
      <c r="AO161" s="54">
        <f t="shared" ref="AO161:AO181" si="54">IF(AL161="","***",IF(AL161&gt;15000,3,IF(AL161&lt;1000,1,2)))</f>
        <v>3</v>
      </c>
      <c r="AP161" s="53">
        <v>2</v>
      </c>
      <c r="AQ161" s="53">
        <f t="shared" si="7"/>
        <v>6</v>
      </c>
      <c r="AR161" s="53"/>
      <c r="AS161" s="55"/>
      <c r="AT161" s="53">
        <v>30.65</v>
      </c>
      <c r="AU161" s="42" t="s">
        <v>115</v>
      </c>
      <c r="AV161" s="44">
        <v>1</v>
      </c>
      <c r="AW161" s="44">
        <f t="shared" si="8"/>
        <v>1</v>
      </c>
      <c r="AX161" s="42">
        <v>1</v>
      </c>
      <c r="AY161" s="42">
        <f t="shared" si="9"/>
        <v>1</v>
      </c>
      <c r="AZ161" s="42" t="s">
        <v>340</v>
      </c>
      <c r="BA161" s="53" t="s">
        <v>921</v>
      </c>
      <c r="BB161" s="57" t="s">
        <v>602</v>
      </c>
      <c r="BC161" s="58" t="s">
        <v>603</v>
      </c>
      <c r="BD161" s="58" t="s">
        <v>604</v>
      </c>
      <c r="BE161" s="59">
        <v>2</v>
      </c>
      <c r="BF161" s="58">
        <v>2</v>
      </c>
      <c r="BG161" s="58">
        <f t="shared" si="10"/>
        <v>0.6020599913279624</v>
      </c>
      <c r="BH161" s="58" t="s">
        <v>605</v>
      </c>
      <c r="BI161" s="58" t="s">
        <v>922</v>
      </c>
      <c r="BJ161" s="60" t="s">
        <v>90</v>
      </c>
      <c r="BK161" s="61">
        <v>1</v>
      </c>
      <c r="BL161" s="62">
        <v>1</v>
      </c>
      <c r="BM161" s="62">
        <f t="shared" si="11"/>
        <v>0</v>
      </c>
      <c r="BN161" s="58" t="s">
        <v>607</v>
      </c>
      <c r="BO161" s="59"/>
      <c r="BP161" s="59">
        <v>40.5</v>
      </c>
      <c r="BQ161" s="63">
        <f t="shared" si="52"/>
        <v>1</v>
      </c>
      <c r="BR161" s="45">
        <v>1</v>
      </c>
      <c r="BS161" s="45">
        <f t="shared" si="13"/>
        <v>0</v>
      </c>
      <c r="BU161" s="46"/>
      <c r="BV161" s="64">
        <v>2</v>
      </c>
      <c r="BW161" s="54">
        <f t="shared" ref="BW161:BW181" si="55">IF(BV161&lt;2.5,1,IF(BV161&gt;3.5,3,2))</f>
        <v>1</v>
      </c>
      <c r="BX161" s="45">
        <v>1</v>
      </c>
      <c r="BY161" s="45">
        <f t="shared" ref="BY161:BY181" si="56">BX161*LOG(BW161)</f>
        <v>0</v>
      </c>
      <c r="BZ161" s="61">
        <v>46</v>
      </c>
      <c r="CA161" s="46"/>
      <c r="CB161" s="65">
        <v>5006</v>
      </c>
      <c r="CC161" s="45">
        <v>2</v>
      </c>
      <c r="CD161" s="45">
        <v>2</v>
      </c>
      <c r="CE161" s="45">
        <f t="shared" si="16"/>
        <v>0.6020599913279624</v>
      </c>
      <c r="CG161" s="46"/>
      <c r="CH161" s="66" t="s">
        <v>92</v>
      </c>
      <c r="CI161" s="67">
        <v>3</v>
      </c>
      <c r="CJ161" s="68">
        <v>2</v>
      </c>
      <c r="CK161" s="68">
        <f t="shared" si="17"/>
        <v>0.95424250943932487</v>
      </c>
      <c r="CL161" s="68"/>
      <c r="CM161" s="69" t="s">
        <v>144</v>
      </c>
      <c r="CO161" s="70">
        <f t="shared" ref="CO161:CO181" si="57">(SUM(T161,AA161,AI161,AQ161,AY161)/SUM(S161,Z161,AH161,AP161,AX161,BF161))</f>
        <v>1.7777777777777777</v>
      </c>
      <c r="CQ161" s="45">
        <f t="shared" si="19"/>
        <v>0.23981805467724998</v>
      </c>
      <c r="CR161" s="45">
        <f t="shared" si="20"/>
        <v>1.7370729389807016</v>
      </c>
      <c r="CT161" s="71">
        <f t="shared" si="21"/>
        <v>1.4272714100238526</v>
      </c>
    </row>
    <row r="162" spans="1:99" ht="16">
      <c r="A162" s="36">
        <v>160</v>
      </c>
      <c r="B162" s="37"/>
      <c r="C162" s="37"/>
      <c r="D162" s="37"/>
      <c r="E162" s="38" t="s">
        <v>923</v>
      </c>
      <c r="F162" s="38" t="s">
        <v>785</v>
      </c>
      <c r="G162" s="38" t="s">
        <v>924</v>
      </c>
      <c r="H162" s="38" t="s">
        <v>787</v>
      </c>
      <c r="I162" s="72">
        <v>10</v>
      </c>
      <c r="J162" s="53" t="s">
        <v>88</v>
      </c>
      <c r="K162" s="42">
        <v>0</v>
      </c>
      <c r="L162" s="42">
        <v>2</v>
      </c>
      <c r="M162" s="42">
        <v>1</v>
      </c>
      <c r="N162" s="42">
        <f t="shared" si="0"/>
        <v>2</v>
      </c>
      <c r="O162" s="214" t="s">
        <v>925</v>
      </c>
      <c r="P162" s="53" t="s">
        <v>652</v>
      </c>
      <c r="Q162" s="43">
        <v>50</v>
      </c>
      <c r="R162" s="44">
        <f t="shared" si="53"/>
        <v>2</v>
      </c>
      <c r="S162" s="45">
        <v>1</v>
      </c>
      <c r="T162" s="45">
        <f t="shared" si="2"/>
        <v>2</v>
      </c>
      <c r="V162" s="46"/>
      <c r="W162" s="58" t="s">
        <v>926</v>
      </c>
      <c r="X162" s="73">
        <v>3.9</v>
      </c>
      <c r="Y162" s="44">
        <f t="shared" si="3"/>
        <v>1</v>
      </c>
      <c r="Z162" s="45">
        <v>1</v>
      </c>
      <c r="AA162" s="45">
        <f t="shared" si="4"/>
        <v>1</v>
      </c>
      <c r="AB162" s="45">
        <v>1</v>
      </c>
      <c r="AD162" s="49" t="s">
        <v>165</v>
      </c>
      <c r="AE162" s="50" t="s">
        <v>146</v>
      </c>
      <c r="AF162" s="50">
        <v>2</v>
      </c>
      <c r="AG162" s="50">
        <v>3</v>
      </c>
      <c r="AH162" s="50">
        <v>2</v>
      </c>
      <c r="AI162" s="50">
        <f t="shared" si="5"/>
        <v>6</v>
      </c>
      <c r="AJ162" s="50" t="s">
        <v>633</v>
      </c>
      <c r="AK162" s="51" t="s">
        <v>165</v>
      </c>
      <c r="AL162" s="52">
        <v>3500</v>
      </c>
      <c r="AM162" s="53" t="s">
        <v>88</v>
      </c>
      <c r="AN162" s="42">
        <v>0</v>
      </c>
      <c r="AO162" s="54">
        <f t="shared" si="54"/>
        <v>2</v>
      </c>
      <c r="AP162" s="53">
        <v>2</v>
      </c>
      <c r="AQ162" s="53">
        <f t="shared" si="7"/>
        <v>4</v>
      </c>
      <c r="AR162" s="53"/>
      <c r="AS162" s="55"/>
      <c r="AT162" s="42">
        <v>40.799999999999997</v>
      </c>
      <c r="AU162" s="42" t="s">
        <v>146</v>
      </c>
      <c r="AV162" s="44">
        <v>2</v>
      </c>
      <c r="AW162" s="44">
        <f t="shared" si="8"/>
        <v>1</v>
      </c>
      <c r="AX162" s="42">
        <v>1</v>
      </c>
      <c r="AY162" s="42">
        <f t="shared" si="9"/>
        <v>1</v>
      </c>
      <c r="AZ162" s="42" t="s">
        <v>340</v>
      </c>
      <c r="BA162" s="53" t="s">
        <v>789</v>
      </c>
      <c r="BB162" s="57" t="s">
        <v>602</v>
      </c>
      <c r="BC162" s="58" t="s">
        <v>603</v>
      </c>
      <c r="BD162" s="58" t="s">
        <v>609</v>
      </c>
      <c r="BE162" s="59">
        <v>1</v>
      </c>
      <c r="BF162" s="58">
        <v>2</v>
      </c>
      <c r="BG162" s="58">
        <f t="shared" si="10"/>
        <v>0</v>
      </c>
      <c r="BH162" s="58" t="s">
        <v>605</v>
      </c>
      <c r="BI162" s="58" t="s">
        <v>610</v>
      </c>
      <c r="BJ162" s="60" t="s">
        <v>90</v>
      </c>
      <c r="BK162" s="61">
        <v>1</v>
      </c>
      <c r="BL162" s="62">
        <v>1</v>
      </c>
      <c r="BM162" s="62">
        <f t="shared" si="11"/>
        <v>0</v>
      </c>
      <c r="BN162" s="58" t="s">
        <v>607</v>
      </c>
      <c r="BO162" s="59"/>
      <c r="BP162" s="59">
        <v>75.5</v>
      </c>
      <c r="BQ162" s="63">
        <f t="shared" si="52"/>
        <v>1</v>
      </c>
      <c r="BR162" s="45">
        <v>1</v>
      </c>
      <c r="BS162" s="45">
        <f t="shared" si="13"/>
        <v>0</v>
      </c>
      <c r="BU162" s="46"/>
      <c r="BV162" s="64">
        <v>2.6666666669999999</v>
      </c>
      <c r="BW162" s="54">
        <f t="shared" si="55"/>
        <v>2</v>
      </c>
      <c r="BX162" s="45">
        <v>1</v>
      </c>
      <c r="BY162" s="45">
        <f t="shared" si="56"/>
        <v>0.3010299956639812</v>
      </c>
      <c r="BZ162" s="61" t="s">
        <v>927</v>
      </c>
      <c r="CA162" s="46"/>
      <c r="CB162" s="65">
        <v>5005</v>
      </c>
      <c r="CC162" s="45">
        <v>2</v>
      </c>
      <c r="CD162" s="45">
        <v>2</v>
      </c>
      <c r="CE162" s="45">
        <f t="shared" si="16"/>
        <v>0.6020599913279624</v>
      </c>
      <c r="CG162" s="46"/>
      <c r="CH162" s="66" t="s">
        <v>106</v>
      </c>
      <c r="CI162" s="67">
        <v>3</v>
      </c>
      <c r="CJ162" s="68">
        <v>2</v>
      </c>
      <c r="CK162" s="68">
        <f t="shared" si="17"/>
        <v>0.95424250943932487</v>
      </c>
      <c r="CL162" s="68"/>
      <c r="CM162" s="69"/>
      <c r="CO162" s="70">
        <f t="shared" si="57"/>
        <v>1.5555555555555556</v>
      </c>
      <c r="CQ162" s="45">
        <f t="shared" si="19"/>
        <v>0.20637027738125205</v>
      </c>
      <c r="CR162" s="45">
        <f t="shared" si="20"/>
        <v>1.6083119076007948</v>
      </c>
      <c r="CT162" s="71">
        <f t="shared" si="21"/>
        <v>1.5673107956035195</v>
      </c>
    </row>
    <row r="163" spans="1:99" ht="16">
      <c r="A163" s="36">
        <v>161</v>
      </c>
      <c r="B163" s="37"/>
      <c r="C163" s="37"/>
      <c r="D163" s="37"/>
      <c r="E163" s="38" t="s">
        <v>928</v>
      </c>
      <c r="F163" s="38" t="s">
        <v>929</v>
      </c>
      <c r="G163" s="38" t="s">
        <v>930</v>
      </c>
      <c r="H163" s="38" t="s">
        <v>83</v>
      </c>
      <c r="I163" s="72">
        <v>6.3</v>
      </c>
      <c r="J163" s="53" t="s">
        <v>146</v>
      </c>
      <c r="K163" s="42">
        <v>2</v>
      </c>
      <c r="L163" s="42">
        <v>3</v>
      </c>
      <c r="M163" s="42">
        <v>1</v>
      </c>
      <c r="N163" s="42">
        <f t="shared" si="0"/>
        <v>3</v>
      </c>
      <c r="O163" s="42" t="s">
        <v>799</v>
      </c>
      <c r="P163" s="53"/>
      <c r="Q163" s="43">
        <v>11</v>
      </c>
      <c r="R163" s="44">
        <f t="shared" si="53"/>
        <v>3</v>
      </c>
      <c r="S163" s="45">
        <v>1</v>
      </c>
      <c r="T163" s="45">
        <f t="shared" si="2"/>
        <v>3</v>
      </c>
      <c r="V163" s="46"/>
      <c r="W163" s="58"/>
      <c r="X163" s="88">
        <v>2</v>
      </c>
      <c r="Y163" s="44">
        <f t="shared" si="3"/>
        <v>3</v>
      </c>
      <c r="Z163" s="45">
        <v>1</v>
      </c>
      <c r="AA163" s="45">
        <f t="shared" si="4"/>
        <v>3</v>
      </c>
      <c r="AB163" s="45">
        <v>53</v>
      </c>
      <c r="AC163" s="45" t="s">
        <v>931</v>
      </c>
      <c r="AD163" s="49" t="s">
        <v>87</v>
      </c>
      <c r="AE163" s="50" t="s">
        <v>88</v>
      </c>
      <c r="AF163" s="50">
        <v>0</v>
      </c>
      <c r="AG163" s="50">
        <v>3</v>
      </c>
      <c r="AH163" s="50">
        <v>2</v>
      </c>
      <c r="AI163" s="50">
        <f t="shared" si="5"/>
        <v>6</v>
      </c>
      <c r="AJ163" s="50">
        <v>1</v>
      </c>
      <c r="AK163" s="51" t="s">
        <v>89</v>
      </c>
      <c r="AL163" s="52">
        <v>57661</v>
      </c>
      <c r="AM163" s="53" t="s">
        <v>146</v>
      </c>
      <c r="AN163" s="42">
        <v>2</v>
      </c>
      <c r="AO163" s="54">
        <f t="shared" si="54"/>
        <v>3</v>
      </c>
      <c r="AP163" s="53">
        <v>2</v>
      </c>
      <c r="AQ163" s="53">
        <f t="shared" si="7"/>
        <v>6</v>
      </c>
      <c r="AR163" s="53"/>
      <c r="AS163" s="55"/>
      <c r="AT163" s="42">
        <v>32</v>
      </c>
      <c r="AU163" s="42" t="s">
        <v>115</v>
      </c>
      <c r="AV163" s="44">
        <v>1</v>
      </c>
      <c r="AW163" s="44">
        <f t="shared" si="8"/>
        <v>1</v>
      </c>
      <c r="AX163" s="42">
        <v>1</v>
      </c>
      <c r="AY163" s="42">
        <f t="shared" si="9"/>
        <v>1</v>
      </c>
      <c r="AZ163" s="42">
        <v>75</v>
      </c>
      <c r="BA163" s="53" t="s">
        <v>932</v>
      </c>
      <c r="BB163" s="57" t="s">
        <v>642</v>
      </c>
      <c r="BC163" s="58" t="s">
        <v>643</v>
      </c>
      <c r="BD163" s="58" t="s">
        <v>609</v>
      </c>
      <c r="BE163" s="59">
        <v>2</v>
      </c>
      <c r="BF163" s="58">
        <v>2</v>
      </c>
      <c r="BG163" s="58">
        <f t="shared" si="10"/>
        <v>0.6020599913279624</v>
      </c>
      <c r="BH163" s="58" t="s">
        <v>605</v>
      </c>
      <c r="BI163" s="58" t="s">
        <v>644</v>
      </c>
      <c r="BJ163" s="60" t="s">
        <v>90</v>
      </c>
      <c r="BK163" s="61">
        <v>1</v>
      </c>
      <c r="BL163" s="62">
        <v>1</v>
      </c>
      <c r="BM163" s="62">
        <f t="shared" si="11"/>
        <v>0</v>
      </c>
      <c r="BN163" s="58" t="s">
        <v>607</v>
      </c>
      <c r="BO163" s="59"/>
      <c r="BP163" s="59">
        <v>2.75</v>
      </c>
      <c r="BQ163" s="63">
        <f t="shared" si="52"/>
        <v>3</v>
      </c>
      <c r="BR163" s="45">
        <v>1</v>
      </c>
      <c r="BS163" s="45">
        <f t="shared" si="13"/>
        <v>0.47712125471966244</v>
      </c>
      <c r="BU163" s="46"/>
      <c r="BV163" s="64">
        <v>2</v>
      </c>
      <c r="BW163" s="54">
        <f t="shared" si="55"/>
        <v>1</v>
      </c>
      <c r="BX163" s="45">
        <v>1</v>
      </c>
      <c r="BY163" s="45">
        <f t="shared" si="56"/>
        <v>0</v>
      </c>
      <c r="BZ163" s="61">
        <v>45</v>
      </c>
      <c r="CA163" s="46"/>
      <c r="CB163" s="65">
        <v>4995</v>
      </c>
      <c r="CC163" s="45">
        <v>2</v>
      </c>
      <c r="CD163" s="45">
        <v>2</v>
      </c>
      <c r="CE163" s="45">
        <f t="shared" si="16"/>
        <v>0.6020599913279624</v>
      </c>
      <c r="CG163" s="46"/>
      <c r="CH163" s="66" t="s">
        <v>106</v>
      </c>
      <c r="CI163" s="67">
        <v>3</v>
      </c>
      <c r="CJ163" s="68">
        <v>2</v>
      </c>
      <c r="CK163" s="68">
        <f t="shared" si="17"/>
        <v>0.95424250943932487</v>
      </c>
      <c r="CL163" s="78"/>
      <c r="CM163" s="79" t="s">
        <v>144</v>
      </c>
      <c r="CO163" s="70">
        <f t="shared" si="57"/>
        <v>2.1111111111111112</v>
      </c>
      <c r="CQ163" s="45">
        <f t="shared" si="19"/>
        <v>0.29283152742387908</v>
      </c>
      <c r="CR163" s="45">
        <f t="shared" si="20"/>
        <v>1.9625987930301132</v>
      </c>
      <c r="CT163" s="71">
        <f t="shared" si="21"/>
        <v>1.3102365790700372</v>
      </c>
    </row>
    <row r="164" spans="1:99" ht="16">
      <c r="A164" s="36">
        <v>162</v>
      </c>
      <c r="B164" s="37"/>
      <c r="C164" s="37"/>
      <c r="D164" s="37"/>
      <c r="E164" s="38" t="s">
        <v>933</v>
      </c>
      <c r="F164" s="38" t="s">
        <v>570</v>
      </c>
      <c r="G164" s="38" t="s">
        <v>934</v>
      </c>
      <c r="H164" s="38" t="s">
        <v>160</v>
      </c>
      <c r="I164" s="72">
        <v>10</v>
      </c>
      <c r="J164" s="53" t="s">
        <v>88</v>
      </c>
      <c r="K164" s="42">
        <v>0</v>
      </c>
      <c r="L164" s="42">
        <v>2</v>
      </c>
      <c r="M164" s="42">
        <v>1</v>
      </c>
      <c r="N164" s="42">
        <f t="shared" si="0"/>
        <v>2</v>
      </c>
      <c r="O164" s="214" t="s">
        <v>935</v>
      </c>
      <c r="P164" s="53" t="s">
        <v>652</v>
      </c>
      <c r="Q164" s="43">
        <v>17.666666670000001</v>
      </c>
      <c r="R164" s="44">
        <f t="shared" si="53"/>
        <v>3</v>
      </c>
      <c r="S164" s="45">
        <v>1</v>
      </c>
      <c r="T164" s="45">
        <f t="shared" si="2"/>
        <v>3</v>
      </c>
      <c r="V164" s="46"/>
      <c r="W164" s="58" t="s">
        <v>450</v>
      </c>
      <c r="X164" s="73">
        <v>2.7</v>
      </c>
      <c r="Y164" s="44">
        <f t="shared" si="3"/>
        <v>2</v>
      </c>
      <c r="Z164" s="45">
        <v>1</v>
      </c>
      <c r="AA164" s="45">
        <f t="shared" si="4"/>
        <v>2</v>
      </c>
      <c r="AB164" s="45">
        <v>1</v>
      </c>
      <c r="AD164" s="49" t="s">
        <v>936</v>
      </c>
      <c r="AE164" s="50" t="s">
        <v>88</v>
      </c>
      <c r="AF164" s="50">
        <v>0</v>
      </c>
      <c r="AG164" s="50">
        <v>3</v>
      </c>
      <c r="AH164" s="50">
        <v>2</v>
      </c>
      <c r="AI164" s="50">
        <f t="shared" si="5"/>
        <v>6</v>
      </c>
      <c r="AJ164" s="50">
        <v>1</v>
      </c>
      <c r="AK164" s="51"/>
      <c r="AL164" s="61">
        <v>66943</v>
      </c>
      <c r="AM164" s="53" t="s">
        <v>146</v>
      </c>
      <c r="AN164" s="42">
        <v>2</v>
      </c>
      <c r="AO164" s="54">
        <f t="shared" si="54"/>
        <v>3</v>
      </c>
      <c r="AP164" s="53">
        <v>2</v>
      </c>
      <c r="AQ164" s="53">
        <f t="shared" si="7"/>
        <v>6</v>
      </c>
      <c r="AR164" s="53"/>
      <c r="AS164" s="55"/>
      <c r="AT164" s="42">
        <v>19.899999999999999</v>
      </c>
      <c r="AU164" s="42" t="s">
        <v>88</v>
      </c>
      <c r="AV164" s="56">
        <v>0</v>
      </c>
      <c r="AW164" s="44">
        <f t="shared" si="8"/>
        <v>2</v>
      </c>
      <c r="AX164" s="42">
        <v>1</v>
      </c>
      <c r="AY164" s="42">
        <f t="shared" si="9"/>
        <v>2</v>
      </c>
      <c r="AZ164" s="42"/>
      <c r="BA164" s="42"/>
      <c r="BB164" s="57" t="s">
        <v>602</v>
      </c>
      <c r="BC164" s="58" t="s">
        <v>603</v>
      </c>
      <c r="BD164" s="58" t="s">
        <v>609</v>
      </c>
      <c r="BE164" s="59">
        <v>1</v>
      </c>
      <c r="BF164" s="58">
        <v>2</v>
      </c>
      <c r="BG164" s="58">
        <f t="shared" si="10"/>
        <v>0</v>
      </c>
      <c r="BH164" s="58" t="s">
        <v>605</v>
      </c>
      <c r="BI164" s="58" t="s">
        <v>610</v>
      </c>
      <c r="BJ164" s="81" t="s">
        <v>166</v>
      </c>
      <c r="BK164" s="61">
        <v>3</v>
      </c>
      <c r="BL164" s="62">
        <v>1</v>
      </c>
      <c r="BM164" s="62">
        <f t="shared" si="11"/>
        <v>0.47712125471966244</v>
      </c>
      <c r="BN164" s="58" t="s">
        <v>607</v>
      </c>
      <c r="BO164" s="59"/>
      <c r="BP164" s="59">
        <v>10.5</v>
      </c>
      <c r="BQ164" s="63">
        <f t="shared" si="52"/>
        <v>2</v>
      </c>
      <c r="BR164" s="45">
        <v>1</v>
      </c>
      <c r="BS164" s="45">
        <f t="shared" si="13"/>
        <v>0.3010299956639812</v>
      </c>
      <c r="BU164" s="46"/>
      <c r="BV164" s="64">
        <v>2.25</v>
      </c>
      <c r="BW164" s="54">
        <f t="shared" si="55"/>
        <v>1</v>
      </c>
      <c r="BX164" s="45">
        <v>1</v>
      </c>
      <c r="BY164" s="45">
        <f t="shared" si="56"/>
        <v>0</v>
      </c>
      <c r="BZ164" s="61" t="s">
        <v>99</v>
      </c>
      <c r="CA164" s="46"/>
      <c r="CB164" s="65">
        <v>4954</v>
      </c>
      <c r="CC164" s="45">
        <v>2</v>
      </c>
      <c r="CD164" s="45">
        <v>2</v>
      </c>
      <c r="CE164" s="45">
        <f t="shared" si="16"/>
        <v>0.6020599913279624</v>
      </c>
      <c r="CG164" s="46"/>
      <c r="CH164" s="66" t="s">
        <v>216</v>
      </c>
      <c r="CI164" s="67">
        <v>3</v>
      </c>
      <c r="CJ164" s="68">
        <v>2</v>
      </c>
      <c r="CK164" s="68">
        <f t="shared" si="17"/>
        <v>0.95424250943932487</v>
      </c>
      <c r="CL164" s="68"/>
      <c r="CM164" s="69"/>
      <c r="CO164" s="70">
        <f t="shared" si="57"/>
        <v>2.1111111111111112</v>
      </c>
      <c r="CQ164" s="45">
        <f t="shared" si="19"/>
        <v>0.25938375012788117</v>
      </c>
      <c r="CR164" s="45">
        <f t="shared" si="20"/>
        <v>1.8171205928321397</v>
      </c>
      <c r="CT164" s="71">
        <f t="shared" si="21"/>
        <v>1.2073978300545645</v>
      </c>
    </row>
    <row r="165" spans="1:99" ht="16">
      <c r="A165" s="36">
        <v>163</v>
      </c>
      <c r="B165" s="37" t="s">
        <v>144</v>
      </c>
      <c r="C165" s="37"/>
      <c r="D165" s="37"/>
      <c r="E165" s="38" t="s">
        <v>937</v>
      </c>
      <c r="F165" s="38" t="s">
        <v>94</v>
      </c>
      <c r="G165" s="38" t="s">
        <v>938</v>
      </c>
      <c r="H165" s="38" t="s">
        <v>83</v>
      </c>
      <c r="I165" s="72">
        <v>5</v>
      </c>
      <c r="J165" s="53" t="s">
        <v>88</v>
      </c>
      <c r="K165" s="42">
        <v>0</v>
      </c>
      <c r="L165" s="42">
        <v>2</v>
      </c>
      <c r="M165" s="42">
        <v>1</v>
      </c>
      <c r="N165" s="42">
        <f t="shared" si="0"/>
        <v>2</v>
      </c>
      <c r="O165" s="53"/>
      <c r="P165" s="53"/>
      <c r="Q165" s="43">
        <v>5.5</v>
      </c>
      <c r="R165" s="44">
        <f t="shared" si="53"/>
        <v>3</v>
      </c>
      <c r="S165" s="45">
        <v>1</v>
      </c>
      <c r="T165" s="45">
        <f t="shared" si="2"/>
        <v>3</v>
      </c>
      <c r="V165" s="46"/>
      <c r="W165" s="58" t="s">
        <v>258</v>
      </c>
      <c r="X165" s="73">
        <v>2.7</v>
      </c>
      <c r="Y165" s="44">
        <f t="shared" si="3"/>
        <v>2</v>
      </c>
      <c r="Z165" s="45">
        <v>1</v>
      </c>
      <c r="AA165" s="45">
        <f t="shared" si="4"/>
        <v>2</v>
      </c>
      <c r="AB165" s="45">
        <v>1</v>
      </c>
      <c r="AD165" s="49" t="s">
        <v>87</v>
      </c>
      <c r="AE165" s="50" t="s">
        <v>88</v>
      </c>
      <c r="AF165" s="50">
        <v>0</v>
      </c>
      <c r="AG165" s="50">
        <v>3</v>
      </c>
      <c r="AH165" s="50">
        <v>2</v>
      </c>
      <c r="AI165" s="50">
        <f t="shared" si="5"/>
        <v>6</v>
      </c>
      <c r="AJ165" s="50">
        <v>1</v>
      </c>
      <c r="AK165" s="51" t="s">
        <v>89</v>
      </c>
      <c r="AL165" s="52">
        <v>26408</v>
      </c>
      <c r="AM165" s="53" t="s">
        <v>115</v>
      </c>
      <c r="AN165" s="42">
        <v>1</v>
      </c>
      <c r="AO165" s="54">
        <f t="shared" si="54"/>
        <v>3</v>
      </c>
      <c r="AP165" s="53">
        <v>2</v>
      </c>
      <c r="AQ165" s="53">
        <f t="shared" si="7"/>
        <v>6</v>
      </c>
      <c r="AR165" s="53"/>
      <c r="AS165" s="55"/>
      <c r="AT165" s="53">
        <v>21.5</v>
      </c>
      <c r="AU165" s="42" t="s">
        <v>115</v>
      </c>
      <c r="AV165" s="44">
        <v>1</v>
      </c>
      <c r="AW165" s="44">
        <f t="shared" si="8"/>
        <v>2</v>
      </c>
      <c r="AX165" s="42">
        <v>1</v>
      </c>
      <c r="AY165" s="42">
        <f t="shared" si="9"/>
        <v>2</v>
      </c>
      <c r="AZ165" s="42">
        <v>75</v>
      </c>
      <c r="BA165" s="53" t="s">
        <v>939</v>
      </c>
      <c r="BB165" s="57" t="s">
        <v>642</v>
      </c>
      <c r="BC165" s="58" t="s">
        <v>643</v>
      </c>
      <c r="BD165" s="58" t="s">
        <v>604</v>
      </c>
      <c r="BE165" s="59">
        <v>3</v>
      </c>
      <c r="BF165" s="58">
        <v>2</v>
      </c>
      <c r="BG165" s="58">
        <f t="shared" si="10"/>
        <v>0.95424250943932487</v>
      </c>
      <c r="BH165" s="58" t="s">
        <v>605</v>
      </c>
      <c r="BI165" s="58" t="s">
        <v>940</v>
      </c>
      <c r="BJ165" s="60" t="s">
        <v>90</v>
      </c>
      <c r="BK165" s="61">
        <v>1</v>
      </c>
      <c r="BL165" s="62">
        <v>1</v>
      </c>
      <c r="BM165" s="62">
        <f t="shared" si="11"/>
        <v>0</v>
      </c>
      <c r="BN165" s="58" t="s">
        <v>607</v>
      </c>
      <c r="BO165" s="59"/>
      <c r="BP165" s="59">
        <v>9</v>
      </c>
      <c r="BQ165" s="63">
        <f t="shared" si="52"/>
        <v>3</v>
      </c>
      <c r="BR165" s="45">
        <v>1</v>
      </c>
      <c r="BS165" s="45">
        <f t="shared" si="13"/>
        <v>0.47712125471966244</v>
      </c>
      <c r="BU165" s="46"/>
      <c r="BV165" s="64">
        <v>1.25</v>
      </c>
      <c r="BW165" s="54">
        <f t="shared" si="55"/>
        <v>1</v>
      </c>
      <c r="BX165" s="45">
        <v>1</v>
      </c>
      <c r="BY165" s="45">
        <f t="shared" si="56"/>
        <v>0</v>
      </c>
      <c r="BZ165" s="61" t="s">
        <v>99</v>
      </c>
      <c r="CA165" s="46"/>
      <c r="CB165" s="65">
        <v>4853</v>
      </c>
      <c r="CC165" s="45">
        <v>2</v>
      </c>
      <c r="CD165" s="45">
        <v>2</v>
      </c>
      <c r="CE165" s="45">
        <f t="shared" si="16"/>
        <v>0.6020599913279624</v>
      </c>
      <c r="CG165" s="46"/>
      <c r="CH165" s="66" t="s">
        <v>92</v>
      </c>
      <c r="CI165" s="67">
        <v>3</v>
      </c>
      <c r="CJ165" s="68">
        <v>2</v>
      </c>
      <c r="CK165" s="68">
        <f t="shared" si="17"/>
        <v>0.95424250943932487</v>
      </c>
      <c r="CL165" s="68"/>
      <c r="CM165" s="69"/>
      <c r="CO165" s="70">
        <f t="shared" si="57"/>
        <v>2.1111111111111112</v>
      </c>
      <c r="CQ165" s="45">
        <f t="shared" si="19"/>
        <v>0.33196291832514163</v>
      </c>
      <c r="CR165" s="45">
        <f t="shared" si="20"/>
        <v>2.1476470922214639</v>
      </c>
      <c r="CT165" s="71">
        <f t="shared" si="21"/>
        <v>1.4516257455262029</v>
      </c>
    </row>
    <row r="166" spans="1:99" ht="16">
      <c r="A166" s="36">
        <v>164</v>
      </c>
      <c r="B166" s="37"/>
      <c r="C166" s="37"/>
      <c r="D166" s="37"/>
      <c r="E166" s="38" t="s">
        <v>941</v>
      </c>
      <c r="F166" s="38" t="s">
        <v>751</v>
      </c>
      <c r="G166" s="38" t="s">
        <v>942</v>
      </c>
      <c r="H166" s="38" t="s">
        <v>184</v>
      </c>
      <c r="I166" s="72">
        <v>6</v>
      </c>
      <c r="J166" s="53" t="s">
        <v>88</v>
      </c>
      <c r="K166" s="42">
        <v>0</v>
      </c>
      <c r="L166" s="42">
        <v>2</v>
      </c>
      <c r="M166" s="42">
        <v>1</v>
      </c>
      <c r="N166" s="42">
        <f t="shared" si="0"/>
        <v>2</v>
      </c>
      <c r="O166" s="214" t="s">
        <v>943</v>
      </c>
      <c r="P166" s="53" t="s">
        <v>652</v>
      </c>
      <c r="Q166" s="43">
        <v>8.5</v>
      </c>
      <c r="R166" s="44">
        <f t="shared" si="53"/>
        <v>3</v>
      </c>
      <c r="S166" s="45">
        <v>1</v>
      </c>
      <c r="T166" s="45">
        <f t="shared" si="2"/>
        <v>3</v>
      </c>
      <c r="V166" s="46"/>
      <c r="W166" s="58" t="s">
        <v>944</v>
      </c>
      <c r="X166" s="73">
        <v>2.1</v>
      </c>
      <c r="Y166" s="44">
        <f t="shared" si="3"/>
        <v>3</v>
      </c>
      <c r="Z166" s="45">
        <v>1</v>
      </c>
      <c r="AA166" s="45">
        <f t="shared" si="4"/>
        <v>3</v>
      </c>
      <c r="AB166" s="45">
        <v>1</v>
      </c>
      <c r="AD166" s="49" t="s">
        <v>163</v>
      </c>
      <c r="AE166" s="50" t="s">
        <v>146</v>
      </c>
      <c r="AF166" s="50">
        <v>2</v>
      </c>
      <c r="AG166" s="50">
        <v>3</v>
      </c>
      <c r="AH166" s="50">
        <v>2</v>
      </c>
      <c r="AI166" s="50">
        <f t="shared" si="5"/>
        <v>6</v>
      </c>
      <c r="AJ166" s="50" t="s">
        <v>645</v>
      </c>
      <c r="AK166" s="51" t="s">
        <v>186</v>
      </c>
      <c r="AL166" s="61">
        <v>700</v>
      </c>
      <c r="AM166" s="53" t="s">
        <v>88</v>
      </c>
      <c r="AN166" s="42">
        <v>0</v>
      </c>
      <c r="AO166" s="54">
        <f t="shared" si="54"/>
        <v>1</v>
      </c>
      <c r="AP166" s="53">
        <v>2</v>
      </c>
      <c r="AQ166" s="53">
        <f t="shared" si="7"/>
        <v>2</v>
      </c>
      <c r="AR166" s="53"/>
      <c r="AS166" s="55"/>
      <c r="AT166" s="42">
        <v>33.76</v>
      </c>
      <c r="AU166" s="42" t="s">
        <v>115</v>
      </c>
      <c r="AV166" s="44">
        <v>1</v>
      </c>
      <c r="AW166" s="44">
        <f t="shared" si="8"/>
        <v>1</v>
      </c>
      <c r="AX166" s="42">
        <v>1</v>
      </c>
      <c r="AY166" s="42">
        <f t="shared" si="9"/>
        <v>1</v>
      </c>
      <c r="AZ166" s="42" t="s">
        <v>945</v>
      </c>
      <c r="BA166" s="53" t="s">
        <v>750</v>
      </c>
      <c r="BB166" s="57" t="s">
        <v>602</v>
      </c>
      <c r="BC166" s="58" t="s">
        <v>603</v>
      </c>
      <c r="BD166" s="58" t="s">
        <v>604</v>
      </c>
      <c r="BE166" s="59">
        <v>2</v>
      </c>
      <c r="BF166" s="58">
        <v>2</v>
      </c>
      <c r="BG166" s="58">
        <f t="shared" si="10"/>
        <v>0.6020599913279624</v>
      </c>
      <c r="BH166" s="58" t="s">
        <v>605</v>
      </c>
      <c r="BI166" s="58" t="s">
        <v>946</v>
      </c>
      <c r="BJ166" s="60" t="s">
        <v>90</v>
      </c>
      <c r="BK166" s="61">
        <v>1</v>
      </c>
      <c r="BL166" s="62">
        <v>1</v>
      </c>
      <c r="BM166" s="62">
        <f t="shared" si="11"/>
        <v>0</v>
      </c>
      <c r="BN166" s="58" t="s">
        <v>607</v>
      </c>
      <c r="BO166" s="59"/>
      <c r="BP166" s="59">
        <v>16.5</v>
      </c>
      <c r="BQ166" s="63">
        <f t="shared" si="52"/>
        <v>2</v>
      </c>
      <c r="BR166" s="45">
        <v>1</v>
      </c>
      <c r="BS166" s="45">
        <f t="shared" si="13"/>
        <v>0.3010299956639812</v>
      </c>
      <c r="BU166" s="46"/>
      <c r="BV166" s="64">
        <v>2.25</v>
      </c>
      <c r="BW166" s="54">
        <f t="shared" si="55"/>
        <v>1</v>
      </c>
      <c r="BX166" s="45">
        <v>1</v>
      </c>
      <c r="BY166" s="45">
        <f t="shared" si="56"/>
        <v>0</v>
      </c>
      <c r="BZ166" s="61" t="s">
        <v>504</v>
      </c>
      <c r="CA166" s="46"/>
      <c r="CB166" s="65">
        <v>4829</v>
      </c>
      <c r="CC166" s="45">
        <v>2</v>
      </c>
      <c r="CD166" s="45">
        <v>2</v>
      </c>
      <c r="CE166" s="45">
        <f t="shared" si="16"/>
        <v>0.6020599913279624</v>
      </c>
      <c r="CG166" s="46"/>
      <c r="CH166" s="66" t="s">
        <v>92</v>
      </c>
      <c r="CI166" s="67">
        <v>3</v>
      </c>
      <c r="CJ166" s="68">
        <v>2</v>
      </c>
      <c r="CK166" s="68">
        <f t="shared" si="17"/>
        <v>0.95424250943932487</v>
      </c>
      <c r="CL166" s="68"/>
      <c r="CM166" s="69" t="s">
        <v>144</v>
      </c>
      <c r="CO166" s="70">
        <f t="shared" si="57"/>
        <v>1.6666666666666667</v>
      </c>
      <c r="CQ166" s="45">
        <f t="shared" si="19"/>
        <v>0.27326583197324783</v>
      </c>
      <c r="CR166" s="45">
        <f t="shared" si="20"/>
        <v>1.8761425449123872</v>
      </c>
      <c r="CT166" s="71">
        <f t="shared" si="21"/>
        <v>1.5954320846665118</v>
      </c>
    </row>
    <row r="167" spans="1:99" ht="16">
      <c r="A167" s="36">
        <v>165</v>
      </c>
      <c r="B167" s="37"/>
      <c r="C167" s="37"/>
      <c r="D167" s="37"/>
      <c r="E167" s="38" t="s">
        <v>947</v>
      </c>
      <c r="F167" s="38" t="s">
        <v>237</v>
      </c>
      <c r="G167" s="38" t="s">
        <v>948</v>
      </c>
      <c r="H167" s="38" t="s">
        <v>177</v>
      </c>
      <c r="I167" s="72">
        <v>6.93</v>
      </c>
      <c r="J167" s="53" t="s">
        <v>88</v>
      </c>
      <c r="K167" s="42">
        <v>0</v>
      </c>
      <c r="L167" s="42">
        <v>2</v>
      </c>
      <c r="M167" s="42">
        <v>1</v>
      </c>
      <c r="N167" s="42">
        <f t="shared" si="0"/>
        <v>2</v>
      </c>
      <c r="O167" s="53"/>
      <c r="P167" s="53"/>
      <c r="Q167" s="43">
        <v>27</v>
      </c>
      <c r="R167" s="44">
        <f t="shared" si="53"/>
        <v>3</v>
      </c>
      <c r="S167" s="45">
        <v>1</v>
      </c>
      <c r="T167" s="45">
        <f t="shared" si="2"/>
        <v>3</v>
      </c>
      <c r="V167" s="46"/>
      <c r="W167" s="58" t="s">
        <v>875</v>
      </c>
      <c r="X167" s="73">
        <v>2.8</v>
      </c>
      <c r="Y167" s="44">
        <f t="shared" si="3"/>
        <v>2</v>
      </c>
      <c r="Z167" s="45">
        <v>1</v>
      </c>
      <c r="AA167" s="45">
        <f t="shared" si="4"/>
        <v>2</v>
      </c>
      <c r="AB167" s="45">
        <v>1</v>
      </c>
      <c r="AD167" s="49" t="s">
        <v>949</v>
      </c>
      <c r="AE167" s="50" t="s">
        <v>88</v>
      </c>
      <c r="AF167" s="50">
        <v>0</v>
      </c>
      <c r="AG167" s="50">
        <v>3</v>
      </c>
      <c r="AH167" s="50">
        <v>2</v>
      </c>
      <c r="AI167" s="50">
        <f t="shared" si="5"/>
        <v>6</v>
      </c>
      <c r="AJ167" s="50">
        <v>1</v>
      </c>
      <c r="AK167" s="51" t="s">
        <v>135</v>
      </c>
      <c r="AL167" s="61">
        <v>28741</v>
      </c>
      <c r="AM167" s="53" t="s">
        <v>88</v>
      </c>
      <c r="AN167" s="42">
        <v>0</v>
      </c>
      <c r="AO167" s="54">
        <f t="shared" si="54"/>
        <v>3</v>
      </c>
      <c r="AP167" s="53">
        <v>2</v>
      </c>
      <c r="AQ167" s="53">
        <f t="shared" si="7"/>
        <v>6</v>
      </c>
      <c r="AR167" s="53"/>
      <c r="AS167" s="55"/>
      <c r="AT167" s="42">
        <v>47.4</v>
      </c>
      <c r="AU167" s="42" t="s">
        <v>88</v>
      </c>
      <c r="AV167" s="56">
        <v>0</v>
      </c>
      <c r="AW167" s="44">
        <f t="shared" si="8"/>
        <v>1</v>
      </c>
      <c r="AX167" s="42">
        <v>1</v>
      </c>
      <c r="AY167" s="42">
        <f t="shared" si="9"/>
        <v>1</v>
      </c>
      <c r="AZ167" s="42"/>
      <c r="BA167" s="42"/>
      <c r="BB167" s="57" t="s">
        <v>602</v>
      </c>
      <c r="BC167" s="58" t="s">
        <v>603</v>
      </c>
      <c r="BD167" s="58" t="s">
        <v>609</v>
      </c>
      <c r="BE167" s="59">
        <v>1</v>
      </c>
      <c r="BF167" s="58">
        <v>2</v>
      </c>
      <c r="BG167" s="58">
        <f t="shared" si="10"/>
        <v>0</v>
      </c>
      <c r="BH167" s="58" t="s">
        <v>605</v>
      </c>
      <c r="BI167" s="58" t="s">
        <v>610</v>
      </c>
      <c r="BJ167" s="81" t="s">
        <v>90</v>
      </c>
      <c r="BK167" s="61">
        <v>1</v>
      </c>
      <c r="BL167" s="62">
        <v>1</v>
      </c>
      <c r="BM167" s="62">
        <f t="shared" si="11"/>
        <v>0</v>
      </c>
      <c r="BN167" s="58" t="s">
        <v>607</v>
      </c>
      <c r="BO167" s="59"/>
      <c r="BP167" s="59">
        <v>45</v>
      </c>
      <c r="BQ167" s="63">
        <f t="shared" si="52"/>
        <v>1</v>
      </c>
      <c r="BR167" s="45">
        <v>1</v>
      </c>
      <c r="BS167" s="45">
        <f t="shared" si="13"/>
        <v>0</v>
      </c>
      <c r="BU167" s="46"/>
      <c r="BV167" s="64">
        <v>2.125</v>
      </c>
      <c r="BW167" s="54">
        <f t="shared" si="55"/>
        <v>1</v>
      </c>
      <c r="BX167" s="45">
        <v>1</v>
      </c>
      <c r="BY167" s="45">
        <f t="shared" si="56"/>
        <v>0</v>
      </c>
      <c r="BZ167" s="61" t="s">
        <v>99</v>
      </c>
      <c r="CA167" s="46"/>
      <c r="CB167" s="65">
        <v>4795</v>
      </c>
      <c r="CC167" s="45">
        <v>2</v>
      </c>
      <c r="CD167" s="45">
        <v>2</v>
      </c>
      <c r="CE167" s="45">
        <f t="shared" si="16"/>
        <v>0.6020599913279624</v>
      </c>
      <c r="CG167" s="46"/>
      <c r="CH167" s="66" t="s">
        <v>250</v>
      </c>
      <c r="CI167" s="67">
        <v>3</v>
      </c>
      <c r="CJ167" s="68">
        <v>2</v>
      </c>
      <c r="CK167" s="68">
        <f t="shared" si="17"/>
        <v>0.95424250943932487</v>
      </c>
      <c r="CL167" s="68"/>
      <c r="CM167" s="69"/>
      <c r="CO167" s="70">
        <f t="shared" si="57"/>
        <v>2</v>
      </c>
      <c r="CQ167" s="45">
        <f t="shared" si="19"/>
        <v>0.17292250008525414</v>
      </c>
      <c r="CR167" s="45">
        <f t="shared" si="20"/>
        <v>1.4890953247181091</v>
      </c>
      <c r="CT167" s="71">
        <f t="shared" si="21"/>
        <v>1.11319999850032</v>
      </c>
    </row>
    <row r="168" spans="1:99" ht="16">
      <c r="A168" s="36">
        <v>166</v>
      </c>
      <c r="B168" s="37"/>
      <c r="C168" s="37"/>
      <c r="D168" s="37"/>
      <c r="E168" s="38" t="s">
        <v>950</v>
      </c>
      <c r="F168" s="38" t="s">
        <v>951</v>
      </c>
      <c r="G168" s="38" t="s">
        <v>952</v>
      </c>
      <c r="H168" s="38" t="s">
        <v>184</v>
      </c>
      <c r="I168" s="72">
        <v>6.5</v>
      </c>
      <c r="J168" s="53" t="s">
        <v>88</v>
      </c>
      <c r="K168" s="42">
        <v>0</v>
      </c>
      <c r="L168" s="42">
        <v>2</v>
      </c>
      <c r="M168" s="42">
        <v>1</v>
      </c>
      <c r="N168" s="42">
        <f t="shared" si="0"/>
        <v>2</v>
      </c>
      <c r="O168" s="53"/>
      <c r="P168" s="53"/>
      <c r="Q168" s="43">
        <v>5</v>
      </c>
      <c r="R168" s="44">
        <f t="shared" si="53"/>
        <v>3</v>
      </c>
      <c r="S168" s="45">
        <v>1</v>
      </c>
      <c r="T168" s="45">
        <f t="shared" si="2"/>
        <v>3</v>
      </c>
      <c r="V168" s="46"/>
      <c r="W168" s="58" t="s">
        <v>287</v>
      </c>
      <c r="X168" s="73">
        <v>3.5</v>
      </c>
      <c r="Y168" s="44">
        <f t="shared" si="3"/>
        <v>2</v>
      </c>
      <c r="Z168" s="45">
        <v>1</v>
      </c>
      <c r="AA168" s="45">
        <f t="shared" si="4"/>
        <v>2</v>
      </c>
      <c r="AB168" s="45">
        <v>1</v>
      </c>
      <c r="AD168" s="49" t="s">
        <v>724</v>
      </c>
      <c r="AE168" s="50" t="s">
        <v>88</v>
      </c>
      <c r="AF168" s="50">
        <v>0</v>
      </c>
      <c r="AG168" s="50">
        <v>3</v>
      </c>
      <c r="AH168" s="50">
        <v>2</v>
      </c>
      <c r="AI168" s="50">
        <f t="shared" si="5"/>
        <v>6</v>
      </c>
      <c r="AJ168" s="50">
        <v>1</v>
      </c>
      <c r="AK168" s="51" t="s">
        <v>114</v>
      </c>
      <c r="AL168" s="61">
        <v>23725</v>
      </c>
      <c r="AM168" s="53" t="s">
        <v>88</v>
      </c>
      <c r="AN168" s="42">
        <v>0</v>
      </c>
      <c r="AO168" s="54">
        <f t="shared" si="54"/>
        <v>3</v>
      </c>
      <c r="AP168" s="53">
        <v>2</v>
      </c>
      <c r="AQ168" s="53">
        <f t="shared" si="7"/>
        <v>6</v>
      </c>
      <c r="AR168" s="53"/>
      <c r="AS168" s="55"/>
      <c r="AT168" s="42">
        <v>30</v>
      </c>
      <c r="AU168" s="42" t="s">
        <v>88</v>
      </c>
      <c r="AV168" s="56">
        <v>0</v>
      </c>
      <c r="AW168" s="44">
        <f t="shared" si="8"/>
        <v>1</v>
      </c>
      <c r="AX168" s="42">
        <v>1</v>
      </c>
      <c r="AY168" s="42">
        <f t="shared" si="9"/>
        <v>1</v>
      </c>
      <c r="AZ168" s="42"/>
      <c r="BA168" s="42"/>
      <c r="BB168" s="57" t="s">
        <v>622</v>
      </c>
      <c r="BC168" s="58" t="s">
        <v>622</v>
      </c>
      <c r="BD168" s="58" t="s">
        <v>623</v>
      </c>
      <c r="BE168" s="59">
        <v>3</v>
      </c>
      <c r="BF168" s="58">
        <v>2</v>
      </c>
      <c r="BG168" s="58">
        <f t="shared" si="10"/>
        <v>0.95424250943932487</v>
      </c>
      <c r="BH168" s="58" t="s">
        <v>605</v>
      </c>
      <c r="BI168" s="58" t="s">
        <v>624</v>
      </c>
      <c r="BJ168" s="60" t="s">
        <v>90</v>
      </c>
      <c r="BK168" s="61">
        <v>1</v>
      </c>
      <c r="BL168" s="62">
        <v>1</v>
      </c>
      <c r="BM168" s="62">
        <f t="shared" si="11"/>
        <v>0</v>
      </c>
      <c r="BN168" s="58" t="s">
        <v>607</v>
      </c>
      <c r="BO168" s="59"/>
      <c r="BP168" s="59">
        <v>20.5</v>
      </c>
      <c r="BQ168" s="63">
        <f t="shared" si="52"/>
        <v>2</v>
      </c>
      <c r="BR168" s="45">
        <v>1</v>
      </c>
      <c r="BS168" s="45">
        <f t="shared" si="13"/>
        <v>0.3010299956639812</v>
      </c>
      <c r="BU168" s="46"/>
      <c r="BV168" s="64">
        <v>1.5</v>
      </c>
      <c r="BW168" s="54">
        <f t="shared" si="55"/>
        <v>1</v>
      </c>
      <c r="BX168" s="45">
        <v>1</v>
      </c>
      <c r="BY168" s="45">
        <f t="shared" si="56"/>
        <v>0</v>
      </c>
      <c r="BZ168" s="61" t="s">
        <v>504</v>
      </c>
      <c r="CA168" s="46"/>
      <c r="CB168" s="65">
        <v>4760</v>
      </c>
      <c r="CC168" s="45">
        <v>2</v>
      </c>
      <c r="CD168" s="45">
        <v>2</v>
      </c>
      <c r="CE168" s="45">
        <f t="shared" si="16"/>
        <v>0.6020599913279624</v>
      </c>
      <c r="CG168" s="46"/>
      <c r="CH168" s="66" t="s">
        <v>92</v>
      </c>
      <c r="CI168" s="67">
        <v>3</v>
      </c>
      <c r="CJ168" s="68">
        <v>2</v>
      </c>
      <c r="CK168" s="68">
        <f t="shared" si="17"/>
        <v>0.95424250943932487</v>
      </c>
      <c r="CL168" s="68"/>
      <c r="CM168" s="69"/>
      <c r="CO168" s="70">
        <f t="shared" si="57"/>
        <v>2</v>
      </c>
      <c r="CQ168" s="45">
        <f t="shared" si="19"/>
        <v>0.31239722287451038</v>
      </c>
      <c r="CR168" s="45">
        <f t="shared" si="20"/>
        <v>2.0530391109397983</v>
      </c>
      <c r="CT168" s="71">
        <f t="shared" si="21"/>
        <v>1.4522022480250061</v>
      </c>
    </row>
    <row r="169" spans="1:99" ht="16">
      <c r="A169" s="36">
        <v>167</v>
      </c>
      <c r="B169" s="37"/>
      <c r="C169" s="37"/>
      <c r="D169" s="37"/>
      <c r="E169" s="38" t="s">
        <v>953</v>
      </c>
      <c r="F169" s="38" t="s">
        <v>954</v>
      </c>
      <c r="G169" s="38" t="s">
        <v>955</v>
      </c>
      <c r="H169" s="38" t="s">
        <v>160</v>
      </c>
      <c r="I169" s="72">
        <v>8.5</v>
      </c>
      <c r="J169" s="53" t="s">
        <v>88</v>
      </c>
      <c r="K169" s="42">
        <v>0</v>
      </c>
      <c r="L169" s="42">
        <v>2</v>
      </c>
      <c r="M169" s="42">
        <v>1</v>
      </c>
      <c r="N169" s="42">
        <f t="shared" si="0"/>
        <v>2</v>
      </c>
      <c r="O169" s="53"/>
      <c r="P169" s="53"/>
      <c r="Q169" s="43">
        <v>25</v>
      </c>
      <c r="R169" s="44">
        <f t="shared" si="53"/>
        <v>3</v>
      </c>
      <c r="S169" s="45">
        <v>1</v>
      </c>
      <c r="T169" s="45">
        <f t="shared" si="2"/>
        <v>3</v>
      </c>
      <c r="V169" s="46"/>
      <c r="W169" s="58" t="s">
        <v>450</v>
      </c>
      <c r="X169" s="73">
        <v>2.7</v>
      </c>
      <c r="Y169" s="44">
        <f t="shared" si="3"/>
        <v>2</v>
      </c>
      <c r="Z169" s="45">
        <v>1</v>
      </c>
      <c r="AA169" s="45">
        <f t="shared" si="4"/>
        <v>2</v>
      </c>
      <c r="AB169" s="45">
        <v>1</v>
      </c>
      <c r="AD169" s="49" t="s">
        <v>163</v>
      </c>
      <c r="AE169" s="50" t="s">
        <v>146</v>
      </c>
      <c r="AF169" s="50">
        <v>2</v>
      </c>
      <c r="AG169" s="50">
        <v>3</v>
      </c>
      <c r="AH169" s="50">
        <v>2</v>
      </c>
      <c r="AI169" s="50">
        <f t="shared" si="5"/>
        <v>6</v>
      </c>
      <c r="AJ169" s="50">
        <v>1</v>
      </c>
      <c r="AK169" s="51" t="s">
        <v>165</v>
      </c>
      <c r="AL169" s="61">
        <v>66943</v>
      </c>
      <c r="AM169" s="53" t="s">
        <v>146</v>
      </c>
      <c r="AN169" s="42">
        <v>2</v>
      </c>
      <c r="AO169" s="54">
        <f t="shared" si="54"/>
        <v>3</v>
      </c>
      <c r="AP169" s="53">
        <v>2</v>
      </c>
      <c r="AQ169" s="53">
        <f t="shared" si="7"/>
        <v>6</v>
      </c>
      <c r="AR169" s="53"/>
      <c r="AS169" s="55"/>
      <c r="AT169" s="42">
        <v>24.5</v>
      </c>
      <c r="AU169" s="42" t="s">
        <v>88</v>
      </c>
      <c r="AV169" s="56">
        <v>0</v>
      </c>
      <c r="AW169" s="44">
        <f t="shared" si="8"/>
        <v>2</v>
      </c>
      <c r="AX169" s="42">
        <v>1</v>
      </c>
      <c r="AY169" s="42">
        <f t="shared" si="9"/>
        <v>2</v>
      </c>
      <c r="AZ169" s="42"/>
      <c r="BA169" s="42"/>
      <c r="BB169" s="57" t="s">
        <v>602</v>
      </c>
      <c r="BC169" s="58" t="s">
        <v>603</v>
      </c>
      <c r="BD169" s="58" t="s">
        <v>609</v>
      </c>
      <c r="BE169" s="59">
        <v>1</v>
      </c>
      <c r="BF169" s="58">
        <v>2</v>
      </c>
      <c r="BG169" s="58">
        <f t="shared" si="10"/>
        <v>0</v>
      </c>
      <c r="BH169" s="58" t="s">
        <v>605</v>
      </c>
      <c r="BI169" s="58" t="s">
        <v>610</v>
      </c>
      <c r="BJ169" s="81" t="s">
        <v>166</v>
      </c>
      <c r="BK169" s="61">
        <v>3</v>
      </c>
      <c r="BL169" s="62">
        <v>1</v>
      </c>
      <c r="BM169" s="62">
        <f t="shared" si="11"/>
        <v>0.47712125471966244</v>
      </c>
      <c r="BN169" s="58" t="s">
        <v>607</v>
      </c>
      <c r="BO169" s="59"/>
      <c r="BP169" s="59">
        <v>32.5</v>
      </c>
      <c r="BQ169" s="63">
        <f t="shared" si="52"/>
        <v>1</v>
      </c>
      <c r="BR169" s="45">
        <v>1</v>
      </c>
      <c r="BS169" s="45">
        <f t="shared" si="13"/>
        <v>0</v>
      </c>
      <c r="BU169" s="46"/>
      <c r="BV169" s="64">
        <v>2.8333333330000001</v>
      </c>
      <c r="BW169" s="54">
        <f t="shared" si="55"/>
        <v>2</v>
      </c>
      <c r="BX169" s="45">
        <v>1</v>
      </c>
      <c r="BY169" s="45">
        <f t="shared" si="56"/>
        <v>0.3010299956639812</v>
      </c>
      <c r="BZ169" s="61" t="s">
        <v>91</v>
      </c>
      <c r="CA169" s="46"/>
      <c r="CB169" s="65">
        <v>4711</v>
      </c>
      <c r="CC169" s="45">
        <v>2</v>
      </c>
      <c r="CD169" s="45">
        <v>2</v>
      </c>
      <c r="CE169" s="45">
        <f t="shared" si="16"/>
        <v>0.6020599913279624</v>
      </c>
      <c r="CG169" s="46"/>
      <c r="CH169" s="66" t="s">
        <v>92</v>
      </c>
      <c r="CI169" s="67">
        <v>3</v>
      </c>
      <c r="CJ169" s="68">
        <v>2</v>
      </c>
      <c r="CK169" s="68">
        <f t="shared" si="17"/>
        <v>0.95424250943932487</v>
      </c>
      <c r="CL169" s="78"/>
      <c r="CM169" s="79" t="s">
        <v>144</v>
      </c>
      <c r="CO169" s="70">
        <f t="shared" si="57"/>
        <v>2.1111111111111112</v>
      </c>
      <c r="CQ169" s="45">
        <f t="shared" si="19"/>
        <v>0.25938375012788117</v>
      </c>
      <c r="CR169" s="45">
        <f t="shared" si="20"/>
        <v>1.8171205928321397</v>
      </c>
      <c r="CT169" s="71">
        <f t="shared" si="21"/>
        <v>1.2073978300545645</v>
      </c>
    </row>
    <row r="170" spans="1:99" ht="16">
      <c r="A170" s="36">
        <v>168</v>
      </c>
      <c r="B170" s="37"/>
      <c r="C170" s="37"/>
      <c r="D170" s="37"/>
      <c r="E170" s="38" t="s">
        <v>956</v>
      </c>
      <c r="F170" s="38" t="s">
        <v>957</v>
      </c>
      <c r="G170" s="38" t="s">
        <v>958</v>
      </c>
      <c r="H170" s="38" t="s">
        <v>152</v>
      </c>
      <c r="I170" s="72">
        <v>10</v>
      </c>
      <c r="J170" s="53" t="s">
        <v>88</v>
      </c>
      <c r="K170" s="42">
        <v>0</v>
      </c>
      <c r="L170" s="42">
        <v>2</v>
      </c>
      <c r="M170" s="42">
        <v>1</v>
      </c>
      <c r="N170" s="42">
        <f t="shared" si="0"/>
        <v>2</v>
      </c>
      <c r="O170" s="53"/>
      <c r="P170" s="53"/>
      <c r="Q170" s="43">
        <v>30</v>
      </c>
      <c r="R170" s="44">
        <f t="shared" si="53"/>
        <v>2</v>
      </c>
      <c r="S170" s="45">
        <v>1</v>
      </c>
      <c r="T170" s="45">
        <f t="shared" si="2"/>
        <v>2</v>
      </c>
      <c r="V170" s="46"/>
      <c r="W170" s="58" t="s">
        <v>788</v>
      </c>
      <c r="X170" s="73">
        <v>3.7</v>
      </c>
      <c r="Y170" s="44">
        <f t="shared" si="3"/>
        <v>1</v>
      </c>
      <c r="Z170" s="45">
        <v>1</v>
      </c>
      <c r="AA170" s="45">
        <f t="shared" si="4"/>
        <v>1</v>
      </c>
      <c r="AB170" s="45">
        <v>1</v>
      </c>
      <c r="AD170" s="49" t="s">
        <v>155</v>
      </c>
      <c r="AE170" s="50" t="s">
        <v>88</v>
      </c>
      <c r="AF170" s="50">
        <v>0</v>
      </c>
      <c r="AG170" s="50">
        <v>2</v>
      </c>
      <c r="AH170" s="50">
        <v>2</v>
      </c>
      <c r="AI170" s="50">
        <f t="shared" si="5"/>
        <v>4</v>
      </c>
      <c r="AJ170" s="50">
        <v>1</v>
      </c>
      <c r="AK170" s="51" t="s">
        <v>156</v>
      </c>
      <c r="AL170" s="61">
        <v>539520</v>
      </c>
      <c r="AM170" s="53" t="s">
        <v>146</v>
      </c>
      <c r="AN170" s="42">
        <v>2</v>
      </c>
      <c r="AO170" s="54">
        <f t="shared" si="54"/>
        <v>3</v>
      </c>
      <c r="AP170" s="53">
        <v>2</v>
      </c>
      <c r="AQ170" s="53">
        <f t="shared" si="7"/>
        <v>6</v>
      </c>
      <c r="AR170" s="53"/>
      <c r="AS170" s="55"/>
      <c r="AT170" s="42">
        <v>56.6</v>
      </c>
      <c r="AU170" s="42" t="s">
        <v>88</v>
      </c>
      <c r="AV170" s="56">
        <v>0</v>
      </c>
      <c r="AW170" s="44">
        <f t="shared" si="8"/>
        <v>1</v>
      </c>
      <c r="AX170" s="42">
        <v>1</v>
      </c>
      <c r="AY170" s="42">
        <f t="shared" si="9"/>
        <v>1</v>
      </c>
      <c r="AZ170" s="42"/>
      <c r="BA170" s="42"/>
      <c r="BB170" s="57" t="s">
        <v>602</v>
      </c>
      <c r="BC170" s="58" t="s">
        <v>603</v>
      </c>
      <c r="BD170" s="58" t="s">
        <v>604</v>
      </c>
      <c r="BE170" s="59">
        <v>2</v>
      </c>
      <c r="BF170" s="58">
        <v>2</v>
      </c>
      <c r="BG170" s="58">
        <f t="shared" si="10"/>
        <v>0.6020599913279624</v>
      </c>
      <c r="BH170" s="58" t="s">
        <v>605</v>
      </c>
      <c r="BI170" s="58" t="s">
        <v>946</v>
      </c>
      <c r="BJ170" s="60" t="s">
        <v>90</v>
      </c>
      <c r="BK170" s="61">
        <v>1</v>
      </c>
      <c r="BL170" s="62">
        <v>1</v>
      </c>
      <c r="BM170" s="62">
        <f t="shared" si="11"/>
        <v>0</v>
      </c>
      <c r="BN170" s="58" t="s">
        <v>607</v>
      </c>
      <c r="BO170" s="59"/>
      <c r="BP170" s="59">
        <v>12</v>
      </c>
      <c r="BQ170" s="63">
        <f t="shared" si="52"/>
        <v>2</v>
      </c>
      <c r="BR170" s="45">
        <v>1</v>
      </c>
      <c r="BS170" s="45">
        <f t="shared" si="13"/>
        <v>0.3010299956639812</v>
      </c>
      <c r="BU170" s="46"/>
      <c r="BV170" s="64">
        <v>1.6666666670000001</v>
      </c>
      <c r="BW170" s="54">
        <f t="shared" si="55"/>
        <v>1</v>
      </c>
      <c r="BX170" s="45">
        <v>1</v>
      </c>
      <c r="BY170" s="45">
        <f t="shared" si="56"/>
        <v>0</v>
      </c>
      <c r="BZ170" s="61" t="s">
        <v>91</v>
      </c>
      <c r="CA170" s="46"/>
      <c r="CB170" s="65">
        <v>4610</v>
      </c>
      <c r="CC170" s="45">
        <v>2</v>
      </c>
      <c r="CD170" s="45">
        <v>2</v>
      </c>
      <c r="CE170" s="45">
        <f t="shared" si="16"/>
        <v>0.6020599913279624</v>
      </c>
      <c r="CG170" s="46"/>
      <c r="CH170" s="66" t="s">
        <v>92</v>
      </c>
      <c r="CI170" s="67">
        <v>3</v>
      </c>
      <c r="CJ170" s="68">
        <v>2</v>
      </c>
      <c r="CK170" s="68">
        <f t="shared" si="17"/>
        <v>0.95424250943932487</v>
      </c>
      <c r="CL170" s="78"/>
      <c r="CM170" s="79" t="s">
        <v>144</v>
      </c>
      <c r="CO170" s="70">
        <f t="shared" si="57"/>
        <v>1.5555555555555556</v>
      </c>
      <c r="CQ170" s="45">
        <f t="shared" si="19"/>
        <v>0.27326583197324783</v>
      </c>
      <c r="CR170" s="45">
        <f t="shared" si="20"/>
        <v>1.8761425449123872</v>
      </c>
      <c r="CT170" s="71">
        <f t="shared" si="21"/>
        <v>1.6893920539921969</v>
      </c>
    </row>
    <row r="171" spans="1:99" ht="16">
      <c r="A171" s="36">
        <v>169</v>
      </c>
      <c r="B171" s="37"/>
      <c r="C171" s="37"/>
      <c r="D171" s="37"/>
      <c r="E171" s="38" t="s">
        <v>959</v>
      </c>
      <c r="F171" s="38" t="s">
        <v>929</v>
      </c>
      <c r="G171" s="38" t="s">
        <v>530</v>
      </c>
      <c r="H171" s="38" t="s">
        <v>83</v>
      </c>
      <c r="I171" s="72">
        <v>6.3</v>
      </c>
      <c r="J171" s="53" t="s">
        <v>146</v>
      </c>
      <c r="K171" s="42">
        <v>2</v>
      </c>
      <c r="L171" s="42">
        <v>2</v>
      </c>
      <c r="M171" s="42">
        <v>1</v>
      </c>
      <c r="N171" s="42">
        <f t="shared" si="0"/>
        <v>2</v>
      </c>
      <c r="O171" s="42" t="s">
        <v>799</v>
      </c>
      <c r="P171" s="53"/>
      <c r="Q171" s="43">
        <v>16.5</v>
      </c>
      <c r="R171" s="44">
        <f t="shared" si="53"/>
        <v>3</v>
      </c>
      <c r="S171" s="45">
        <v>1</v>
      </c>
      <c r="T171" s="45">
        <f t="shared" si="2"/>
        <v>3</v>
      </c>
      <c r="V171" s="46"/>
      <c r="W171" s="58" t="s">
        <v>531</v>
      </c>
      <c r="X171" s="73">
        <v>2.2000000000000002</v>
      </c>
      <c r="Y171" s="44">
        <f t="shared" si="3"/>
        <v>3</v>
      </c>
      <c r="Z171" s="45">
        <v>1</v>
      </c>
      <c r="AA171" s="45">
        <f t="shared" si="4"/>
        <v>3</v>
      </c>
      <c r="AB171" s="45">
        <v>1</v>
      </c>
      <c r="AD171" s="49" t="s">
        <v>532</v>
      </c>
      <c r="AE171" s="50" t="s">
        <v>88</v>
      </c>
      <c r="AF171" s="50">
        <v>0</v>
      </c>
      <c r="AG171" s="50">
        <v>3</v>
      </c>
      <c r="AH171" s="50">
        <v>2</v>
      </c>
      <c r="AI171" s="50">
        <f t="shared" si="5"/>
        <v>6</v>
      </c>
      <c r="AJ171" s="50">
        <v>1</v>
      </c>
      <c r="AK171" s="51" t="s">
        <v>89</v>
      </c>
      <c r="AL171" s="52">
        <v>57661</v>
      </c>
      <c r="AM171" s="53" t="s">
        <v>146</v>
      </c>
      <c r="AN171" s="42">
        <v>2</v>
      </c>
      <c r="AO171" s="54">
        <f t="shared" si="54"/>
        <v>3</v>
      </c>
      <c r="AP171" s="53">
        <v>2</v>
      </c>
      <c r="AQ171" s="53">
        <f t="shared" si="7"/>
        <v>6</v>
      </c>
      <c r="AR171" s="53"/>
      <c r="AS171" s="55"/>
      <c r="AT171" s="42">
        <v>30</v>
      </c>
      <c r="AU171" s="42" t="s">
        <v>88</v>
      </c>
      <c r="AV171" s="56">
        <v>0</v>
      </c>
      <c r="AW171" s="44">
        <f t="shared" si="8"/>
        <v>1</v>
      </c>
      <c r="AX171" s="42">
        <v>1</v>
      </c>
      <c r="AY171" s="42">
        <f t="shared" si="9"/>
        <v>1</v>
      </c>
      <c r="AZ171" s="42"/>
      <c r="BA171" s="42"/>
      <c r="BB171" s="57" t="s">
        <v>602</v>
      </c>
      <c r="BC171" s="58" t="s">
        <v>603</v>
      </c>
      <c r="BD171" s="58" t="s">
        <v>609</v>
      </c>
      <c r="BE171" s="59">
        <v>1</v>
      </c>
      <c r="BF171" s="58">
        <v>2</v>
      </c>
      <c r="BG171" s="58">
        <f t="shared" si="10"/>
        <v>0</v>
      </c>
      <c r="BH171" s="58" t="s">
        <v>605</v>
      </c>
      <c r="BI171" s="58" t="s">
        <v>610</v>
      </c>
      <c r="BJ171" s="60" t="s">
        <v>90</v>
      </c>
      <c r="BK171" s="61">
        <v>1</v>
      </c>
      <c r="BL171" s="62">
        <v>1</v>
      </c>
      <c r="BM171" s="62">
        <f t="shared" si="11"/>
        <v>0</v>
      </c>
      <c r="BN171" s="58" t="s">
        <v>607</v>
      </c>
      <c r="BO171" s="59"/>
      <c r="BP171" s="59">
        <v>21.5</v>
      </c>
      <c r="BQ171" s="63">
        <f t="shared" si="52"/>
        <v>2</v>
      </c>
      <c r="BR171" s="45">
        <v>1</v>
      </c>
      <c r="BS171" s="45">
        <f t="shared" si="13"/>
        <v>0.3010299956639812</v>
      </c>
      <c r="BU171" s="46"/>
      <c r="BV171" s="64">
        <v>2</v>
      </c>
      <c r="BW171" s="54">
        <f t="shared" si="55"/>
        <v>1</v>
      </c>
      <c r="BX171" s="45">
        <v>1</v>
      </c>
      <c r="BY171" s="45">
        <f t="shared" si="56"/>
        <v>0</v>
      </c>
      <c r="BZ171" s="61" t="s">
        <v>273</v>
      </c>
      <c r="CA171" s="46"/>
      <c r="CB171" s="65">
        <v>4597</v>
      </c>
      <c r="CC171" s="45">
        <v>2</v>
      </c>
      <c r="CD171" s="45">
        <v>2</v>
      </c>
      <c r="CE171" s="45">
        <f t="shared" si="16"/>
        <v>0.6020599913279624</v>
      </c>
      <c r="CG171" s="46"/>
      <c r="CH171" s="66" t="s">
        <v>106</v>
      </c>
      <c r="CI171" s="67">
        <v>3</v>
      </c>
      <c r="CJ171" s="68">
        <v>2</v>
      </c>
      <c r="CK171" s="68">
        <f t="shared" si="17"/>
        <v>0.95424250943932487</v>
      </c>
      <c r="CL171" s="78"/>
      <c r="CM171" s="79" t="s">
        <v>144</v>
      </c>
      <c r="CO171" s="70">
        <f t="shared" si="57"/>
        <v>2.1111111111111112</v>
      </c>
      <c r="CQ171" s="45">
        <f t="shared" si="19"/>
        <v>0.20637027738125205</v>
      </c>
      <c r="CR171" s="45">
        <f t="shared" si="20"/>
        <v>1.6083119076007948</v>
      </c>
      <c r="CT171" s="71">
        <f t="shared" si="21"/>
        <v>1.0771104092520141</v>
      </c>
    </row>
    <row r="172" spans="1:99" ht="16">
      <c r="A172" s="36">
        <v>170</v>
      </c>
      <c r="B172" s="37"/>
      <c r="C172" s="37"/>
      <c r="D172" s="37"/>
      <c r="E172" s="38" t="s">
        <v>960</v>
      </c>
      <c r="F172" s="101" t="s">
        <v>546</v>
      </c>
      <c r="G172" s="38" t="s">
        <v>961</v>
      </c>
      <c r="H172" s="38" t="s">
        <v>141</v>
      </c>
      <c r="I172" s="72">
        <v>1.5</v>
      </c>
      <c r="J172" s="53" t="s">
        <v>88</v>
      </c>
      <c r="K172" s="42">
        <v>0</v>
      </c>
      <c r="L172" s="42">
        <v>3</v>
      </c>
      <c r="M172" s="42">
        <v>1</v>
      </c>
      <c r="N172" s="42">
        <f t="shared" si="0"/>
        <v>3</v>
      </c>
      <c r="O172" s="214" t="s">
        <v>962</v>
      </c>
      <c r="P172" s="53" t="s">
        <v>652</v>
      </c>
      <c r="Q172" s="43">
        <v>4</v>
      </c>
      <c r="R172" s="44">
        <f t="shared" si="53"/>
        <v>3</v>
      </c>
      <c r="S172" s="45">
        <v>1</v>
      </c>
      <c r="T172" s="45">
        <f t="shared" si="2"/>
        <v>3</v>
      </c>
      <c r="V172" s="46"/>
      <c r="W172" s="58" t="s">
        <v>963</v>
      </c>
      <c r="X172" s="73">
        <v>3.2</v>
      </c>
      <c r="Y172" s="44">
        <f t="shared" si="3"/>
        <v>2</v>
      </c>
      <c r="Z172" s="45">
        <v>1</v>
      </c>
      <c r="AA172" s="45">
        <f t="shared" si="4"/>
        <v>2</v>
      </c>
      <c r="AB172" s="45">
        <v>1</v>
      </c>
      <c r="AD172" s="49" t="s">
        <v>549</v>
      </c>
      <c r="AE172" s="50" t="s">
        <v>88</v>
      </c>
      <c r="AF172" s="50">
        <v>0</v>
      </c>
      <c r="AG172" s="50">
        <v>1</v>
      </c>
      <c r="AH172" s="50">
        <v>2</v>
      </c>
      <c r="AI172" s="50">
        <f t="shared" si="5"/>
        <v>2</v>
      </c>
      <c r="AJ172" s="50">
        <v>1</v>
      </c>
      <c r="AK172" s="51" t="s">
        <v>145</v>
      </c>
      <c r="AL172" s="61">
        <v>6294</v>
      </c>
      <c r="AM172" s="53" t="s">
        <v>115</v>
      </c>
      <c r="AN172" s="42">
        <v>1</v>
      </c>
      <c r="AO172" s="54">
        <f t="shared" si="54"/>
        <v>2</v>
      </c>
      <c r="AP172" s="53">
        <v>2</v>
      </c>
      <c r="AQ172" s="53">
        <f t="shared" si="7"/>
        <v>4</v>
      </c>
      <c r="AR172" s="104"/>
      <c r="AS172" s="105" t="s">
        <v>888</v>
      </c>
      <c r="AT172" s="36">
        <v>23.67</v>
      </c>
      <c r="AU172" s="42" t="s">
        <v>115</v>
      </c>
      <c r="AV172" s="44">
        <v>1</v>
      </c>
      <c r="AW172" s="44">
        <f t="shared" si="8"/>
        <v>2</v>
      </c>
      <c r="AX172" s="42">
        <v>1</v>
      </c>
      <c r="AY172" s="42">
        <f t="shared" si="9"/>
        <v>2</v>
      </c>
      <c r="AZ172" s="42" t="s">
        <v>964</v>
      </c>
      <c r="BA172" s="53" t="s">
        <v>965</v>
      </c>
      <c r="BB172" s="57" t="s">
        <v>602</v>
      </c>
      <c r="BC172" s="58" t="s">
        <v>603</v>
      </c>
      <c r="BD172" s="58" t="s">
        <v>604</v>
      </c>
      <c r="BE172" s="59">
        <v>2</v>
      </c>
      <c r="BF172" s="58">
        <v>2</v>
      </c>
      <c r="BG172" s="58">
        <f t="shared" si="10"/>
        <v>0.6020599913279624</v>
      </c>
      <c r="BH172" s="58" t="s">
        <v>605</v>
      </c>
      <c r="BI172" s="58" t="s">
        <v>966</v>
      </c>
      <c r="BJ172" s="60" t="s">
        <v>90</v>
      </c>
      <c r="BK172" s="61">
        <v>1</v>
      </c>
      <c r="BL172" s="62">
        <v>1</v>
      </c>
      <c r="BM172" s="62">
        <f t="shared" si="11"/>
        <v>0</v>
      </c>
      <c r="BN172" s="58" t="s">
        <v>607</v>
      </c>
      <c r="BO172" s="59"/>
      <c r="BP172" s="92">
        <v>11</v>
      </c>
      <c r="BQ172" s="90">
        <f t="shared" si="52"/>
        <v>2</v>
      </c>
      <c r="BR172" s="45">
        <v>1</v>
      </c>
      <c r="BS172" s="45">
        <f t="shared" si="13"/>
        <v>0.3010299956639812</v>
      </c>
      <c r="BT172" s="93"/>
      <c r="BU172" s="94"/>
      <c r="BV172" s="64">
        <v>5</v>
      </c>
      <c r="BW172" s="54">
        <f t="shared" si="55"/>
        <v>3</v>
      </c>
      <c r="BX172" s="45">
        <v>1</v>
      </c>
      <c r="BY172" s="45">
        <f t="shared" si="56"/>
        <v>0.47712125471966244</v>
      </c>
      <c r="BZ172" s="61">
        <v>46</v>
      </c>
      <c r="CA172" s="46"/>
      <c r="CB172" s="65">
        <v>4383</v>
      </c>
      <c r="CC172" s="45">
        <v>2</v>
      </c>
      <c r="CD172" s="45">
        <v>2</v>
      </c>
      <c r="CE172" s="45">
        <f t="shared" si="16"/>
        <v>0.6020599913279624</v>
      </c>
      <c r="CG172" s="46"/>
      <c r="CH172" s="66" t="s">
        <v>92</v>
      </c>
      <c r="CI172" s="67">
        <v>3</v>
      </c>
      <c r="CJ172" s="68">
        <v>2</v>
      </c>
      <c r="CK172" s="68">
        <f t="shared" si="17"/>
        <v>0.95424250943932487</v>
      </c>
      <c r="CL172" s="68"/>
      <c r="CM172" s="69"/>
      <c r="CO172" s="70">
        <f t="shared" si="57"/>
        <v>1.4444444444444444</v>
      </c>
      <c r="CQ172" s="45">
        <f t="shared" si="19"/>
        <v>0.32627930471987704</v>
      </c>
      <c r="CR172" s="45">
        <f t="shared" si="20"/>
        <v>2.1197239399504597</v>
      </c>
      <c r="CT172" s="71">
        <f t="shared" si="21"/>
        <v>1.9166467562172049</v>
      </c>
    </row>
    <row r="173" spans="1:99" ht="16">
      <c r="A173" s="36">
        <v>171</v>
      </c>
      <c r="B173" s="37"/>
      <c r="C173" s="37"/>
      <c r="D173" s="37"/>
      <c r="E173" s="38" t="s">
        <v>967</v>
      </c>
      <c r="F173" s="38" t="s">
        <v>968</v>
      </c>
      <c r="G173" s="38" t="s">
        <v>969</v>
      </c>
      <c r="H173" s="38" t="s">
        <v>970</v>
      </c>
      <c r="I173" s="72">
        <v>3</v>
      </c>
      <c r="J173" s="53" t="s">
        <v>88</v>
      </c>
      <c r="K173" s="42">
        <v>0</v>
      </c>
      <c r="L173" s="42">
        <v>3</v>
      </c>
      <c r="M173" s="42">
        <v>1</v>
      </c>
      <c r="N173" s="42">
        <f t="shared" si="0"/>
        <v>3</v>
      </c>
      <c r="O173" s="53"/>
      <c r="P173" s="53"/>
      <c r="Q173" s="43">
        <v>20.666666670000001</v>
      </c>
      <c r="R173" s="44">
        <f t="shared" si="53"/>
        <v>3</v>
      </c>
      <c r="S173" s="45">
        <v>1</v>
      </c>
      <c r="T173" s="45">
        <f t="shared" si="2"/>
        <v>3</v>
      </c>
      <c r="V173" s="46"/>
      <c r="W173" s="58" t="s">
        <v>971</v>
      </c>
      <c r="X173" s="73">
        <v>2.5</v>
      </c>
      <c r="Y173" s="44">
        <f t="shared" si="3"/>
        <v>2</v>
      </c>
      <c r="Z173" s="45">
        <v>1</v>
      </c>
      <c r="AA173" s="45">
        <f t="shared" si="4"/>
        <v>2</v>
      </c>
      <c r="AB173" s="45">
        <v>1</v>
      </c>
      <c r="AD173" s="49" t="s">
        <v>972</v>
      </c>
      <c r="AE173" s="50" t="s">
        <v>88</v>
      </c>
      <c r="AF173" s="50">
        <v>0</v>
      </c>
      <c r="AG173" s="50">
        <v>3</v>
      </c>
      <c r="AH173" s="50">
        <v>2</v>
      </c>
      <c r="AI173" s="50">
        <f t="shared" si="5"/>
        <v>6</v>
      </c>
      <c r="AJ173" s="50" t="s">
        <v>973</v>
      </c>
      <c r="AK173" s="51" t="s">
        <v>974</v>
      </c>
      <c r="AL173" s="80">
        <v>39241.5</v>
      </c>
      <c r="AM173" s="53" t="s">
        <v>975</v>
      </c>
      <c r="AN173" s="42">
        <v>2.5</v>
      </c>
      <c r="AO173" s="54">
        <f t="shared" si="54"/>
        <v>3</v>
      </c>
      <c r="AP173" s="53">
        <v>2</v>
      </c>
      <c r="AQ173" s="53">
        <f t="shared" si="7"/>
        <v>6</v>
      </c>
      <c r="AR173" s="53"/>
      <c r="AS173" s="55" t="s">
        <v>976</v>
      </c>
      <c r="AT173" s="42">
        <v>57.9</v>
      </c>
      <c r="AU173" s="42" t="s">
        <v>88</v>
      </c>
      <c r="AV173" s="56">
        <v>0</v>
      </c>
      <c r="AW173" s="44">
        <f t="shared" si="8"/>
        <v>1</v>
      </c>
      <c r="AX173" s="42">
        <v>1</v>
      </c>
      <c r="AY173" s="42">
        <f t="shared" si="9"/>
        <v>1</v>
      </c>
      <c r="AZ173" s="42"/>
      <c r="BA173" s="42"/>
      <c r="BB173" s="57" t="s">
        <v>602</v>
      </c>
      <c r="BC173" s="58" t="s">
        <v>603</v>
      </c>
      <c r="BD173" s="58" t="s">
        <v>609</v>
      </c>
      <c r="BE173" s="59">
        <v>1</v>
      </c>
      <c r="BF173" s="58">
        <v>2</v>
      </c>
      <c r="BG173" s="58">
        <f t="shared" si="10"/>
        <v>0</v>
      </c>
      <c r="BH173" s="58" t="s">
        <v>605</v>
      </c>
      <c r="BI173" s="58" t="s">
        <v>610</v>
      </c>
      <c r="BJ173" s="60" t="s">
        <v>90</v>
      </c>
      <c r="BK173" s="61">
        <v>1</v>
      </c>
      <c r="BL173" s="62">
        <v>1</v>
      </c>
      <c r="BM173" s="62">
        <f t="shared" si="11"/>
        <v>0</v>
      </c>
      <c r="BN173" s="58" t="s">
        <v>607</v>
      </c>
      <c r="BO173" s="59"/>
      <c r="BP173" s="59">
        <v>91.5</v>
      </c>
      <c r="BQ173" s="63">
        <f t="shared" si="52"/>
        <v>1</v>
      </c>
      <c r="BR173" s="45">
        <v>1</v>
      </c>
      <c r="BS173" s="45">
        <f t="shared" si="13"/>
        <v>0</v>
      </c>
      <c r="BU173" s="46"/>
      <c r="BV173" s="64">
        <v>3</v>
      </c>
      <c r="BW173" s="54">
        <f t="shared" si="55"/>
        <v>2</v>
      </c>
      <c r="BX173" s="45">
        <v>1</v>
      </c>
      <c r="BY173" s="45">
        <f t="shared" si="56"/>
        <v>0.3010299956639812</v>
      </c>
      <c r="BZ173" s="61" t="s">
        <v>99</v>
      </c>
      <c r="CA173" s="46"/>
      <c r="CB173" s="65">
        <v>4380</v>
      </c>
      <c r="CC173" s="45">
        <v>2</v>
      </c>
      <c r="CD173" s="45">
        <v>2</v>
      </c>
      <c r="CE173" s="45">
        <f t="shared" si="16"/>
        <v>0.6020599913279624</v>
      </c>
      <c r="CG173" s="46"/>
      <c r="CH173" s="66" t="s">
        <v>137</v>
      </c>
      <c r="CI173" s="67">
        <v>2</v>
      </c>
      <c r="CJ173" s="68">
        <v>2</v>
      </c>
      <c r="CK173" s="68">
        <f t="shared" si="17"/>
        <v>0.6020599913279624</v>
      </c>
      <c r="CL173" s="78"/>
      <c r="CM173" s="79" t="s">
        <v>144</v>
      </c>
      <c r="CO173" s="70">
        <f t="shared" si="57"/>
        <v>2</v>
      </c>
      <c r="CQ173" s="45">
        <f t="shared" si="19"/>
        <v>0.16723888647998952</v>
      </c>
      <c r="CR173" s="45">
        <f t="shared" si="20"/>
        <v>1.4697344922755988</v>
      </c>
      <c r="CT173" s="71">
        <f t="shared" si="21"/>
        <v>1.1048305269286391</v>
      </c>
    </row>
    <row r="174" spans="1:99" ht="16">
      <c r="A174" s="36">
        <v>172</v>
      </c>
      <c r="B174" s="37"/>
      <c r="C174" s="37"/>
      <c r="D174" s="37"/>
      <c r="E174" s="38" t="s">
        <v>553</v>
      </c>
      <c r="F174" s="38" t="s">
        <v>483</v>
      </c>
      <c r="G174" s="38" t="s">
        <v>554</v>
      </c>
      <c r="H174" s="38" t="s">
        <v>286</v>
      </c>
      <c r="I174" s="72">
        <v>7.5</v>
      </c>
      <c r="J174" s="53" t="s">
        <v>88</v>
      </c>
      <c r="K174" s="42">
        <v>0</v>
      </c>
      <c r="L174" s="42">
        <v>2</v>
      </c>
      <c r="M174" s="42">
        <v>1</v>
      </c>
      <c r="N174" s="42">
        <f t="shared" si="0"/>
        <v>2</v>
      </c>
      <c r="O174" s="53"/>
      <c r="P174" s="53"/>
      <c r="Q174" s="43">
        <v>12</v>
      </c>
      <c r="R174" s="44">
        <f t="shared" si="53"/>
        <v>3</v>
      </c>
      <c r="S174" s="45">
        <v>1</v>
      </c>
      <c r="T174" s="45">
        <f t="shared" si="2"/>
        <v>3</v>
      </c>
      <c r="V174" s="46"/>
      <c r="W174" s="58" t="s">
        <v>555</v>
      </c>
      <c r="X174" s="73">
        <v>3.4</v>
      </c>
      <c r="Y174" s="44">
        <f t="shared" si="3"/>
        <v>2</v>
      </c>
      <c r="Z174" s="45">
        <v>1</v>
      </c>
      <c r="AA174" s="45">
        <f t="shared" si="4"/>
        <v>2</v>
      </c>
      <c r="AB174" s="45">
        <v>1</v>
      </c>
      <c r="AD174" s="49" t="s">
        <v>288</v>
      </c>
      <c r="AE174" s="50" t="s">
        <v>88</v>
      </c>
      <c r="AF174" s="50">
        <v>0</v>
      </c>
      <c r="AG174" s="50">
        <v>3</v>
      </c>
      <c r="AH174" s="50">
        <v>2</v>
      </c>
      <c r="AI174" s="50">
        <f t="shared" si="5"/>
        <v>6</v>
      </c>
      <c r="AJ174" s="50">
        <v>1</v>
      </c>
      <c r="AK174" s="51" t="s">
        <v>135</v>
      </c>
      <c r="AL174" s="52">
        <v>10969</v>
      </c>
      <c r="AM174" s="53" t="s">
        <v>115</v>
      </c>
      <c r="AN174" s="42">
        <v>1</v>
      </c>
      <c r="AO174" s="54">
        <f t="shared" si="54"/>
        <v>2</v>
      </c>
      <c r="AP174" s="53">
        <v>2</v>
      </c>
      <c r="AQ174" s="53">
        <f t="shared" si="7"/>
        <v>4</v>
      </c>
      <c r="AR174" s="53"/>
      <c r="AS174" s="55"/>
      <c r="AT174" s="53">
        <v>38.5</v>
      </c>
      <c r="AU174" s="42" t="s">
        <v>115</v>
      </c>
      <c r="AV174" s="44">
        <v>1</v>
      </c>
      <c r="AW174" s="44">
        <f t="shared" si="8"/>
        <v>1</v>
      </c>
      <c r="AX174" s="42">
        <v>1</v>
      </c>
      <c r="AY174" s="42">
        <f t="shared" si="9"/>
        <v>1</v>
      </c>
      <c r="AZ174" s="42">
        <v>63</v>
      </c>
      <c r="BA174" s="53" t="s">
        <v>556</v>
      </c>
      <c r="BB174" s="57" t="s">
        <v>602</v>
      </c>
      <c r="BC174" s="58" t="s">
        <v>603</v>
      </c>
      <c r="BD174" s="58" t="s">
        <v>604</v>
      </c>
      <c r="BE174" s="59">
        <v>2</v>
      </c>
      <c r="BF174" s="58">
        <v>2</v>
      </c>
      <c r="BG174" s="58">
        <f t="shared" si="10"/>
        <v>0.6020599913279624</v>
      </c>
      <c r="BH174" s="58" t="s">
        <v>605</v>
      </c>
      <c r="BI174" s="58" t="s">
        <v>946</v>
      </c>
      <c r="BJ174" s="81" t="s">
        <v>166</v>
      </c>
      <c r="BK174" s="61">
        <v>3</v>
      </c>
      <c r="BL174" s="62">
        <v>1</v>
      </c>
      <c r="BM174" s="62">
        <f t="shared" si="11"/>
        <v>0.47712125471966244</v>
      </c>
      <c r="BN174" s="58" t="s">
        <v>607</v>
      </c>
      <c r="BO174" s="59"/>
      <c r="BP174" s="59">
        <v>23</v>
      </c>
      <c r="BQ174" s="63">
        <f t="shared" si="52"/>
        <v>2</v>
      </c>
      <c r="BR174" s="45">
        <v>1</v>
      </c>
      <c r="BS174" s="45">
        <f t="shared" si="13"/>
        <v>0.3010299956639812</v>
      </c>
      <c r="BU174" s="46"/>
      <c r="BV174" s="64">
        <v>1.5</v>
      </c>
      <c r="BW174" s="54">
        <f t="shared" si="55"/>
        <v>1</v>
      </c>
      <c r="BX174" s="45">
        <v>1</v>
      </c>
      <c r="BY174" s="45">
        <f t="shared" si="56"/>
        <v>0</v>
      </c>
      <c r="BZ174" s="61" t="s">
        <v>91</v>
      </c>
      <c r="CA174" s="46"/>
      <c r="CB174" s="65">
        <v>4380</v>
      </c>
      <c r="CC174" s="45">
        <v>2</v>
      </c>
      <c r="CD174" s="45">
        <v>2</v>
      </c>
      <c r="CE174" s="45">
        <f t="shared" si="16"/>
        <v>0.6020599913279624</v>
      </c>
      <c r="CG174" s="46"/>
      <c r="CH174" s="66" t="s">
        <v>92</v>
      </c>
      <c r="CI174" s="67">
        <v>3</v>
      </c>
      <c r="CJ174" s="68">
        <v>2</v>
      </c>
      <c r="CK174" s="68">
        <f t="shared" si="17"/>
        <v>0.95424250943932487</v>
      </c>
      <c r="CL174" s="68"/>
      <c r="CM174" s="69"/>
      <c r="CO174" s="70">
        <f t="shared" si="57"/>
        <v>1.7777777777777777</v>
      </c>
      <c r="CQ174" s="45">
        <f t="shared" si="19"/>
        <v>0.32627930471987704</v>
      </c>
      <c r="CR174" s="45">
        <f t="shared" si="20"/>
        <v>2.1197239399504597</v>
      </c>
      <c r="CT174" s="71">
        <f t="shared" si="21"/>
        <v>1.6575912832155</v>
      </c>
    </row>
    <row r="175" spans="1:99" ht="16">
      <c r="A175" s="36">
        <v>173</v>
      </c>
      <c r="B175" s="37"/>
      <c r="C175" s="37"/>
      <c r="D175" s="37"/>
      <c r="E175" s="38" t="s">
        <v>977</v>
      </c>
      <c r="F175" s="38" t="s">
        <v>263</v>
      </c>
      <c r="G175" s="38" t="s">
        <v>978</v>
      </c>
      <c r="H175" s="38" t="s">
        <v>177</v>
      </c>
      <c r="I175" s="72">
        <v>20.329999999999998</v>
      </c>
      <c r="J175" s="53" t="s">
        <v>88</v>
      </c>
      <c r="K175" s="42">
        <v>0</v>
      </c>
      <c r="L175" s="42">
        <v>1</v>
      </c>
      <c r="M175" s="42">
        <v>1</v>
      </c>
      <c r="N175" s="42">
        <f t="shared" si="0"/>
        <v>1</v>
      </c>
      <c r="O175" s="53"/>
      <c r="P175" s="53"/>
      <c r="Q175" s="43">
        <v>47.333333330000002</v>
      </c>
      <c r="R175" s="44">
        <f t="shared" si="53"/>
        <v>2</v>
      </c>
      <c r="S175" s="45">
        <v>1</v>
      </c>
      <c r="T175" s="45">
        <f t="shared" si="2"/>
        <v>2</v>
      </c>
      <c r="V175" s="46"/>
      <c r="W175" s="58" t="s">
        <v>979</v>
      </c>
      <c r="X175" s="73">
        <v>2.2000000000000002</v>
      </c>
      <c r="Y175" s="44">
        <f t="shared" si="3"/>
        <v>3</v>
      </c>
      <c r="Z175" s="45">
        <v>1</v>
      </c>
      <c r="AA175" s="45">
        <f t="shared" si="4"/>
        <v>3</v>
      </c>
      <c r="AB175" s="45">
        <v>1</v>
      </c>
      <c r="AD175" s="49" t="s">
        <v>163</v>
      </c>
      <c r="AE175" s="50" t="s">
        <v>146</v>
      </c>
      <c r="AF175" s="50">
        <v>2</v>
      </c>
      <c r="AG175" s="50">
        <v>3</v>
      </c>
      <c r="AH175" s="50">
        <v>2</v>
      </c>
      <c r="AI175" s="50">
        <f t="shared" si="5"/>
        <v>6</v>
      </c>
      <c r="AJ175" s="50" t="s">
        <v>645</v>
      </c>
      <c r="AK175" s="51" t="s">
        <v>240</v>
      </c>
      <c r="AL175" s="80">
        <v>38487</v>
      </c>
      <c r="AM175" s="53" t="s">
        <v>146</v>
      </c>
      <c r="AN175" s="42">
        <v>2</v>
      </c>
      <c r="AO175" s="54">
        <f t="shared" si="54"/>
        <v>3</v>
      </c>
      <c r="AP175" s="53">
        <v>2</v>
      </c>
      <c r="AQ175" s="53">
        <f t="shared" si="7"/>
        <v>6</v>
      </c>
      <c r="AR175" s="53"/>
      <c r="AS175" s="55"/>
      <c r="AT175" s="42">
        <v>77.3</v>
      </c>
      <c r="AU175" s="42" t="s">
        <v>88</v>
      </c>
      <c r="AV175" s="56">
        <v>0</v>
      </c>
      <c r="AW175" s="44">
        <f t="shared" si="8"/>
        <v>1</v>
      </c>
      <c r="AX175" s="42">
        <v>1</v>
      </c>
      <c r="AY175" s="42">
        <f t="shared" si="9"/>
        <v>1</v>
      </c>
      <c r="AZ175" s="42"/>
      <c r="BA175" s="42"/>
      <c r="BB175" s="57" t="s">
        <v>602</v>
      </c>
      <c r="BC175" s="58" t="s">
        <v>603</v>
      </c>
      <c r="BD175" s="58" t="s">
        <v>609</v>
      </c>
      <c r="BE175" s="59">
        <v>1</v>
      </c>
      <c r="BF175" s="58">
        <v>2</v>
      </c>
      <c r="BG175" s="58">
        <f t="shared" si="10"/>
        <v>0</v>
      </c>
      <c r="BH175" s="58" t="s">
        <v>605</v>
      </c>
      <c r="BI175" s="58" t="s">
        <v>610</v>
      </c>
      <c r="BJ175" s="81" t="s">
        <v>166</v>
      </c>
      <c r="BK175" s="61">
        <v>3</v>
      </c>
      <c r="BL175" s="62">
        <v>1</v>
      </c>
      <c r="BM175" s="62">
        <f t="shared" si="11"/>
        <v>0.47712125471966244</v>
      </c>
      <c r="BN175" s="58" t="s">
        <v>607</v>
      </c>
      <c r="BO175" s="59"/>
      <c r="BP175" s="59">
        <v>25.25</v>
      </c>
      <c r="BQ175" s="63">
        <f t="shared" si="52"/>
        <v>2</v>
      </c>
      <c r="BR175" s="45">
        <v>1</v>
      </c>
      <c r="BS175" s="45">
        <f t="shared" si="13"/>
        <v>0.3010299956639812</v>
      </c>
      <c r="BU175" s="46"/>
      <c r="BV175" s="64">
        <v>1.75</v>
      </c>
      <c r="BW175" s="54">
        <f t="shared" si="55"/>
        <v>1</v>
      </c>
      <c r="BX175" s="45">
        <v>1</v>
      </c>
      <c r="BY175" s="45">
        <f t="shared" si="56"/>
        <v>0</v>
      </c>
      <c r="BZ175" s="61" t="s">
        <v>99</v>
      </c>
      <c r="CA175" s="46"/>
      <c r="CB175" s="65">
        <v>4305</v>
      </c>
      <c r="CC175" s="45">
        <v>2</v>
      </c>
      <c r="CD175" s="45">
        <v>2</v>
      </c>
      <c r="CE175" s="45">
        <f t="shared" si="16"/>
        <v>0.6020599913279624</v>
      </c>
      <c r="CG175" s="46"/>
      <c r="CH175" s="66" t="s">
        <v>106</v>
      </c>
      <c r="CI175" s="67">
        <v>3</v>
      </c>
      <c r="CJ175" s="68">
        <v>2</v>
      </c>
      <c r="CK175" s="68">
        <f t="shared" si="17"/>
        <v>0.95424250943932487</v>
      </c>
      <c r="CL175" s="78"/>
      <c r="CM175" s="79" t="s">
        <v>144</v>
      </c>
      <c r="CO175" s="70">
        <f t="shared" si="57"/>
        <v>2</v>
      </c>
      <c r="CQ175" s="45">
        <f t="shared" si="19"/>
        <v>0.25938375012788117</v>
      </c>
      <c r="CR175" s="45">
        <f t="shared" si="20"/>
        <v>1.8171205928321397</v>
      </c>
      <c r="CT175" s="71">
        <f t="shared" si="21"/>
        <v>1.2913891989754085</v>
      </c>
    </row>
    <row r="176" spans="1:99" ht="18.75" customHeight="1">
      <c r="A176" s="36">
        <v>174</v>
      </c>
      <c r="B176" s="37"/>
      <c r="C176" s="37"/>
      <c r="D176" s="37"/>
      <c r="E176" s="38" t="s">
        <v>980</v>
      </c>
      <c r="F176" s="38" t="s">
        <v>981</v>
      </c>
      <c r="G176" s="38" t="s">
        <v>982</v>
      </c>
      <c r="H176" s="38" t="s">
        <v>152</v>
      </c>
      <c r="I176" s="72">
        <v>6.5</v>
      </c>
      <c r="J176" s="53" t="s">
        <v>88</v>
      </c>
      <c r="K176" s="42">
        <v>0</v>
      </c>
      <c r="L176" s="42">
        <v>2</v>
      </c>
      <c r="M176" s="42">
        <v>1</v>
      </c>
      <c r="N176" s="42">
        <f t="shared" si="0"/>
        <v>2</v>
      </c>
      <c r="O176" s="53"/>
      <c r="P176" s="53"/>
      <c r="Q176" s="43">
        <v>7.95</v>
      </c>
      <c r="R176" s="44">
        <f t="shared" si="53"/>
        <v>3</v>
      </c>
      <c r="S176" s="45">
        <v>1</v>
      </c>
      <c r="T176" s="45">
        <f t="shared" si="2"/>
        <v>3</v>
      </c>
      <c r="U176" s="45"/>
      <c r="V176" s="46"/>
      <c r="W176" s="58" t="s">
        <v>983</v>
      </c>
      <c r="X176" s="73">
        <v>3.5</v>
      </c>
      <c r="Y176" s="44">
        <f t="shared" si="3"/>
        <v>2</v>
      </c>
      <c r="Z176" s="45">
        <v>1</v>
      </c>
      <c r="AA176" s="45">
        <f t="shared" si="4"/>
        <v>2</v>
      </c>
      <c r="AB176" s="45">
        <v>1</v>
      </c>
      <c r="AC176" s="45"/>
      <c r="AD176" s="49" t="s">
        <v>155</v>
      </c>
      <c r="AE176" s="50" t="s">
        <v>88</v>
      </c>
      <c r="AF176" s="50">
        <v>0</v>
      </c>
      <c r="AG176" s="50">
        <v>3</v>
      </c>
      <c r="AH176" s="50">
        <v>2</v>
      </c>
      <c r="AI176" s="50">
        <f t="shared" si="5"/>
        <v>6</v>
      </c>
      <c r="AJ176" s="50">
        <v>1</v>
      </c>
      <c r="AK176" s="51" t="s">
        <v>135</v>
      </c>
      <c r="AL176" s="61">
        <v>539520</v>
      </c>
      <c r="AM176" s="53" t="s">
        <v>146</v>
      </c>
      <c r="AN176" s="42">
        <v>2</v>
      </c>
      <c r="AO176" s="54">
        <f t="shared" si="54"/>
        <v>3</v>
      </c>
      <c r="AP176" s="53">
        <v>2</v>
      </c>
      <c r="AQ176" s="53">
        <f t="shared" si="7"/>
        <v>6</v>
      </c>
      <c r="AR176" s="53"/>
      <c r="AS176" s="55"/>
      <c r="AT176" s="42">
        <v>59.6</v>
      </c>
      <c r="AU176" s="42" t="s">
        <v>115</v>
      </c>
      <c r="AV176" s="44">
        <v>1</v>
      </c>
      <c r="AW176" s="44">
        <f t="shared" si="8"/>
        <v>1</v>
      </c>
      <c r="AX176" s="42">
        <v>1</v>
      </c>
      <c r="AY176" s="42">
        <f t="shared" si="9"/>
        <v>1</v>
      </c>
      <c r="AZ176" s="42" t="s">
        <v>984</v>
      </c>
      <c r="BA176" s="53" t="s">
        <v>985</v>
      </c>
      <c r="BB176" s="57" t="s">
        <v>602</v>
      </c>
      <c r="BC176" s="58" t="s">
        <v>603</v>
      </c>
      <c r="BD176" s="58" t="s">
        <v>609</v>
      </c>
      <c r="BE176" s="59">
        <v>1</v>
      </c>
      <c r="BF176" s="58">
        <v>2</v>
      </c>
      <c r="BG176" s="58">
        <f t="shared" si="10"/>
        <v>0</v>
      </c>
      <c r="BH176" s="58" t="s">
        <v>605</v>
      </c>
      <c r="BI176" s="58" t="s">
        <v>731</v>
      </c>
      <c r="BJ176" s="60" t="s">
        <v>90</v>
      </c>
      <c r="BK176" s="61">
        <v>1</v>
      </c>
      <c r="BL176" s="59">
        <v>1</v>
      </c>
      <c r="BM176" s="59">
        <f t="shared" si="11"/>
        <v>0</v>
      </c>
      <c r="BN176" s="58" t="s">
        <v>607</v>
      </c>
      <c r="BO176" s="59"/>
      <c r="BP176" s="59">
        <v>45</v>
      </c>
      <c r="BQ176" s="63">
        <f t="shared" si="52"/>
        <v>1</v>
      </c>
      <c r="BR176" s="45">
        <v>1</v>
      </c>
      <c r="BS176" s="45">
        <f t="shared" si="13"/>
        <v>0</v>
      </c>
      <c r="BT176" s="45"/>
      <c r="BU176" s="46"/>
      <c r="BV176" s="64">
        <v>1.75</v>
      </c>
      <c r="BW176" s="54">
        <f t="shared" si="55"/>
        <v>1</v>
      </c>
      <c r="BX176" s="45">
        <v>1</v>
      </c>
      <c r="BY176" s="45">
        <f t="shared" si="56"/>
        <v>0</v>
      </c>
      <c r="BZ176" s="61" t="s">
        <v>99</v>
      </c>
      <c r="CA176" s="46"/>
      <c r="CB176" s="65">
        <v>4190</v>
      </c>
      <c r="CC176" s="45">
        <v>2</v>
      </c>
      <c r="CD176" s="45">
        <v>2</v>
      </c>
      <c r="CE176" s="45">
        <f t="shared" si="16"/>
        <v>0.6020599913279624</v>
      </c>
      <c r="CF176" s="45"/>
      <c r="CG176" s="46"/>
      <c r="CH176" s="66" t="s">
        <v>92</v>
      </c>
      <c r="CI176" s="67">
        <v>3</v>
      </c>
      <c r="CJ176" s="68">
        <v>2</v>
      </c>
      <c r="CK176" s="68">
        <f t="shared" si="17"/>
        <v>0.95424250943932487</v>
      </c>
      <c r="CL176" s="68"/>
      <c r="CM176" s="69"/>
      <c r="CN176" s="45"/>
      <c r="CO176" s="70">
        <f t="shared" si="57"/>
        <v>2</v>
      </c>
      <c r="CP176" s="45"/>
      <c r="CQ176" s="45">
        <f t="shared" si="19"/>
        <v>0.17292250008525414</v>
      </c>
      <c r="CR176" s="45">
        <f t="shared" si="20"/>
        <v>1.4890953247181091</v>
      </c>
      <c r="CS176" s="45"/>
      <c r="CT176" s="71">
        <f t="shared" si="21"/>
        <v>1.11319999850032</v>
      </c>
      <c r="CU176" s="45"/>
    </row>
    <row r="177" spans="1:98" ht="16">
      <c r="A177" s="36">
        <v>175</v>
      </c>
      <c r="B177" s="37"/>
      <c r="C177" s="37"/>
      <c r="D177" s="37"/>
      <c r="E177" s="38" t="s">
        <v>986</v>
      </c>
      <c r="F177" s="38" t="s">
        <v>360</v>
      </c>
      <c r="G177" s="38" t="s">
        <v>987</v>
      </c>
      <c r="H177" s="38" t="s">
        <v>152</v>
      </c>
      <c r="I177" s="72">
        <v>12.8</v>
      </c>
      <c r="J177" s="53" t="s">
        <v>88</v>
      </c>
      <c r="K177" s="42">
        <v>0</v>
      </c>
      <c r="L177" s="42">
        <v>2</v>
      </c>
      <c r="M177" s="42">
        <v>1</v>
      </c>
      <c r="N177" s="42">
        <f t="shared" si="0"/>
        <v>2</v>
      </c>
      <c r="O177" s="53"/>
      <c r="P177" s="53"/>
      <c r="Q177" s="43">
        <v>27</v>
      </c>
      <c r="R177" s="44">
        <f t="shared" si="53"/>
        <v>3</v>
      </c>
      <c r="S177" s="45">
        <v>1</v>
      </c>
      <c r="T177" s="45">
        <f t="shared" si="2"/>
        <v>3</v>
      </c>
      <c r="V177" s="46"/>
      <c r="W177" s="58" t="s">
        <v>988</v>
      </c>
      <c r="X177" s="73">
        <v>3.4</v>
      </c>
      <c r="Y177" s="44">
        <f t="shared" si="3"/>
        <v>2</v>
      </c>
      <c r="Z177" s="45">
        <v>1</v>
      </c>
      <c r="AA177" s="45">
        <f t="shared" si="4"/>
        <v>2</v>
      </c>
      <c r="AB177" s="45">
        <v>1</v>
      </c>
      <c r="AD177" s="49" t="s">
        <v>362</v>
      </c>
      <c r="AE177" s="50" t="s">
        <v>88</v>
      </c>
      <c r="AF177" s="50">
        <v>0</v>
      </c>
      <c r="AG177" s="50">
        <v>2</v>
      </c>
      <c r="AH177" s="50">
        <v>2</v>
      </c>
      <c r="AI177" s="50">
        <f t="shared" si="5"/>
        <v>4</v>
      </c>
      <c r="AJ177" s="50">
        <v>1</v>
      </c>
      <c r="AK177" s="51" t="s">
        <v>156</v>
      </c>
      <c r="AL177" s="61">
        <v>517850</v>
      </c>
      <c r="AM177" s="53" t="s">
        <v>115</v>
      </c>
      <c r="AN177" s="42">
        <v>1</v>
      </c>
      <c r="AO177" s="54">
        <f t="shared" si="54"/>
        <v>3</v>
      </c>
      <c r="AP177" s="53">
        <v>2</v>
      </c>
      <c r="AQ177" s="53">
        <f t="shared" si="7"/>
        <v>6</v>
      </c>
      <c r="AR177" s="53"/>
      <c r="AS177" s="55"/>
      <c r="AT177" s="42">
        <v>32.5</v>
      </c>
      <c r="AU177" s="42" t="s">
        <v>88</v>
      </c>
      <c r="AV177" s="56">
        <v>0</v>
      </c>
      <c r="AW177" s="44">
        <f t="shared" si="8"/>
        <v>1</v>
      </c>
      <c r="AX177" s="42">
        <v>1</v>
      </c>
      <c r="AY177" s="42">
        <f t="shared" si="9"/>
        <v>1</v>
      </c>
      <c r="AZ177" s="42"/>
      <c r="BA177" s="42"/>
      <c r="BB177" s="57" t="s">
        <v>602</v>
      </c>
      <c r="BC177" s="58" t="s">
        <v>603</v>
      </c>
      <c r="BD177" s="58" t="s">
        <v>609</v>
      </c>
      <c r="BE177" s="59">
        <v>1</v>
      </c>
      <c r="BF177" s="58">
        <v>2</v>
      </c>
      <c r="BG177" s="58">
        <f t="shared" si="10"/>
        <v>0</v>
      </c>
      <c r="BH177" s="58" t="s">
        <v>605</v>
      </c>
      <c r="BI177" s="58" t="s">
        <v>610</v>
      </c>
      <c r="BJ177" s="60" t="s">
        <v>90</v>
      </c>
      <c r="BK177" s="61">
        <v>1</v>
      </c>
      <c r="BL177" s="62">
        <v>1</v>
      </c>
      <c r="BM177" s="62">
        <f t="shared" si="11"/>
        <v>0</v>
      </c>
      <c r="BN177" s="58" t="s">
        <v>607</v>
      </c>
      <c r="BO177" s="59"/>
      <c r="BP177" s="59">
        <v>15.25</v>
      </c>
      <c r="BQ177" s="63">
        <f t="shared" si="52"/>
        <v>2</v>
      </c>
      <c r="BR177" s="45">
        <v>1</v>
      </c>
      <c r="BS177" s="45">
        <f t="shared" si="13"/>
        <v>0.3010299956639812</v>
      </c>
      <c r="BU177" s="46"/>
      <c r="BV177" s="64">
        <v>1.75</v>
      </c>
      <c r="BW177" s="54">
        <f t="shared" si="55"/>
        <v>1</v>
      </c>
      <c r="BX177" s="45">
        <v>1</v>
      </c>
      <c r="BY177" s="45">
        <f t="shared" si="56"/>
        <v>0</v>
      </c>
      <c r="BZ177" s="61" t="s">
        <v>99</v>
      </c>
      <c r="CA177" s="46"/>
      <c r="CB177" s="65">
        <v>4114</v>
      </c>
      <c r="CC177" s="45">
        <v>2</v>
      </c>
      <c r="CD177" s="45">
        <v>2</v>
      </c>
      <c r="CE177" s="45">
        <f t="shared" si="16"/>
        <v>0.6020599913279624</v>
      </c>
      <c r="CG177" s="46"/>
      <c r="CH177" s="66" t="s">
        <v>92</v>
      </c>
      <c r="CI177" s="67">
        <v>3</v>
      </c>
      <c r="CJ177" s="68">
        <v>2</v>
      </c>
      <c r="CK177" s="68">
        <f t="shared" si="17"/>
        <v>0.95424250943932487</v>
      </c>
      <c r="CL177" s="68"/>
      <c r="CM177" s="69" t="s">
        <v>144</v>
      </c>
      <c r="CO177" s="70">
        <f t="shared" si="57"/>
        <v>1.7777777777777777</v>
      </c>
      <c r="CQ177" s="45">
        <f t="shared" si="19"/>
        <v>0.20637027738125205</v>
      </c>
      <c r="CR177" s="45">
        <f t="shared" si="20"/>
        <v>1.6083119076007948</v>
      </c>
      <c r="CT177" s="71">
        <f t="shared" si="21"/>
        <v>1.3652364401167827</v>
      </c>
    </row>
    <row r="178" spans="1:98" ht="16">
      <c r="A178" s="36">
        <v>176</v>
      </c>
      <c r="B178" s="37"/>
      <c r="C178" s="37"/>
      <c r="D178" s="37"/>
      <c r="E178" s="38" t="s">
        <v>989</v>
      </c>
      <c r="F178" s="38" t="s">
        <v>81</v>
      </c>
      <c r="G178" s="38" t="s">
        <v>990</v>
      </c>
      <c r="H178" s="38" t="s">
        <v>83</v>
      </c>
      <c r="I178" s="72">
        <v>6.3</v>
      </c>
      <c r="J178" s="53" t="s">
        <v>146</v>
      </c>
      <c r="K178" s="42">
        <v>1</v>
      </c>
      <c r="L178" s="42">
        <v>2</v>
      </c>
      <c r="M178" s="42">
        <v>1</v>
      </c>
      <c r="N178" s="42">
        <f t="shared" si="0"/>
        <v>2</v>
      </c>
      <c r="O178" s="42" t="s">
        <v>799</v>
      </c>
      <c r="P178" s="53"/>
      <c r="Q178" s="43">
        <v>17</v>
      </c>
      <c r="R178" s="44">
        <f t="shared" si="53"/>
        <v>3</v>
      </c>
      <c r="S178" s="45">
        <v>1</v>
      </c>
      <c r="T178" s="45">
        <f t="shared" si="2"/>
        <v>3</v>
      </c>
      <c r="V178" s="46"/>
      <c r="W178" s="58" t="s">
        <v>679</v>
      </c>
      <c r="X178" s="73">
        <v>2.7</v>
      </c>
      <c r="Y178" s="44">
        <f t="shared" si="3"/>
        <v>2</v>
      </c>
      <c r="Z178" s="45">
        <v>1</v>
      </c>
      <c r="AA178" s="45">
        <f t="shared" si="4"/>
        <v>2</v>
      </c>
      <c r="AB178" s="45">
        <v>1</v>
      </c>
      <c r="AD178" s="49" t="s">
        <v>87</v>
      </c>
      <c r="AE178" s="50" t="s">
        <v>88</v>
      </c>
      <c r="AF178" s="50">
        <v>0</v>
      </c>
      <c r="AG178" s="50">
        <v>3</v>
      </c>
      <c r="AH178" s="50">
        <v>2</v>
      </c>
      <c r="AI178" s="50">
        <f t="shared" si="5"/>
        <v>6</v>
      </c>
      <c r="AJ178" s="50">
        <v>1</v>
      </c>
      <c r="AK178" s="51" t="s">
        <v>89</v>
      </c>
      <c r="AL178" s="61">
        <v>102000</v>
      </c>
      <c r="AM178" s="53" t="s">
        <v>115</v>
      </c>
      <c r="AN178" s="42">
        <v>1</v>
      </c>
      <c r="AO178" s="54">
        <f t="shared" si="54"/>
        <v>3</v>
      </c>
      <c r="AP178" s="53">
        <v>2</v>
      </c>
      <c r="AQ178" s="53">
        <f t="shared" si="7"/>
        <v>6</v>
      </c>
      <c r="AR178" s="53"/>
      <c r="AS178" s="55" t="s">
        <v>744</v>
      </c>
      <c r="AT178" s="53">
        <v>28</v>
      </c>
      <c r="AU178" s="42" t="s">
        <v>115</v>
      </c>
      <c r="AV178" s="44">
        <v>1</v>
      </c>
      <c r="AW178" s="44">
        <f t="shared" si="8"/>
        <v>2</v>
      </c>
      <c r="AX178" s="42">
        <v>1</v>
      </c>
      <c r="AY178" s="42">
        <f t="shared" si="9"/>
        <v>2</v>
      </c>
      <c r="AZ178" s="42">
        <v>62</v>
      </c>
      <c r="BA178" s="53" t="s">
        <v>991</v>
      </c>
      <c r="BB178" s="57" t="s">
        <v>602</v>
      </c>
      <c r="BC178" s="58" t="s">
        <v>603</v>
      </c>
      <c r="BD178" s="58" t="s">
        <v>609</v>
      </c>
      <c r="BE178" s="59">
        <v>1</v>
      </c>
      <c r="BF178" s="58">
        <v>2</v>
      </c>
      <c r="BG178" s="58">
        <f t="shared" si="10"/>
        <v>0</v>
      </c>
      <c r="BH178" s="58" t="s">
        <v>605</v>
      </c>
      <c r="BI178" s="58" t="s">
        <v>610</v>
      </c>
      <c r="BJ178" s="60" t="s">
        <v>90</v>
      </c>
      <c r="BK178" s="61">
        <v>1</v>
      </c>
      <c r="BL178" s="62">
        <v>1</v>
      </c>
      <c r="BM178" s="62">
        <f t="shared" si="11"/>
        <v>0</v>
      </c>
      <c r="BN178" s="58" t="s">
        <v>607</v>
      </c>
      <c r="BO178" s="59"/>
      <c r="BP178" s="59">
        <v>25</v>
      </c>
      <c r="BQ178" s="63">
        <f t="shared" si="52"/>
        <v>2</v>
      </c>
      <c r="BR178" s="45">
        <v>1</v>
      </c>
      <c r="BS178" s="45">
        <f t="shared" si="13"/>
        <v>0.3010299956639812</v>
      </c>
      <c r="BU178" s="46"/>
      <c r="BV178" s="64">
        <v>1</v>
      </c>
      <c r="BW178" s="54">
        <f t="shared" si="55"/>
        <v>1</v>
      </c>
      <c r="BX178" s="45">
        <v>1</v>
      </c>
      <c r="BY178" s="45">
        <f t="shared" si="56"/>
        <v>0</v>
      </c>
      <c r="BZ178" s="61" t="s">
        <v>504</v>
      </c>
      <c r="CA178" s="46"/>
      <c r="CB178" s="65">
        <v>4019</v>
      </c>
      <c r="CC178" s="45">
        <v>2</v>
      </c>
      <c r="CD178" s="45">
        <v>2</v>
      </c>
      <c r="CE178" s="45">
        <f t="shared" si="16"/>
        <v>0.6020599913279624</v>
      </c>
      <c r="CG178" s="46"/>
      <c r="CH178" s="66" t="s">
        <v>250</v>
      </c>
      <c r="CI178" s="67">
        <v>3</v>
      </c>
      <c r="CJ178" s="68">
        <v>2</v>
      </c>
      <c r="CK178" s="68">
        <f t="shared" si="17"/>
        <v>0.95424250943932487</v>
      </c>
      <c r="CL178" s="68"/>
      <c r="CM178" s="69"/>
      <c r="CO178" s="70">
        <f t="shared" si="57"/>
        <v>2.1111111111111112</v>
      </c>
      <c r="CQ178" s="45">
        <f t="shared" si="19"/>
        <v>0.20637027738125205</v>
      </c>
      <c r="CR178" s="45">
        <f t="shared" si="20"/>
        <v>1.6083119076007948</v>
      </c>
      <c r="CT178" s="71">
        <f t="shared" si="21"/>
        <v>1.0771104092520141</v>
      </c>
    </row>
    <row r="179" spans="1:98" ht="18.75" customHeight="1">
      <c r="A179" s="36">
        <v>177</v>
      </c>
      <c r="B179" s="37"/>
      <c r="C179" s="37"/>
      <c r="D179" s="37"/>
      <c r="E179" s="38" t="s">
        <v>992</v>
      </c>
      <c r="F179" s="38" t="s">
        <v>386</v>
      </c>
      <c r="G179" s="38" t="s">
        <v>982</v>
      </c>
      <c r="H179" s="38" t="s">
        <v>170</v>
      </c>
      <c r="I179" s="72">
        <v>2</v>
      </c>
      <c r="J179" s="53" t="s">
        <v>88</v>
      </c>
      <c r="K179" s="42">
        <v>0</v>
      </c>
      <c r="L179" s="42">
        <v>3</v>
      </c>
      <c r="M179" s="42">
        <v>1</v>
      </c>
      <c r="N179" s="42">
        <f t="shared" si="0"/>
        <v>3</v>
      </c>
      <c r="O179" s="214" t="s">
        <v>993</v>
      </c>
      <c r="P179" s="53" t="s">
        <v>652</v>
      </c>
      <c r="Q179" s="43">
        <v>4.5</v>
      </c>
      <c r="R179" s="44">
        <f t="shared" si="53"/>
        <v>3</v>
      </c>
      <c r="S179" s="45">
        <v>1</v>
      </c>
      <c r="T179" s="45">
        <f t="shared" si="2"/>
        <v>3</v>
      </c>
      <c r="V179" s="46"/>
      <c r="W179" s="58" t="s">
        <v>213</v>
      </c>
      <c r="X179" s="73">
        <v>2</v>
      </c>
      <c r="Y179" s="44">
        <f t="shared" si="3"/>
        <v>3</v>
      </c>
      <c r="Z179" s="45">
        <v>1</v>
      </c>
      <c r="AA179" s="45">
        <f t="shared" si="4"/>
        <v>3</v>
      </c>
      <c r="AB179" s="45">
        <v>1</v>
      </c>
      <c r="AD179" s="49" t="s">
        <v>172</v>
      </c>
      <c r="AE179" s="50" t="s">
        <v>88</v>
      </c>
      <c r="AF179" s="50">
        <v>0</v>
      </c>
      <c r="AG179" s="50">
        <v>3</v>
      </c>
      <c r="AH179" s="50">
        <v>2</v>
      </c>
      <c r="AI179" s="50">
        <f t="shared" si="5"/>
        <v>6</v>
      </c>
      <c r="AJ179" s="50">
        <v>1</v>
      </c>
      <c r="AK179" s="51" t="s">
        <v>114</v>
      </c>
      <c r="AL179" s="61">
        <v>8450</v>
      </c>
      <c r="AM179" s="53" t="s">
        <v>115</v>
      </c>
      <c r="AN179" s="42">
        <v>1</v>
      </c>
      <c r="AO179" s="54">
        <f t="shared" si="54"/>
        <v>2</v>
      </c>
      <c r="AP179" s="53">
        <v>2</v>
      </c>
      <c r="AQ179" s="53">
        <f t="shared" si="7"/>
        <v>4</v>
      </c>
      <c r="AR179" s="53"/>
      <c r="AS179" s="55" t="s">
        <v>746</v>
      </c>
      <c r="AT179" s="53">
        <v>44</v>
      </c>
      <c r="AU179" s="42" t="s">
        <v>146</v>
      </c>
      <c r="AV179" s="44">
        <v>2</v>
      </c>
      <c r="AW179" s="44">
        <f t="shared" si="8"/>
        <v>1</v>
      </c>
      <c r="AX179" s="42">
        <v>1</v>
      </c>
      <c r="AY179" s="42">
        <f t="shared" si="9"/>
        <v>1</v>
      </c>
      <c r="AZ179" s="42" t="s">
        <v>994</v>
      </c>
      <c r="BA179" s="53" t="s">
        <v>632</v>
      </c>
      <c r="BB179" s="57" t="s">
        <v>642</v>
      </c>
      <c r="BC179" s="58" t="s">
        <v>643</v>
      </c>
      <c r="BD179" s="58" t="s">
        <v>609</v>
      </c>
      <c r="BE179" s="59">
        <v>2</v>
      </c>
      <c r="BF179" s="58">
        <v>2</v>
      </c>
      <c r="BG179" s="58">
        <f t="shared" si="10"/>
        <v>0.6020599913279624</v>
      </c>
      <c r="BH179" s="58" t="s">
        <v>605</v>
      </c>
      <c r="BI179" s="58" t="s">
        <v>644</v>
      </c>
      <c r="BJ179" s="60" t="s">
        <v>90</v>
      </c>
      <c r="BK179" s="61">
        <v>1</v>
      </c>
      <c r="BL179" s="62">
        <v>1</v>
      </c>
      <c r="BM179" s="62">
        <f t="shared" si="11"/>
        <v>0</v>
      </c>
      <c r="BN179" s="58" t="s">
        <v>607</v>
      </c>
      <c r="BO179" s="59"/>
      <c r="BP179" s="59">
        <v>8</v>
      </c>
      <c r="BQ179" s="63">
        <f t="shared" si="52"/>
        <v>3</v>
      </c>
      <c r="BR179" s="45">
        <v>1</v>
      </c>
      <c r="BS179" s="45">
        <f t="shared" si="13"/>
        <v>0.47712125471966244</v>
      </c>
      <c r="BU179" s="46"/>
      <c r="BV179" s="64">
        <v>1</v>
      </c>
      <c r="BW179" s="54">
        <f t="shared" si="55"/>
        <v>1</v>
      </c>
      <c r="BX179" s="45">
        <v>1</v>
      </c>
      <c r="BY179" s="45">
        <f t="shared" si="56"/>
        <v>0</v>
      </c>
      <c r="BZ179" s="61" t="s">
        <v>91</v>
      </c>
      <c r="CA179" s="46"/>
      <c r="CB179" s="65">
        <v>3999</v>
      </c>
      <c r="CC179" s="45">
        <v>2</v>
      </c>
      <c r="CD179" s="45">
        <v>2</v>
      </c>
      <c r="CE179" s="45">
        <f t="shared" si="16"/>
        <v>0.6020599913279624</v>
      </c>
      <c r="CG179" s="46"/>
      <c r="CH179" s="66" t="s">
        <v>137</v>
      </c>
      <c r="CI179" s="67">
        <v>2</v>
      </c>
      <c r="CJ179" s="68">
        <v>2</v>
      </c>
      <c r="CK179" s="68">
        <f t="shared" si="17"/>
        <v>0.6020599913279624</v>
      </c>
      <c r="CL179" s="68"/>
      <c r="CM179" s="69"/>
      <c r="CO179" s="70">
        <f t="shared" si="57"/>
        <v>1.8888888888888888</v>
      </c>
      <c r="CQ179" s="45">
        <f t="shared" si="19"/>
        <v>0.25370013652261664</v>
      </c>
      <c r="CR179" s="45">
        <f t="shared" si="20"/>
        <v>1.7934948606565868</v>
      </c>
      <c r="CT179" s="71">
        <f t="shared" si="21"/>
        <v>1.3653578267703248</v>
      </c>
    </row>
    <row r="180" spans="1:98" ht="16">
      <c r="A180" s="36">
        <v>178</v>
      </c>
      <c r="B180" s="37"/>
      <c r="C180" s="37"/>
      <c r="D180" s="37"/>
      <c r="E180" s="38" t="s">
        <v>995</v>
      </c>
      <c r="F180" s="38" t="s">
        <v>268</v>
      </c>
      <c r="G180" s="38" t="s">
        <v>996</v>
      </c>
      <c r="H180" s="38" t="s">
        <v>184</v>
      </c>
      <c r="I180" s="72">
        <v>5.9</v>
      </c>
      <c r="J180" s="53" t="s">
        <v>115</v>
      </c>
      <c r="K180" s="42">
        <v>1</v>
      </c>
      <c r="L180" s="42">
        <v>2</v>
      </c>
      <c r="M180" s="42">
        <v>1</v>
      </c>
      <c r="N180" s="42">
        <f t="shared" si="0"/>
        <v>2</v>
      </c>
      <c r="O180" s="53" t="s">
        <v>799</v>
      </c>
      <c r="P180" s="53"/>
      <c r="Q180" s="43">
        <v>5</v>
      </c>
      <c r="R180" s="44">
        <f t="shared" si="53"/>
        <v>3</v>
      </c>
      <c r="S180" s="45">
        <v>1</v>
      </c>
      <c r="T180" s="45">
        <f t="shared" si="2"/>
        <v>3</v>
      </c>
      <c r="V180" s="46"/>
      <c r="W180" s="58" t="s">
        <v>185</v>
      </c>
      <c r="X180" s="73">
        <v>3.4</v>
      </c>
      <c r="Y180" s="44">
        <f t="shared" si="3"/>
        <v>2</v>
      </c>
      <c r="Z180" s="45">
        <v>1</v>
      </c>
      <c r="AA180" s="45">
        <f t="shared" si="4"/>
        <v>2</v>
      </c>
      <c r="AB180" s="45">
        <v>1</v>
      </c>
      <c r="AD180" s="49" t="s">
        <v>997</v>
      </c>
      <c r="AE180" s="50" t="s">
        <v>88</v>
      </c>
      <c r="AF180" s="50">
        <v>0</v>
      </c>
      <c r="AG180" s="50">
        <v>3</v>
      </c>
      <c r="AH180" s="50">
        <v>2</v>
      </c>
      <c r="AI180" s="50">
        <f t="shared" si="5"/>
        <v>6</v>
      </c>
      <c r="AJ180" s="50">
        <v>1</v>
      </c>
      <c r="AK180" s="51" t="s">
        <v>114</v>
      </c>
      <c r="AL180" s="61">
        <v>53528</v>
      </c>
      <c r="AM180" s="53" t="s">
        <v>115</v>
      </c>
      <c r="AN180" s="42">
        <v>1</v>
      </c>
      <c r="AO180" s="54">
        <f t="shared" si="54"/>
        <v>3</v>
      </c>
      <c r="AP180" s="53">
        <v>2</v>
      </c>
      <c r="AQ180" s="53">
        <f t="shared" si="7"/>
        <v>6</v>
      </c>
      <c r="AR180" s="53"/>
      <c r="AS180" s="55" t="s">
        <v>668</v>
      </c>
      <c r="AT180" s="53">
        <v>36.65</v>
      </c>
      <c r="AU180" s="42" t="s">
        <v>146</v>
      </c>
      <c r="AV180" s="44">
        <v>2</v>
      </c>
      <c r="AW180" s="44">
        <f t="shared" si="8"/>
        <v>1</v>
      </c>
      <c r="AX180" s="42">
        <v>1</v>
      </c>
      <c r="AY180" s="42">
        <f t="shared" si="9"/>
        <v>1</v>
      </c>
      <c r="AZ180" s="42" t="s">
        <v>270</v>
      </c>
      <c r="BA180" s="53" t="s">
        <v>669</v>
      </c>
      <c r="BB180" s="57" t="s">
        <v>602</v>
      </c>
      <c r="BC180" s="58" t="s">
        <v>603</v>
      </c>
      <c r="BD180" s="58" t="s">
        <v>604</v>
      </c>
      <c r="BE180" s="59">
        <v>2</v>
      </c>
      <c r="BF180" s="58">
        <v>2</v>
      </c>
      <c r="BG180" s="58">
        <f t="shared" si="10"/>
        <v>0.6020599913279624</v>
      </c>
      <c r="BH180" s="58" t="s">
        <v>605</v>
      </c>
      <c r="BI180" s="58" t="s">
        <v>606</v>
      </c>
      <c r="BJ180" s="60" t="s">
        <v>90</v>
      </c>
      <c r="BK180" s="61">
        <v>1</v>
      </c>
      <c r="BL180" s="62">
        <v>1</v>
      </c>
      <c r="BM180" s="62">
        <f t="shared" si="11"/>
        <v>0</v>
      </c>
      <c r="BN180" s="58" t="s">
        <v>607</v>
      </c>
      <c r="BO180" s="86"/>
      <c r="BP180" s="86">
        <v>13</v>
      </c>
      <c r="BQ180" s="63">
        <f t="shared" si="52"/>
        <v>2</v>
      </c>
      <c r="BR180" s="45">
        <v>1</v>
      </c>
      <c r="BS180" s="45">
        <f t="shared" si="13"/>
        <v>0.3010299956639812</v>
      </c>
      <c r="BU180" s="46"/>
      <c r="BV180" s="64">
        <v>1</v>
      </c>
      <c r="BW180" s="54">
        <f t="shared" si="55"/>
        <v>1</v>
      </c>
      <c r="BX180" s="45">
        <v>1</v>
      </c>
      <c r="BY180" s="45">
        <f t="shared" si="56"/>
        <v>0</v>
      </c>
      <c r="BZ180" s="61" t="s">
        <v>273</v>
      </c>
      <c r="CA180" s="46"/>
      <c r="CB180" s="65">
        <v>3987</v>
      </c>
      <c r="CC180" s="45">
        <v>2</v>
      </c>
      <c r="CD180" s="45">
        <v>2</v>
      </c>
      <c r="CE180" s="45">
        <f t="shared" si="16"/>
        <v>0.6020599913279624</v>
      </c>
      <c r="CG180" s="46"/>
      <c r="CH180" s="66" t="s">
        <v>92</v>
      </c>
      <c r="CI180" s="67">
        <v>3</v>
      </c>
      <c r="CJ180" s="68">
        <v>2</v>
      </c>
      <c r="CK180" s="68">
        <f t="shared" si="17"/>
        <v>0.95424250943932487</v>
      </c>
      <c r="CL180" s="68"/>
      <c r="CM180" s="69"/>
      <c r="CO180" s="70">
        <f t="shared" si="57"/>
        <v>2</v>
      </c>
      <c r="CQ180" s="45">
        <f t="shared" si="19"/>
        <v>0.27326583197324783</v>
      </c>
      <c r="CR180" s="45">
        <f t="shared" si="20"/>
        <v>1.8761425449123872</v>
      </c>
      <c r="CT180" s="71">
        <f t="shared" si="21"/>
        <v>1.329520875731387</v>
      </c>
    </row>
    <row r="181" spans="1:98" ht="16">
      <c r="A181" s="36">
        <v>179</v>
      </c>
      <c r="B181" s="37"/>
      <c r="C181" s="37"/>
      <c r="D181" s="37"/>
      <c r="E181" s="38" t="s">
        <v>998</v>
      </c>
      <c r="F181" s="38" t="s">
        <v>139</v>
      </c>
      <c r="G181" s="38" t="s">
        <v>840</v>
      </c>
      <c r="H181" s="38" t="s">
        <v>141</v>
      </c>
      <c r="I181" s="72">
        <v>3.8</v>
      </c>
      <c r="J181" s="53" t="s">
        <v>146</v>
      </c>
      <c r="K181" s="42">
        <v>2</v>
      </c>
      <c r="L181" s="42">
        <v>3</v>
      </c>
      <c r="M181" s="42">
        <v>1</v>
      </c>
      <c r="N181" s="42">
        <f t="shared" si="0"/>
        <v>3</v>
      </c>
      <c r="O181" s="42" t="s">
        <v>799</v>
      </c>
      <c r="P181" s="53"/>
      <c r="Q181" s="43">
        <v>10</v>
      </c>
      <c r="R181" s="44">
        <f t="shared" si="53"/>
        <v>3</v>
      </c>
      <c r="S181" s="45">
        <v>1</v>
      </c>
      <c r="T181" s="45">
        <f t="shared" si="2"/>
        <v>3</v>
      </c>
      <c r="V181" s="46"/>
      <c r="W181" s="58" t="s">
        <v>999</v>
      </c>
      <c r="X181" s="73">
        <v>3.6</v>
      </c>
      <c r="Y181" s="44">
        <f t="shared" si="3"/>
        <v>1</v>
      </c>
      <c r="Z181" s="45">
        <v>1</v>
      </c>
      <c r="AA181" s="45">
        <f t="shared" si="4"/>
        <v>1</v>
      </c>
      <c r="AB181" s="45">
        <v>1</v>
      </c>
      <c r="AD181" s="49" t="s">
        <v>1000</v>
      </c>
      <c r="AE181" s="50" t="s">
        <v>88</v>
      </c>
      <c r="AF181" s="50">
        <v>0</v>
      </c>
      <c r="AG181" s="50">
        <v>1</v>
      </c>
      <c r="AH181" s="50">
        <v>2</v>
      </c>
      <c r="AI181" s="50">
        <f t="shared" si="5"/>
        <v>2</v>
      </c>
      <c r="AJ181" s="50">
        <v>1</v>
      </c>
      <c r="AK181" s="51" t="s">
        <v>145</v>
      </c>
      <c r="AL181" s="61">
        <v>12000</v>
      </c>
      <c r="AM181" s="53" t="s">
        <v>88</v>
      </c>
      <c r="AN181" s="42">
        <v>0</v>
      </c>
      <c r="AO181" s="54">
        <f t="shared" si="54"/>
        <v>2</v>
      </c>
      <c r="AP181" s="53">
        <v>2</v>
      </c>
      <c r="AQ181" s="53">
        <f t="shared" si="7"/>
        <v>4</v>
      </c>
      <c r="AR181" s="53"/>
      <c r="AS181" s="55"/>
      <c r="AT181" s="42">
        <v>17</v>
      </c>
      <c r="AU181" s="42" t="s">
        <v>88</v>
      </c>
      <c r="AV181" s="56">
        <v>0</v>
      </c>
      <c r="AW181" s="44">
        <f t="shared" si="8"/>
        <v>2</v>
      </c>
      <c r="AX181" s="42">
        <v>1</v>
      </c>
      <c r="AY181" s="42">
        <f t="shared" si="9"/>
        <v>2</v>
      </c>
      <c r="AZ181" s="42"/>
      <c r="BA181" s="42"/>
      <c r="BB181" s="57" t="s">
        <v>602</v>
      </c>
      <c r="BC181" s="58" t="s">
        <v>603</v>
      </c>
      <c r="BD181" s="58" t="s">
        <v>604</v>
      </c>
      <c r="BE181" s="59">
        <v>2</v>
      </c>
      <c r="BF181" s="58">
        <v>2</v>
      </c>
      <c r="BG181" s="58">
        <f t="shared" si="10"/>
        <v>0.6020599913279624</v>
      </c>
      <c r="BH181" s="58" t="s">
        <v>605</v>
      </c>
      <c r="BI181" s="58" t="s">
        <v>1001</v>
      </c>
      <c r="BJ181" s="60" t="s">
        <v>90</v>
      </c>
      <c r="BK181" s="61">
        <v>1</v>
      </c>
      <c r="BL181" s="62">
        <v>1</v>
      </c>
      <c r="BM181" s="62">
        <f t="shared" si="11"/>
        <v>0</v>
      </c>
      <c r="BN181" s="58" t="s">
        <v>607</v>
      </c>
      <c r="BO181" s="59"/>
      <c r="BP181" s="59">
        <v>2.25</v>
      </c>
      <c r="BQ181" s="63">
        <f t="shared" si="52"/>
        <v>3</v>
      </c>
      <c r="BR181" s="45">
        <v>1</v>
      </c>
      <c r="BS181" s="45">
        <f t="shared" si="13"/>
        <v>0.47712125471966244</v>
      </c>
      <c r="BU181" s="46"/>
      <c r="BV181" s="64">
        <v>1</v>
      </c>
      <c r="BW181" s="54">
        <f t="shared" si="55"/>
        <v>1</v>
      </c>
      <c r="BX181" s="45">
        <v>1</v>
      </c>
      <c r="BY181" s="45">
        <f t="shared" si="56"/>
        <v>0</v>
      </c>
      <c r="BZ181" s="61" t="s">
        <v>273</v>
      </c>
      <c r="CA181" s="46"/>
      <c r="CB181" s="65">
        <v>3970</v>
      </c>
      <c r="CC181" s="45">
        <v>2</v>
      </c>
      <c r="CD181" s="45">
        <v>2</v>
      </c>
      <c r="CE181" s="45">
        <f t="shared" si="16"/>
        <v>0.6020599913279624</v>
      </c>
      <c r="CG181" s="46"/>
      <c r="CH181" s="66" t="s">
        <v>106</v>
      </c>
      <c r="CI181" s="67">
        <v>3</v>
      </c>
      <c r="CJ181" s="68">
        <v>2</v>
      </c>
      <c r="CK181" s="68">
        <f t="shared" si="17"/>
        <v>0.95424250943932487</v>
      </c>
      <c r="CL181" s="78"/>
      <c r="CM181" s="79" t="s">
        <v>144</v>
      </c>
      <c r="CO181" s="70">
        <f t="shared" si="57"/>
        <v>1.3333333333333333</v>
      </c>
      <c r="CQ181" s="45">
        <f t="shared" si="19"/>
        <v>0.29283152742387908</v>
      </c>
      <c r="CR181" s="45">
        <f t="shared" si="20"/>
        <v>1.9625987930301132</v>
      </c>
      <c r="CT181" s="71">
        <f t="shared" si="21"/>
        <v>1.9246750931315157</v>
      </c>
    </row>
    <row r="182" spans="1:98" ht="16" hidden="1">
      <c r="A182" s="36">
        <v>180</v>
      </c>
      <c r="B182" s="37"/>
      <c r="C182" s="37" t="s">
        <v>144</v>
      </c>
      <c r="D182" s="37" t="s">
        <v>1002</v>
      </c>
      <c r="E182" s="38" t="s">
        <v>472</v>
      </c>
      <c r="F182" s="38" t="s">
        <v>158</v>
      </c>
      <c r="G182" s="38" t="s">
        <v>473</v>
      </c>
      <c r="H182" s="38" t="s">
        <v>160</v>
      </c>
      <c r="I182" s="72">
        <v>3.5</v>
      </c>
      <c r="J182" s="53" t="s">
        <v>88</v>
      </c>
      <c r="K182" s="42">
        <v>0</v>
      </c>
      <c r="L182" s="42">
        <v>3</v>
      </c>
      <c r="M182" s="42">
        <v>1</v>
      </c>
      <c r="N182" s="42">
        <f t="shared" si="0"/>
        <v>3</v>
      </c>
      <c r="O182" s="53"/>
      <c r="P182" s="53"/>
      <c r="Q182" s="43">
        <v>10</v>
      </c>
      <c r="R182" s="44">
        <f>IF(Q182="","***",IF(Q182&lt;5,3,IF(Q182&lt;15,2,1)))</f>
        <v>2</v>
      </c>
      <c r="S182" s="45">
        <v>1</v>
      </c>
      <c r="T182" s="45">
        <f t="shared" si="2"/>
        <v>2</v>
      </c>
      <c r="V182" s="46"/>
      <c r="W182" s="58" t="s">
        <v>474</v>
      </c>
      <c r="X182" s="73">
        <v>2.8</v>
      </c>
      <c r="Y182" s="44">
        <f t="shared" si="3"/>
        <v>2</v>
      </c>
      <c r="Z182" s="45">
        <v>1</v>
      </c>
      <c r="AA182" s="45">
        <f t="shared" si="4"/>
        <v>2</v>
      </c>
      <c r="AB182" s="45">
        <v>1</v>
      </c>
      <c r="AD182" s="49" t="s">
        <v>475</v>
      </c>
      <c r="AE182" s="50" t="s">
        <v>88</v>
      </c>
      <c r="AF182" s="50">
        <v>0</v>
      </c>
      <c r="AG182" s="50">
        <v>3</v>
      </c>
      <c r="AH182" s="50">
        <v>2</v>
      </c>
      <c r="AI182" s="50">
        <f t="shared" si="5"/>
        <v>6</v>
      </c>
      <c r="AJ182" s="50">
        <v>1</v>
      </c>
      <c r="AK182" s="51"/>
      <c r="AL182" s="61">
        <v>53556</v>
      </c>
      <c r="AM182" s="53" t="s">
        <v>115</v>
      </c>
      <c r="AN182" s="42">
        <v>1</v>
      </c>
      <c r="AO182" s="42">
        <v>3</v>
      </c>
      <c r="AP182" s="53">
        <v>2</v>
      </c>
      <c r="AQ182" s="53">
        <f t="shared" si="7"/>
        <v>6</v>
      </c>
      <c r="AR182" s="53"/>
      <c r="AS182" s="55"/>
      <c r="AT182" s="42">
        <v>38</v>
      </c>
      <c r="AU182" s="42" t="s">
        <v>88</v>
      </c>
      <c r="AV182" s="56">
        <v>0</v>
      </c>
      <c r="AW182" s="44">
        <f t="shared" si="8"/>
        <v>1</v>
      </c>
      <c r="AX182" s="42">
        <v>1</v>
      </c>
      <c r="AY182" s="42">
        <f t="shared" si="9"/>
        <v>1</v>
      </c>
      <c r="AZ182" s="42"/>
      <c r="BA182" s="42"/>
      <c r="BB182" s="57" t="s">
        <v>642</v>
      </c>
      <c r="BC182" s="58" t="s">
        <v>643</v>
      </c>
      <c r="BD182" s="58" t="s">
        <v>609</v>
      </c>
      <c r="BE182" s="59">
        <v>2</v>
      </c>
      <c r="BF182" s="58">
        <v>2</v>
      </c>
      <c r="BG182" s="58">
        <f t="shared" si="10"/>
        <v>0.6020599913279624</v>
      </c>
      <c r="BH182" s="58" t="s">
        <v>605</v>
      </c>
      <c r="BI182" s="58" t="s">
        <v>644</v>
      </c>
      <c r="BJ182" s="81" t="s">
        <v>166</v>
      </c>
      <c r="BK182" s="61">
        <v>3</v>
      </c>
      <c r="BL182" s="62">
        <v>1</v>
      </c>
      <c r="BM182" s="62">
        <f t="shared" si="11"/>
        <v>0.47712125471966244</v>
      </c>
      <c r="BN182" s="58" t="s">
        <v>607</v>
      </c>
      <c r="BO182" s="59"/>
      <c r="BP182" s="59">
        <v>18</v>
      </c>
      <c r="BQ182" s="63">
        <f t="shared" si="52"/>
        <v>2</v>
      </c>
      <c r="BR182" s="45">
        <v>1</v>
      </c>
      <c r="BS182" s="45">
        <f t="shared" si="13"/>
        <v>0.3010299956639812</v>
      </c>
      <c r="BU182" s="46"/>
      <c r="BV182" s="64">
        <v>2</v>
      </c>
      <c r="BW182" s="45"/>
      <c r="BX182" s="45">
        <v>1</v>
      </c>
      <c r="BY182" s="45">
        <f>BX182*LOG(BV182)</f>
        <v>0.3010299956639812</v>
      </c>
      <c r="BZ182" s="61" t="s">
        <v>91</v>
      </c>
      <c r="CA182" s="46"/>
      <c r="CB182" s="65">
        <v>3955</v>
      </c>
      <c r="CC182" s="45">
        <v>2</v>
      </c>
      <c r="CD182" s="45">
        <v>2</v>
      </c>
      <c r="CE182" s="45">
        <f t="shared" si="16"/>
        <v>0.6020599913279624</v>
      </c>
      <c r="CG182" s="46"/>
      <c r="CH182" s="66" t="s">
        <v>92</v>
      </c>
      <c r="CI182" s="67">
        <v>3</v>
      </c>
      <c r="CJ182" s="68">
        <v>1</v>
      </c>
      <c r="CK182" s="68">
        <f t="shared" si="17"/>
        <v>0.47712125471966244</v>
      </c>
      <c r="CL182" s="68"/>
      <c r="CM182" s="69"/>
      <c r="CO182" s="70">
        <f>(SUM(N182,T182,AA182,AI182,AQ182,AY182)/SUM(M182,S182,Z182,AH182,AP182,AX182,BF182))</f>
        <v>2</v>
      </c>
      <c r="CQ182" s="45">
        <f t="shared" si="19"/>
        <v>0.34505281042790154</v>
      </c>
      <c r="CR182" s="45">
        <f t="shared" si="20"/>
        <v>2.2133638394006434</v>
      </c>
      <c r="CT182" s="71">
        <f t="shared" si="21"/>
        <v>1.5723395965137652</v>
      </c>
    </row>
    <row r="183" spans="1:98" ht="17.25" customHeight="1">
      <c r="A183" s="36">
        <v>181</v>
      </c>
      <c r="B183" s="37"/>
      <c r="C183" s="37"/>
      <c r="D183" s="37"/>
      <c r="E183" s="38" t="s">
        <v>1003</v>
      </c>
      <c r="F183" s="38" t="s">
        <v>1004</v>
      </c>
      <c r="G183" s="38" t="s">
        <v>1005</v>
      </c>
      <c r="H183" s="38" t="s">
        <v>859</v>
      </c>
      <c r="I183" s="72">
        <v>8.5</v>
      </c>
      <c r="J183" s="53" t="s">
        <v>88</v>
      </c>
      <c r="K183" s="42">
        <v>0</v>
      </c>
      <c r="L183" s="42">
        <v>2</v>
      </c>
      <c r="M183" s="42">
        <v>1</v>
      </c>
      <c r="N183" s="42">
        <f t="shared" si="0"/>
        <v>2</v>
      </c>
      <c r="O183" s="53"/>
      <c r="P183" s="53"/>
      <c r="Q183" s="43">
        <v>7</v>
      </c>
      <c r="R183" s="44">
        <f>IF(Q183="","***",IF(Q183&lt;30,3,IF(Q183&gt;60,1,2)))</f>
        <v>3</v>
      </c>
      <c r="S183" s="45">
        <v>1</v>
      </c>
      <c r="T183" s="45">
        <f t="shared" si="2"/>
        <v>3</v>
      </c>
      <c r="V183" s="46"/>
      <c r="W183" s="58" t="s">
        <v>1006</v>
      </c>
      <c r="X183" s="73">
        <v>3.5</v>
      </c>
      <c r="Y183" s="44">
        <f t="shared" si="3"/>
        <v>2</v>
      </c>
      <c r="Z183" s="45">
        <v>1</v>
      </c>
      <c r="AA183" s="45">
        <f t="shared" si="4"/>
        <v>2</v>
      </c>
      <c r="AB183" s="45">
        <v>1</v>
      </c>
      <c r="AD183" s="49" t="s">
        <v>1007</v>
      </c>
      <c r="AE183" s="50" t="s">
        <v>88</v>
      </c>
      <c r="AF183" s="50">
        <v>0</v>
      </c>
      <c r="AG183" s="50">
        <v>1</v>
      </c>
      <c r="AH183" s="50">
        <v>2</v>
      </c>
      <c r="AI183" s="50">
        <f t="shared" si="5"/>
        <v>2</v>
      </c>
      <c r="AJ183" s="50">
        <v>1</v>
      </c>
      <c r="AK183" s="51" t="s">
        <v>863</v>
      </c>
      <c r="AL183" s="61">
        <v>3650</v>
      </c>
      <c r="AM183" s="53" t="s">
        <v>88</v>
      </c>
      <c r="AN183" s="42">
        <v>0</v>
      </c>
      <c r="AO183" s="54">
        <f>IF(AL183="","***",IF(AL183&gt;15000,3,IF(AL183&lt;1000,1,2)))</f>
        <v>2</v>
      </c>
      <c r="AP183" s="53">
        <v>2</v>
      </c>
      <c r="AQ183" s="53">
        <f t="shared" si="7"/>
        <v>4</v>
      </c>
      <c r="AR183" s="53"/>
      <c r="AS183" s="55"/>
      <c r="AT183" s="42">
        <v>0</v>
      </c>
      <c r="AU183" s="42" t="s">
        <v>115</v>
      </c>
      <c r="AV183" s="44">
        <v>1</v>
      </c>
      <c r="AW183" s="44">
        <f t="shared" si="8"/>
        <v>3</v>
      </c>
      <c r="AX183" s="42">
        <v>1</v>
      </c>
      <c r="AY183" s="42">
        <f t="shared" si="9"/>
        <v>3</v>
      </c>
      <c r="AZ183" s="42" t="s">
        <v>1008</v>
      </c>
      <c r="BA183" s="77" t="s">
        <v>865</v>
      </c>
      <c r="BB183" s="57" t="s">
        <v>602</v>
      </c>
      <c r="BC183" s="58" t="s">
        <v>603</v>
      </c>
      <c r="BD183" s="58" t="s">
        <v>609</v>
      </c>
      <c r="BE183" s="59">
        <v>1</v>
      </c>
      <c r="BF183" s="58">
        <v>2</v>
      </c>
      <c r="BG183" s="58">
        <f t="shared" si="10"/>
        <v>0</v>
      </c>
      <c r="BH183" s="58" t="s">
        <v>605</v>
      </c>
      <c r="BI183" s="58" t="s">
        <v>1009</v>
      </c>
      <c r="BJ183" s="60" t="s">
        <v>90</v>
      </c>
      <c r="BK183" s="61">
        <v>1</v>
      </c>
      <c r="BL183" s="62">
        <v>1</v>
      </c>
      <c r="BM183" s="62">
        <f t="shared" si="11"/>
        <v>0</v>
      </c>
      <c r="BN183" s="58" t="s">
        <v>607</v>
      </c>
      <c r="BO183" s="59"/>
      <c r="BP183" s="59">
        <v>26</v>
      </c>
      <c r="BQ183" s="63">
        <f t="shared" si="52"/>
        <v>2</v>
      </c>
      <c r="BR183" s="45">
        <v>1</v>
      </c>
      <c r="BS183" s="45">
        <f t="shared" si="13"/>
        <v>0.3010299956639812</v>
      </c>
      <c r="BU183" s="46"/>
      <c r="BV183" s="64">
        <v>3</v>
      </c>
      <c r="BW183" s="54">
        <f>IF(BV183&lt;2.5,1,IF(BV183&gt;3.5,3,2))</f>
        <v>2</v>
      </c>
      <c r="BX183" s="45">
        <v>1</v>
      </c>
      <c r="BY183" s="45">
        <f>BX183*LOG(BW183)</f>
        <v>0.3010299956639812</v>
      </c>
      <c r="BZ183" s="61" t="s">
        <v>1010</v>
      </c>
      <c r="CA183" s="46"/>
      <c r="CB183" s="65">
        <v>3929</v>
      </c>
      <c r="CC183" s="45">
        <v>2</v>
      </c>
      <c r="CD183" s="45">
        <v>2</v>
      </c>
      <c r="CE183" s="45">
        <f t="shared" si="16"/>
        <v>0.6020599913279624</v>
      </c>
      <c r="CG183" s="46"/>
      <c r="CH183" s="66" t="s">
        <v>137</v>
      </c>
      <c r="CI183" s="67">
        <v>2</v>
      </c>
      <c r="CJ183" s="68">
        <v>2</v>
      </c>
      <c r="CK183" s="68">
        <f t="shared" si="17"/>
        <v>0.6020599913279624</v>
      </c>
      <c r="CL183" s="68"/>
      <c r="CM183" s="69"/>
      <c r="CO183" s="70">
        <f>(SUM(T183,AA183,AI183,AQ183,AY183)/SUM(S183,Z183,AH183,AP183,AX183,BF183))</f>
        <v>1.5555555555555556</v>
      </c>
      <c r="CQ183" s="45">
        <f t="shared" si="19"/>
        <v>0.20068666377598746</v>
      </c>
      <c r="CR183" s="45">
        <f t="shared" si="20"/>
        <v>1.5874010519681996</v>
      </c>
      <c r="CT183" s="71">
        <f t="shared" si="21"/>
        <v>1.5593138712073868</v>
      </c>
    </row>
    <row r="184" spans="1:98" ht="16">
      <c r="A184" s="36">
        <v>182</v>
      </c>
      <c r="B184" s="37"/>
      <c r="C184" s="37"/>
      <c r="D184" s="37"/>
      <c r="E184" s="38" t="s">
        <v>1011</v>
      </c>
      <c r="F184" s="38" t="s">
        <v>429</v>
      </c>
      <c r="G184" s="38" t="s">
        <v>1012</v>
      </c>
      <c r="H184" s="38" t="s">
        <v>152</v>
      </c>
      <c r="I184" s="72">
        <v>6</v>
      </c>
      <c r="J184" s="53" t="s">
        <v>88</v>
      </c>
      <c r="K184" s="42">
        <v>0</v>
      </c>
      <c r="L184" s="42">
        <v>2</v>
      </c>
      <c r="M184" s="42">
        <v>1</v>
      </c>
      <c r="N184" s="42">
        <f t="shared" si="0"/>
        <v>2</v>
      </c>
      <c r="O184" s="214" t="s">
        <v>1013</v>
      </c>
      <c r="P184" s="53" t="s">
        <v>652</v>
      </c>
      <c r="Q184" s="43">
        <v>9.1</v>
      </c>
      <c r="R184" s="44">
        <f>IF(Q184="","***",IF(Q184&lt;30,3,IF(Q184&gt;60,1,2)))</f>
        <v>3</v>
      </c>
      <c r="S184" s="45">
        <v>1</v>
      </c>
      <c r="T184" s="45">
        <f t="shared" si="2"/>
        <v>3</v>
      </c>
      <c r="V184" s="46"/>
      <c r="W184" s="58" t="s">
        <v>112</v>
      </c>
      <c r="X184" s="73">
        <v>3.1</v>
      </c>
      <c r="Y184" s="44">
        <f t="shared" si="3"/>
        <v>2</v>
      </c>
      <c r="Z184" s="45">
        <v>1</v>
      </c>
      <c r="AA184" s="45">
        <f t="shared" si="4"/>
        <v>2</v>
      </c>
      <c r="AB184" s="45">
        <v>1</v>
      </c>
      <c r="AD184" s="49" t="s">
        <v>362</v>
      </c>
      <c r="AE184" s="50" t="s">
        <v>88</v>
      </c>
      <c r="AF184" s="50">
        <v>0</v>
      </c>
      <c r="AG184" s="50">
        <v>2</v>
      </c>
      <c r="AH184" s="50">
        <v>2</v>
      </c>
      <c r="AI184" s="50">
        <f t="shared" si="5"/>
        <v>4</v>
      </c>
      <c r="AJ184" s="50">
        <v>1</v>
      </c>
      <c r="AK184" s="51" t="s">
        <v>156</v>
      </c>
      <c r="AL184" s="61">
        <v>539520</v>
      </c>
      <c r="AM184" s="53" t="s">
        <v>146</v>
      </c>
      <c r="AN184" s="42">
        <v>2</v>
      </c>
      <c r="AO184" s="54">
        <f>IF(AL184="","***",IF(AL184&gt;15000,3,IF(AL184&lt;1000,1,2)))</f>
        <v>3</v>
      </c>
      <c r="AP184" s="53">
        <v>2</v>
      </c>
      <c r="AQ184" s="53">
        <f t="shared" si="7"/>
        <v>6</v>
      </c>
      <c r="AR184" s="53"/>
      <c r="AS184" s="55"/>
      <c r="AT184" s="53">
        <v>26.425000000000001</v>
      </c>
      <c r="AU184" s="42" t="s">
        <v>115</v>
      </c>
      <c r="AV184" s="44">
        <v>1</v>
      </c>
      <c r="AW184" s="44">
        <f t="shared" si="8"/>
        <v>2</v>
      </c>
      <c r="AX184" s="42">
        <v>1</v>
      </c>
      <c r="AY184" s="42">
        <f t="shared" si="9"/>
        <v>2</v>
      </c>
      <c r="AZ184" s="42" t="s">
        <v>340</v>
      </c>
      <c r="BA184" s="77" t="s">
        <v>540</v>
      </c>
      <c r="BB184" s="57" t="s">
        <v>642</v>
      </c>
      <c r="BC184" s="58" t="s">
        <v>643</v>
      </c>
      <c r="BD184" s="58" t="s">
        <v>609</v>
      </c>
      <c r="BE184" s="59">
        <v>2</v>
      </c>
      <c r="BF184" s="58">
        <v>2</v>
      </c>
      <c r="BG184" s="58">
        <f t="shared" si="10"/>
        <v>0.6020599913279624</v>
      </c>
      <c r="BH184" s="58" t="s">
        <v>605</v>
      </c>
      <c r="BI184" s="58" t="s">
        <v>644</v>
      </c>
      <c r="BJ184" s="60" t="s">
        <v>90</v>
      </c>
      <c r="BK184" s="61">
        <v>1</v>
      </c>
      <c r="BL184" s="62">
        <v>1</v>
      </c>
      <c r="BM184" s="62">
        <f t="shared" si="11"/>
        <v>0</v>
      </c>
      <c r="BN184" s="58" t="s">
        <v>607</v>
      </c>
      <c r="BO184" s="59"/>
      <c r="BP184" s="59">
        <v>16</v>
      </c>
      <c r="BQ184" s="63">
        <f t="shared" si="52"/>
        <v>2</v>
      </c>
      <c r="BR184" s="45">
        <v>1</v>
      </c>
      <c r="BS184" s="45">
        <f t="shared" si="13"/>
        <v>0.3010299956639812</v>
      </c>
      <c r="BU184" s="46"/>
      <c r="BV184" s="64">
        <v>1</v>
      </c>
      <c r="BW184" s="54">
        <f>IF(BV184&lt;2.5,1,IF(BV184&gt;3.5,3,2))</f>
        <v>1</v>
      </c>
      <c r="BX184" s="45">
        <v>1</v>
      </c>
      <c r="BY184" s="45">
        <f>BX184*LOG(BW184)</f>
        <v>0</v>
      </c>
      <c r="BZ184" s="61" t="s">
        <v>91</v>
      </c>
      <c r="CA184" s="46"/>
      <c r="CB184" s="65">
        <v>3922</v>
      </c>
      <c r="CC184" s="45">
        <v>2</v>
      </c>
      <c r="CD184" s="45">
        <v>2</v>
      </c>
      <c r="CE184" s="45">
        <f t="shared" si="16"/>
        <v>0.6020599913279624</v>
      </c>
      <c r="CG184" s="46"/>
      <c r="CH184" s="66" t="s">
        <v>137</v>
      </c>
      <c r="CI184" s="67">
        <v>2</v>
      </c>
      <c r="CJ184" s="68">
        <v>2</v>
      </c>
      <c r="CK184" s="68">
        <f t="shared" si="17"/>
        <v>0.6020599913279624</v>
      </c>
      <c r="CL184" s="68"/>
      <c r="CM184" s="69"/>
      <c r="CO184" s="70">
        <f>(SUM(T184,AA184,AI184,AQ184,AY184)/SUM(S184,Z184,AH184,AP184,AX184,BF184))</f>
        <v>1.8888888888888888</v>
      </c>
      <c r="CQ184" s="45">
        <f t="shared" si="19"/>
        <v>0.23413444107198536</v>
      </c>
      <c r="CR184" s="45">
        <f t="shared" si="20"/>
        <v>1.7144879657061456</v>
      </c>
      <c r="CT184" s="71">
        <f t="shared" si="21"/>
        <v>1.3210075527314271</v>
      </c>
    </row>
    <row r="185" spans="1:98" ht="16" hidden="1">
      <c r="A185" s="36">
        <v>183</v>
      </c>
      <c r="B185" s="37"/>
      <c r="C185" s="37" t="s">
        <v>144</v>
      </c>
      <c r="D185" s="37" t="s">
        <v>686</v>
      </c>
      <c r="E185" s="38" t="s">
        <v>1014</v>
      </c>
      <c r="F185" s="38" t="s">
        <v>483</v>
      </c>
      <c r="G185" s="38" t="s">
        <v>688</v>
      </c>
      <c r="H185" s="38" t="s">
        <v>286</v>
      </c>
      <c r="I185" s="87"/>
      <c r="J185" s="53"/>
      <c r="K185" s="53"/>
      <c r="L185" s="53"/>
      <c r="M185" s="42">
        <v>1</v>
      </c>
      <c r="N185" s="42">
        <f t="shared" si="0"/>
        <v>0</v>
      </c>
      <c r="O185" s="53"/>
      <c r="P185" s="53"/>
      <c r="Q185" s="43"/>
      <c r="R185" s="44" t="str">
        <f>IF(Q185="","***",IF(Q185&lt;5,3,IF(Q185&lt;15,2,1)))</f>
        <v>***</v>
      </c>
      <c r="S185" s="45">
        <v>1</v>
      </c>
      <c r="T185" s="45" t="e">
        <f t="shared" si="2"/>
        <v>#VALUE!</v>
      </c>
      <c r="V185" s="46"/>
      <c r="W185" s="58"/>
      <c r="X185" s="88"/>
      <c r="Y185" s="44" t="str">
        <f t="shared" si="3"/>
        <v>***</v>
      </c>
      <c r="Z185" s="45">
        <v>1</v>
      </c>
      <c r="AA185" s="45" t="e">
        <f t="shared" si="4"/>
        <v>#VALUE!</v>
      </c>
      <c r="AB185" s="45">
        <v>1</v>
      </c>
      <c r="AD185" s="49" t="s">
        <v>163</v>
      </c>
      <c r="AE185" s="50" t="s">
        <v>146</v>
      </c>
      <c r="AF185" s="50">
        <v>2</v>
      </c>
      <c r="AG185" s="50">
        <v>3</v>
      </c>
      <c r="AH185" s="50">
        <v>2</v>
      </c>
      <c r="AI185" s="50">
        <f t="shared" si="5"/>
        <v>6</v>
      </c>
      <c r="AJ185" s="50" t="s">
        <v>755</v>
      </c>
      <c r="AK185" s="51"/>
      <c r="AL185" s="61"/>
      <c r="AM185" s="53"/>
      <c r="AN185" s="42"/>
      <c r="AO185" s="42"/>
      <c r="AP185" s="53">
        <v>2</v>
      </c>
      <c r="AQ185" s="53">
        <f t="shared" si="7"/>
        <v>0</v>
      </c>
      <c r="AR185" s="53"/>
      <c r="AS185" s="55"/>
      <c r="AT185" s="89"/>
      <c r="AU185" s="42"/>
      <c r="AV185" s="44"/>
      <c r="AW185" s="44" t="str">
        <f t="shared" si="8"/>
        <v>***</v>
      </c>
      <c r="AX185" s="42">
        <v>1</v>
      </c>
      <c r="AY185" s="42" t="e">
        <f t="shared" si="9"/>
        <v>#VALUE!</v>
      </c>
      <c r="AZ185" s="89"/>
      <c r="BA185" s="89"/>
      <c r="BB185" s="57"/>
      <c r="BC185" s="58"/>
      <c r="BD185" s="58"/>
      <c r="BE185" s="58"/>
      <c r="BF185" s="58">
        <v>2</v>
      </c>
      <c r="BG185" s="58" t="e">
        <f t="shared" si="10"/>
        <v>#NUM!</v>
      </c>
      <c r="BH185" s="58" t="s">
        <v>605</v>
      </c>
      <c r="BI185" s="58"/>
      <c r="BJ185" s="81" t="s">
        <v>166</v>
      </c>
      <c r="BK185" s="61">
        <v>3</v>
      </c>
      <c r="BL185" s="62">
        <v>1</v>
      </c>
      <c r="BM185" s="62">
        <f t="shared" si="11"/>
        <v>0.47712125471966244</v>
      </c>
      <c r="BN185" s="58" t="s">
        <v>607</v>
      </c>
      <c r="BO185" s="59"/>
      <c r="BP185" s="59"/>
      <c r="BQ185" s="90"/>
      <c r="BR185" s="45">
        <v>1</v>
      </c>
      <c r="BS185" s="45" t="e">
        <f t="shared" si="13"/>
        <v>#NUM!</v>
      </c>
      <c r="BU185" s="46"/>
      <c r="BV185" s="64"/>
      <c r="BW185" s="45"/>
      <c r="BX185" s="45">
        <v>1</v>
      </c>
      <c r="BY185" s="45" t="e">
        <f>BX185*LOG(BV185)</f>
        <v>#NUM!</v>
      </c>
      <c r="BZ185" s="61"/>
      <c r="CA185" s="46"/>
      <c r="CB185" s="65">
        <v>3906</v>
      </c>
      <c r="CC185" s="45">
        <v>2</v>
      </c>
      <c r="CD185" s="45">
        <v>2</v>
      </c>
      <c r="CE185" s="45">
        <f t="shared" si="16"/>
        <v>0.6020599913279624</v>
      </c>
      <c r="CG185" s="46"/>
      <c r="CH185" s="66" t="s">
        <v>92</v>
      </c>
      <c r="CI185" s="67">
        <v>3</v>
      </c>
      <c r="CJ185" s="68">
        <v>1</v>
      </c>
      <c r="CK185" s="68">
        <f t="shared" si="17"/>
        <v>0.47712125471966244</v>
      </c>
      <c r="CL185" s="68"/>
      <c r="CM185" s="69"/>
      <c r="CO185" s="70" t="e">
        <f>(SUM(N185,T185,AA185,AI185,AQ185,AY185)/SUM(M185,S185,Z185,AH185,AP185,AX185,BF185))</f>
        <v>#VALUE!</v>
      </c>
      <c r="CQ185" s="45" t="e">
        <f t="shared" si="19"/>
        <v>#NUM!</v>
      </c>
      <c r="CR185" s="45" t="e">
        <f t="shared" si="20"/>
        <v>#NUM!</v>
      </c>
      <c r="CT185" s="71" t="e">
        <f t="shared" si="21"/>
        <v>#VALUE!</v>
      </c>
    </row>
    <row r="186" spans="1:98" ht="16">
      <c r="A186" s="36">
        <v>184</v>
      </c>
      <c r="B186" s="37"/>
      <c r="C186" s="37"/>
      <c r="D186" s="37"/>
      <c r="E186" s="38" t="s">
        <v>1015</v>
      </c>
      <c r="F186" s="38" t="s">
        <v>1016</v>
      </c>
      <c r="G186" s="38" t="s">
        <v>1017</v>
      </c>
      <c r="H186" s="38" t="s">
        <v>160</v>
      </c>
      <c r="I186" s="72">
        <v>12.5</v>
      </c>
      <c r="J186" s="53" t="s">
        <v>88</v>
      </c>
      <c r="K186" s="42">
        <v>0</v>
      </c>
      <c r="L186" s="42">
        <v>2</v>
      </c>
      <c r="M186" s="42">
        <v>1</v>
      </c>
      <c r="N186" s="42">
        <f t="shared" si="0"/>
        <v>2</v>
      </c>
      <c r="O186" s="214" t="s">
        <v>1018</v>
      </c>
      <c r="P186" s="53" t="s">
        <v>652</v>
      </c>
      <c r="Q186" s="43">
        <v>24</v>
      </c>
      <c r="R186" s="44">
        <f>IF(Q186="","***",IF(Q186&lt;30,3,IF(Q186&gt;60,1,2)))</f>
        <v>3</v>
      </c>
      <c r="S186" s="45">
        <v>1</v>
      </c>
      <c r="T186" s="45">
        <f t="shared" si="2"/>
        <v>3</v>
      </c>
      <c r="V186" s="46"/>
      <c r="W186" s="58" t="s">
        <v>178</v>
      </c>
      <c r="X186" s="73">
        <v>3.4</v>
      </c>
      <c r="Y186" s="44">
        <f t="shared" si="3"/>
        <v>2</v>
      </c>
      <c r="Z186" s="45">
        <v>1</v>
      </c>
      <c r="AA186" s="45">
        <f t="shared" si="4"/>
        <v>2</v>
      </c>
      <c r="AB186" s="45">
        <v>1</v>
      </c>
      <c r="AD186" s="49" t="s">
        <v>163</v>
      </c>
      <c r="AE186" s="50" t="s">
        <v>146</v>
      </c>
      <c r="AF186" s="50">
        <v>2</v>
      </c>
      <c r="AG186" s="50">
        <v>3</v>
      </c>
      <c r="AH186" s="50">
        <v>2</v>
      </c>
      <c r="AI186" s="50">
        <f t="shared" si="5"/>
        <v>6</v>
      </c>
      <c r="AJ186" s="50">
        <v>1</v>
      </c>
      <c r="AK186" s="51" t="s">
        <v>165</v>
      </c>
      <c r="AL186" s="61">
        <v>66943</v>
      </c>
      <c r="AM186" s="53" t="s">
        <v>146</v>
      </c>
      <c r="AN186" s="42">
        <v>2</v>
      </c>
      <c r="AO186" s="54">
        <f>IF(AL186="","***",IF(AL186&gt;15000,3,IF(AL186&lt;1000,1,2)))</f>
        <v>3</v>
      </c>
      <c r="AP186" s="53">
        <v>2</v>
      </c>
      <c r="AQ186" s="53">
        <f t="shared" si="7"/>
        <v>6</v>
      </c>
      <c r="AR186" s="53"/>
      <c r="AS186" s="55"/>
      <c r="AT186" s="42">
        <v>25</v>
      </c>
      <c r="AU186" s="42" t="s">
        <v>115</v>
      </c>
      <c r="AV186" s="44">
        <v>1</v>
      </c>
      <c r="AW186" s="44">
        <f t="shared" si="8"/>
        <v>2</v>
      </c>
      <c r="AX186" s="42">
        <v>1</v>
      </c>
      <c r="AY186" s="42">
        <f t="shared" si="9"/>
        <v>2</v>
      </c>
      <c r="AZ186" s="42">
        <v>89</v>
      </c>
      <c r="BA186" s="53" t="s">
        <v>1019</v>
      </c>
      <c r="BB186" s="57" t="s">
        <v>602</v>
      </c>
      <c r="BC186" s="58" t="s">
        <v>603</v>
      </c>
      <c r="BD186" s="58" t="s">
        <v>609</v>
      </c>
      <c r="BE186" s="59">
        <v>1</v>
      </c>
      <c r="BF186" s="58">
        <v>2</v>
      </c>
      <c r="BG186" s="58">
        <f t="shared" si="10"/>
        <v>0</v>
      </c>
      <c r="BH186" s="58" t="s">
        <v>605</v>
      </c>
      <c r="BI186" s="58" t="s">
        <v>610</v>
      </c>
      <c r="BJ186" s="81" t="s">
        <v>166</v>
      </c>
      <c r="BK186" s="61">
        <v>3</v>
      </c>
      <c r="BL186" s="62">
        <v>1</v>
      </c>
      <c r="BM186" s="62">
        <f t="shared" si="11"/>
        <v>0.47712125471966244</v>
      </c>
      <c r="BN186" s="58" t="s">
        <v>607</v>
      </c>
      <c r="BO186" s="59"/>
      <c r="BP186" s="59">
        <v>30</v>
      </c>
      <c r="BQ186" s="63">
        <f>IF(BP186&lt;10,3,IF(BP186&lt;30,2,1))</f>
        <v>1</v>
      </c>
      <c r="BR186" s="45">
        <v>1</v>
      </c>
      <c r="BS186" s="45">
        <f t="shared" si="13"/>
        <v>0</v>
      </c>
      <c r="BU186" s="46"/>
      <c r="BV186" s="64">
        <v>1.5</v>
      </c>
      <c r="BW186" s="54">
        <f>IF(BV186&lt;2.5,1,IF(BV186&gt;3.5,3,2))</f>
        <v>1</v>
      </c>
      <c r="BX186" s="45">
        <v>1</v>
      </c>
      <c r="BY186" s="45">
        <f>BX186*LOG(BW186)</f>
        <v>0</v>
      </c>
      <c r="BZ186" s="61" t="s">
        <v>99</v>
      </c>
      <c r="CA186" s="46"/>
      <c r="CB186" s="65">
        <v>3818</v>
      </c>
      <c r="CC186" s="45">
        <v>2</v>
      </c>
      <c r="CD186" s="45">
        <v>2</v>
      </c>
      <c r="CE186" s="45">
        <f t="shared" si="16"/>
        <v>0.6020599913279624</v>
      </c>
      <c r="CG186" s="46"/>
      <c r="CH186" s="66" t="s">
        <v>106</v>
      </c>
      <c r="CI186" s="67">
        <v>3</v>
      </c>
      <c r="CJ186" s="68">
        <v>2</v>
      </c>
      <c r="CK186" s="68">
        <f t="shared" si="17"/>
        <v>0.95424250943932487</v>
      </c>
      <c r="CL186" s="68"/>
      <c r="CM186" s="69"/>
      <c r="CO186" s="70">
        <f>(SUM(T186,AA186,AI186,AQ186,AY186)/SUM(S186,Z186,AH186,AP186,AX186,BF186))</f>
        <v>2.1111111111111112</v>
      </c>
      <c r="CQ186" s="45">
        <f t="shared" si="19"/>
        <v>0.22593597283188332</v>
      </c>
      <c r="CR186" s="45">
        <f t="shared" si="20"/>
        <v>1.682426006079768</v>
      </c>
      <c r="CT186" s="71">
        <f t="shared" si="21"/>
        <v>1.120637635707505</v>
      </c>
    </row>
    <row r="187" spans="1:98" ht="16">
      <c r="A187" s="36">
        <v>185</v>
      </c>
      <c r="B187" s="37"/>
      <c r="C187" s="37"/>
      <c r="D187" s="37"/>
      <c r="E187" s="38" t="s">
        <v>1020</v>
      </c>
      <c r="F187" s="38" t="s">
        <v>124</v>
      </c>
      <c r="G187" s="38" t="s">
        <v>1021</v>
      </c>
      <c r="H187" s="38" t="s">
        <v>83</v>
      </c>
      <c r="I187" s="72">
        <v>17</v>
      </c>
      <c r="J187" s="53" t="s">
        <v>88</v>
      </c>
      <c r="K187" s="42">
        <v>0</v>
      </c>
      <c r="L187" s="42">
        <v>2</v>
      </c>
      <c r="M187" s="42">
        <v>1</v>
      </c>
      <c r="N187" s="42">
        <f t="shared" si="0"/>
        <v>2</v>
      </c>
      <c r="O187" s="214" t="s">
        <v>1022</v>
      </c>
      <c r="P187" s="53" t="s">
        <v>652</v>
      </c>
      <c r="Q187" s="43">
        <v>15</v>
      </c>
      <c r="R187" s="44">
        <f>IF(Q187="","***",IF(Q187&lt;30,3,IF(Q187&gt;60,1,2)))</f>
        <v>3</v>
      </c>
      <c r="S187" s="45">
        <v>1</v>
      </c>
      <c r="T187" s="45">
        <f t="shared" si="2"/>
        <v>3</v>
      </c>
      <c r="V187" s="46"/>
      <c r="W187" s="58" t="s">
        <v>258</v>
      </c>
      <c r="X187" s="73">
        <v>2.7</v>
      </c>
      <c r="Y187" s="44">
        <f t="shared" si="3"/>
        <v>2</v>
      </c>
      <c r="Z187" s="45">
        <v>1</v>
      </c>
      <c r="AA187" s="45">
        <f t="shared" si="4"/>
        <v>2</v>
      </c>
      <c r="AB187" s="45">
        <v>1</v>
      </c>
      <c r="AD187" s="49" t="s">
        <v>1023</v>
      </c>
      <c r="AE187" s="50" t="s">
        <v>88</v>
      </c>
      <c r="AF187" s="50">
        <v>0</v>
      </c>
      <c r="AG187" s="50">
        <v>3</v>
      </c>
      <c r="AH187" s="50">
        <v>2</v>
      </c>
      <c r="AI187" s="50">
        <f t="shared" si="5"/>
        <v>6</v>
      </c>
      <c r="AJ187" s="50">
        <v>1</v>
      </c>
      <c r="AK187" s="51" t="s">
        <v>89</v>
      </c>
      <c r="AL187" s="52">
        <v>12730</v>
      </c>
      <c r="AM187" s="53" t="s">
        <v>115</v>
      </c>
      <c r="AN187" s="42">
        <v>1</v>
      </c>
      <c r="AO187" s="54">
        <f>IF(AL187="","***",IF(AL187&gt;15000,3,IF(AL187&lt;1000,1,2)))</f>
        <v>2</v>
      </c>
      <c r="AP187" s="53">
        <v>2</v>
      </c>
      <c r="AQ187" s="53">
        <f t="shared" si="7"/>
        <v>4</v>
      </c>
      <c r="AR187" s="53"/>
      <c r="AS187" s="55"/>
      <c r="AT187" s="42">
        <v>17</v>
      </c>
      <c r="AU187" s="42" t="s">
        <v>115</v>
      </c>
      <c r="AV187" s="44">
        <v>1</v>
      </c>
      <c r="AW187" s="44">
        <f t="shared" si="8"/>
        <v>2</v>
      </c>
      <c r="AX187" s="42">
        <v>1</v>
      </c>
      <c r="AY187" s="42">
        <f t="shared" si="9"/>
        <v>2</v>
      </c>
      <c r="AZ187" s="42" t="s">
        <v>197</v>
      </c>
      <c r="BA187" s="53" t="s">
        <v>681</v>
      </c>
      <c r="BB187" s="57" t="s">
        <v>642</v>
      </c>
      <c r="BC187" s="58" t="s">
        <v>643</v>
      </c>
      <c r="BD187" s="58" t="s">
        <v>604</v>
      </c>
      <c r="BE187" s="59">
        <v>3</v>
      </c>
      <c r="BF187" s="58">
        <v>2</v>
      </c>
      <c r="BG187" s="58">
        <f t="shared" si="10"/>
        <v>0.95424250943932487</v>
      </c>
      <c r="BH187" s="58" t="s">
        <v>605</v>
      </c>
      <c r="BI187" s="58" t="s">
        <v>1024</v>
      </c>
      <c r="BJ187" s="60" t="s">
        <v>90</v>
      </c>
      <c r="BK187" s="61">
        <v>1</v>
      </c>
      <c r="BL187" s="62">
        <v>1</v>
      </c>
      <c r="BM187" s="62">
        <f t="shared" si="11"/>
        <v>0</v>
      </c>
      <c r="BN187" s="58" t="s">
        <v>607</v>
      </c>
      <c r="BO187" s="59"/>
      <c r="BP187" s="59">
        <v>15.5</v>
      </c>
      <c r="BQ187" s="63">
        <f>IF(BP187&lt;10,3,IF(BP187&lt;30,2,1))</f>
        <v>2</v>
      </c>
      <c r="BR187" s="45">
        <v>1</v>
      </c>
      <c r="BS187" s="45">
        <f t="shared" si="13"/>
        <v>0.3010299956639812</v>
      </c>
      <c r="BU187" s="46"/>
      <c r="BV187" s="64">
        <v>1.3333333329999999</v>
      </c>
      <c r="BW187" s="54">
        <f>IF(BV187&lt;2.5,1,IF(BV187&gt;3.5,3,2))</f>
        <v>1</v>
      </c>
      <c r="BX187" s="45">
        <v>1</v>
      </c>
      <c r="BY187" s="45">
        <f>BX187*LOG(BW187)</f>
        <v>0</v>
      </c>
      <c r="BZ187" s="61" t="s">
        <v>381</v>
      </c>
      <c r="CA187" s="46"/>
      <c r="CB187" s="65">
        <v>3800</v>
      </c>
      <c r="CC187" s="45">
        <v>2</v>
      </c>
      <c r="CD187" s="45">
        <v>2</v>
      </c>
      <c r="CE187" s="45">
        <f t="shared" si="16"/>
        <v>0.6020599913279624</v>
      </c>
      <c r="CG187" s="46"/>
      <c r="CH187" s="66" t="s">
        <v>106</v>
      </c>
      <c r="CI187" s="67">
        <v>3</v>
      </c>
      <c r="CJ187" s="68">
        <v>2</v>
      </c>
      <c r="CK187" s="68">
        <f t="shared" si="17"/>
        <v>0.95424250943932487</v>
      </c>
      <c r="CL187" s="68"/>
      <c r="CM187" s="69"/>
      <c r="CO187" s="70">
        <f>(SUM(T187,AA187,AI187,AQ187,AY187)/SUM(S187,Z187,AH187,AP187,AX187,BF187))</f>
        <v>1.8888888888888888</v>
      </c>
      <c r="CQ187" s="45">
        <f t="shared" si="19"/>
        <v>0.31239722287451038</v>
      </c>
      <c r="CR187" s="45">
        <f t="shared" si="20"/>
        <v>2.0530391109397983</v>
      </c>
      <c r="CT187" s="71">
        <f t="shared" si="21"/>
        <v>1.5308361344061125</v>
      </c>
    </row>
    <row r="188" spans="1:98" ht="16" hidden="1">
      <c r="A188" s="36">
        <v>186</v>
      </c>
      <c r="B188" s="37"/>
      <c r="C188" s="37" t="s">
        <v>144</v>
      </c>
      <c r="D188" s="37" t="s">
        <v>686</v>
      </c>
      <c r="E188" s="38" t="s">
        <v>1025</v>
      </c>
      <c r="F188" s="38" t="s">
        <v>1026</v>
      </c>
      <c r="G188" s="38" t="s">
        <v>688</v>
      </c>
      <c r="H188" s="38" t="s">
        <v>152</v>
      </c>
      <c r="I188" s="87"/>
      <c r="J188" s="53"/>
      <c r="K188" s="53"/>
      <c r="L188" s="53"/>
      <c r="M188" s="42">
        <v>1</v>
      </c>
      <c r="N188" s="42">
        <f t="shared" si="0"/>
        <v>0</v>
      </c>
      <c r="O188" s="53"/>
      <c r="P188" s="53"/>
      <c r="Q188" s="43"/>
      <c r="R188" s="44" t="str">
        <f>IF(Q188="","***",IF(Q188&lt;5,3,IF(Q188&lt;15,2,1)))</f>
        <v>***</v>
      </c>
      <c r="S188" s="45">
        <v>1</v>
      </c>
      <c r="T188" s="45" t="e">
        <f t="shared" si="2"/>
        <v>#VALUE!</v>
      </c>
      <c r="V188" s="46"/>
      <c r="W188" s="58" t="s">
        <v>133</v>
      </c>
      <c r="X188" s="73">
        <v>3.3</v>
      </c>
      <c r="Y188" s="44">
        <f t="shared" si="3"/>
        <v>2</v>
      </c>
      <c r="Z188" s="45">
        <v>1</v>
      </c>
      <c r="AA188" s="45">
        <f t="shared" si="4"/>
        <v>2</v>
      </c>
      <c r="AB188" s="45">
        <v>1</v>
      </c>
      <c r="AD188" s="49" t="s">
        <v>155</v>
      </c>
      <c r="AE188" s="50" t="s">
        <v>88</v>
      </c>
      <c r="AF188" s="50">
        <v>0</v>
      </c>
      <c r="AG188" s="50">
        <v>2</v>
      </c>
      <c r="AH188" s="50">
        <v>2</v>
      </c>
      <c r="AI188" s="50">
        <f t="shared" si="5"/>
        <v>4</v>
      </c>
      <c r="AJ188" s="50">
        <v>1</v>
      </c>
      <c r="AK188" s="51" t="s">
        <v>156</v>
      </c>
      <c r="AL188" s="61"/>
      <c r="AM188" s="53"/>
      <c r="AN188" s="42"/>
      <c r="AO188" s="42"/>
      <c r="AP188" s="53">
        <v>2</v>
      </c>
      <c r="AQ188" s="53">
        <f t="shared" si="7"/>
        <v>0</v>
      </c>
      <c r="AR188" s="53"/>
      <c r="AS188" s="55"/>
      <c r="AT188" s="89"/>
      <c r="AU188" s="42"/>
      <c r="AV188" s="44"/>
      <c r="AW188" s="44" t="str">
        <f t="shared" si="8"/>
        <v>***</v>
      </c>
      <c r="AX188" s="42">
        <v>1</v>
      </c>
      <c r="AY188" s="42" t="e">
        <f t="shared" si="9"/>
        <v>#VALUE!</v>
      </c>
      <c r="AZ188" s="89"/>
      <c r="BA188" s="89"/>
      <c r="BB188" s="57"/>
      <c r="BC188" s="58"/>
      <c r="BD188" s="58"/>
      <c r="BE188" s="58"/>
      <c r="BF188" s="58">
        <v>2</v>
      </c>
      <c r="BG188" s="58" t="e">
        <f t="shared" si="10"/>
        <v>#NUM!</v>
      </c>
      <c r="BH188" s="58" t="s">
        <v>605</v>
      </c>
      <c r="BI188" s="58"/>
      <c r="BJ188" s="60" t="s">
        <v>90</v>
      </c>
      <c r="BK188" s="61">
        <v>1</v>
      </c>
      <c r="BL188" s="62">
        <v>1</v>
      </c>
      <c r="BM188" s="62">
        <f t="shared" si="11"/>
        <v>0</v>
      </c>
      <c r="BN188" s="58" t="s">
        <v>607</v>
      </c>
      <c r="BO188" s="59"/>
      <c r="BP188" s="59"/>
      <c r="BQ188" s="90"/>
      <c r="BR188" s="45">
        <v>1</v>
      </c>
      <c r="BS188" s="45" t="e">
        <f t="shared" si="13"/>
        <v>#NUM!</v>
      </c>
      <c r="BU188" s="46"/>
      <c r="BV188" s="64"/>
      <c r="BW188" s="45"/>
      <c r="BX188" s="45">
        <v>1</v>
      </c>
      <c r="BY188" s="45" t="e">
        <f>BX188*LOG(BV188)</f>
        <v>#NUM!</v>
      </c>
      <c r="BZ188" s="61"/>
      <c r="CA188" s="46"/>
      <c r="CB188" s="65">
        <v>3794</v>
      </c>
      <c r="CC188" s="45">
        <v>2</v>
      </c>
      <c r="CD188" s="45">
        <v>2</v>
      </c>
      <c r="CE188" s="45">
        <f t="shared" si="16"/>
        <v>0.6020599913279624</v>
      </c>
      <c r="CG188" s="46"/>
      <c r="CH188" s="66" t="s">
        <v>92</v>
      </c>
      <c r="CI188" s="67">
        <v>3</v>
      </c>
      <c r="CJ188" s="68">
        <v>1</v>
      </c>
      <c r="CK188" s="68">
        <f t="shared" si="17"/>
        <v>0.47712125471966244</v>
      </c>
      <c r="CL188" s="68"/>
      <c r="CM188" s="69"/>
      <c r="CO188" s="70" t="e">
        <f>(SUM(N188,T188,AA188,AI188,AQ188,AY188)/SUM(M188,S188,Z188,AH188,AP188,AX188,BF188))</f>
        <v>#VALUE!</v>
      </c>
      <c r="CQ188" s="45" t="e">
        <f t="shared" si="19"/>
        <v>#NUM!</v>
      </c>
      <c r="CR188" s="45" t="e">
        <f t="shared" si="20"/>
        <v>#NUM!</v>
      </c>
      <c r="CT188" s="71" t="e">
        <f t="shared" si="21"/>
        <v>#VALUE!</v>
      </c>
    </row>
    <row r="189" spans="1:98" ht="16">
      <c r="A189" s="36">
        <v>187</v>
      </c>
      <c r="B189" s="37"/>
      <c r="C189" s="37"/>
      <c r="D189" s="37"/>
      <c r="E189" s="38" t="s">
        <v>1027</v>
      </c>
      <c r="F189" s="38" t="s">
        <v>981</v>
      </c>
      <c r="G189" s="38" t="s">
        <v>1028</v>
      </c>
      <c r="H189" s="38" t="s">
        <v>152</v>
      </c>
      <c r="I189" s="72">
        <v>23</v>
      </c>
      <c r="J189" s="53" t="s">
        <v>88</v>
      </c>
      <c r="K189" s="42">
        <v>0</v>
      </c>
      <c r="L189" s="42">
        <v>2</v>
      </c>
      <c r="M189" s="42">
        <v>1</v>
      </c>
      <c r="N189" s="42">
        <f t="shared" si="0"/>
        <v>2</v>
      </c>
      <c r="O189" s="53"/>
      <c r="P189" s="53"/>
      <c r="Q189" s="43">
        <v>23</v>
      </c>
      <c r="R189" s="44">
        <f t="shared" ref="R189:R196" si="58">IF(Q189="","***",IF(Q189&lt;30,3,IF(Q189&gt;60,1,2)))</f>
        <v>3</v>
      </c>
      <c r="S189" s="45">
        <v>1</v>
      </c>
      <c r="T189" s="45">
        <f t="shared" si="2"/>
        <v>3</v>
      </c>
      <c r="V189" s="46"/>
      <c r="W189" s="58" t="s">
        <v>142</v>
      </c>
      <c r="X189" s="73">
        <v>3.2</v>
      </c>
      <c r="Y189" s="44">
        <f t="shared" si="3"/>
        <v>2</v>
      </c>
      <c r="Z189" s="45">
        <v>1</v>
      </c>
      <c r="AA189" s="45">
        <f t="shared" si="4"/>
        <v>2</v>
      </c>
      <c r="AB189" s="45">
        <v>1</v>
      </c>
      <c r="AD189" s="49" t="s">
        <v>155</v>
      </c>
      <c r="AE189" s="50" t="s">
        <v>88</v>
      </c>
      <c r="AF189" s="50">
        <v>0</v>
      </c>
      <c r="AG189" s="50">
        <v>3</v>
      </c>
      <c r="AH189" s="50">
        <v>2</v>
      </c>
      <c r="AI189" s="50">
        <f t="shared" si="5"/>
        <v>6</v>
      </c>
      <c r="AJ189" s="50">
        <v>1</v>
      </c>
      <c r="AK189" s="51" t="s">
        <v>135</v>
      </c>
      <c r="AL189" s="61">
        <v>539520</v>
      </c>
      <c r="AM189" s="53" t="s">
        <v>146</v>
      </c>
      <c r="AN189" s="42">
        <v>2</v>
      </c>
      <c r="AO189" s="54">
        <f t="shared" ref="AO189:AO196" si="59">IF(AL189="","***",IF(AL189&gt;15000,3,IF(AL189&lt;1000,1,2)))</f>
        <v>3</v>
      </c>
      <c r="AP189" s="53">
        <v>2</v>
      </c>
      <c r="AQ189" s="53">
        <f t="shared" si="7"/>
        <v>6</v>
      </c>
      <c r="AR189" s="53"/>
      <c r="AS189" s="55"/>
      <c r="AT189" s="42">
        <v>30.3</v>
      </c>
      <c r="AU189" s="42" t="s">
        <v>88</v>
      </c>
      <c r="AV189" s="56">
        <v>0</v>
      </c>
      <c r="AW189" s="44">
        <f t="shared" si="8"/>
        <v>1</v>
      </c>
      <c r="AX189" s="42">
        <v>1</v>
      </c>
      <c r="AY189" s="42">
        <f t="shared" si="9"/>
        <v>1</v>
      </c>
      <c r="AZ189" s="42"/>
      <c r="BA189" s="42"/>
      <c r="BB189" s="57" t="s">
        <v>602</v>
      </c>
      <c r="BC189" s="58" t="s">
        <v>603</v>
      </c>
      <c r="BD189" s="58" t="s">
        <v>604</v>
      </c>
      <c r="BE189" s="59">
        <v>2</v>
      </c>
      <c r="BF189" s="58">
        <v>2</v>
      </c>
      <c r="BG189" s="58">
        <f t="shared" si="10"/>
        <v>0.6020599913279624</v>
      </c>
      <c r="BH189" s="58" t="s">
        <v>605</v>
      </c>
      <c r="BI189" s="58" t="s">
        <v>946</v>
      </c>
      <c r="BJ189" s="60" t="s">
        <v>90</v>
      </c>
      <c r="BK189" s="61">
        <v>1</v>
      </c>
      <c r="BL189" s="62">
        <v>1</v>
      </c>
      <c r="BM189" s="62">
        <f t="shared" si="11"/>
        <v>0</v>
      </c>
      <c r="BN189" s="58" t="s">
        <v>607</v>
      </c>
      <c r="BO189" s="59"/>
      <c r="BP189" s="59">
        <v>15.5</v>
      </c>
      <c r="BQ189" s="63">
        <f t="shared" ref="BQ189:BQ196" si="60">IF(BP189&lt;10,3,IF(BP189&lt;30,2,1))</f>
        <v>2</v>
      </c>
      <c r="BR189" s="45">
        <v>1</v>
      </c>
      <c r="BS189" s="45">
        <f t="shared" si="13"/>
        <v>0.3010299956639812</v>
      </c>
      <c r="BU189" s="46"/>
      <c r="BV189" s="64">
        <v>1.75</v>
      </c>
      <c r="BW189" s="54">
        <f t="shared" ref="BW189:BW196" si="61">IF(BV189&lt;2.5,1,IF(BV189&gt;3.5,3,2))</f>
        <v>1</v>
      </c>
      <c r="BX189" s="45">
        <v>1</v>
      </c>
      <c r="BY189" s="45">
        <f t="shared" ref="BY189:BY196" si="62">BX189*LOG(BW189)</f>
        <v>0</v>
      </c>
      <c r="BZ189" s="61" t="s">
        <v>99</v>
      </c>
      <c r="CA189" s="46"/>
      <c r="CB189" s="65">
        <v>3790</v>
      </c>
      <c r="CC189" s="45">
        <v>2</v>
      </c>
      <c r="CD189" s="45">
        <v>2</v>
      </c>
      <c r="CE189" s="45">
        <f t="shared" si="16"/>
        <v>0.6020599913279624</v>
      </c>
      <c r="CG189" s="46"/>
      <c r="CH189" s="66" t="s">
        <v>92</v>
      </c>
      <c r="CI189" s="67">
        <v>3</v>
      </c>
      <c r="CJ189" s="68">
        <v>2</v>
      </c>
      <c r="CK189" s="68">
        <f t="shared" si="17"/>
        <v>0.95424250943932487</v>
      </c>
      <c r="CL189" s="68"/>
      <c r="CM189" s="69"/>
      <c r="CO189" s="70">
        <f t="shared" ref="CO189:CO196" si="63">(SUM(T189,AA189,AI189,AQ189,AY189)/SUM(S189,Z189,AH189,AP189,AX189,BF189))</f>
        <v>2</v>
      </c>
      <c r="CQ189" s="45">
        <f t="shared" si="19"/>
        <v>0.27326583197324783</v>
      </c>
      <c r="CR189" s="45">
        <f t="shared" si="20"/>
        <v>1.8761425449123872</v>
      </c>
      <c r="CT189" s="71">
        <f t="shared" si="21"/>
        <v>1.329520875731387</v>
      </c>
    </row>
    <row r="190" spans="1:98" ht="16">
      <c r="A190" s="36">
        <v>188</v>
      </c>
      <c r="B190" s="37"/>
      <c r="C190" s="37"/>
      <c r="D190" s="37"/>
      <c r="E190" s="38" t="s">
        <v>1029</v>
      </c>
      <c r="F190" s="38" t="s">
        <v>1030</v>
      </c>
      <c r="G190" s="38" t="s">
        <v>1031</v>
      </c>
      <c r="H190" s="38" t="s">
        <v>170</v>
      </c>
      <c r="I190" s="72">
        <v>6</v>
      </c>
      <c r="J190" s="53" t="s">
        <v>88</v>
      </c>
      <c r="K190" s="42">
        <v>0</v>
      </c>
      <c r="L190" s="42">
        <v>2</v>
      </c>
      <c r="M190" s="42">
        <v>1</v>
      </c>
      <c r="N190" s="42">
        <f t="shared" si="0"/>
        <v>2</v>
      </c>
      <c r="O190" s="214" t="s">
        <v>1032</v>
      </c>
      <c r="P190" s="53" t="s">
        <v>652</v>
      </c>
      <c r="Q190" s="43">
        <v>19</v>
      </c>
      <c r="R190" s="44">
        <f t="shared" si="58"/>
        <v>3</v>
      </c>
      <c r="S190" s="45">
        <v>1</v>
      </c>
      <c r="T190" s="45">
        <f t="shared" si="2"/>
        <v>3</v>
      </c>
      <c r="V190" s="46"/>
      <c r="W190" s="58" t="s">
        <v>171</v>
      </c>
      <c r="X190" s="73">
        <v>2</v>
      </c>
      <c r="Y190" s="44">
        <f t="shared" si="3"/>
        <v>3</v>
      </c>
      <c r="Z190" s="45">
        <v>1</v>
      </c>
      <c r="AA190" s="45">
        <f t="shared" si="4"/>
        <v>3</v>
      </c>
      <c r="AB190" s="45">
        <v>1</v>
      </c>
      <c r="AD190" s="49" t="s">
        <v>172</v>
      </c>
      <c r="AE190" s="50" t="s">
        <v>88</v>
      </c>
      <c r="AF190" s="50">
        <v>0</v>
      </c>
      <c r="AG190" s="50">
        <v>3</v>
      </c>
      <c r="AH190" s="50">
        <v>2</v>
      </c>
      <c r="AI190" s="50">
        <f t="shared" si="5"/>
        <v>6</v>
      </c>
      <c r="AJ190" s="50">
        <v>1</v>
      </c>
      <c r="AK190" s="51" t="s">
        <v>114</v>
      </c>
      <c r="AL190" s="61">
        <v>31104</v>
      </c>
      <c r="AM190" s="53" t="s">
        <v>88</v>
      </c>
      <c r="AN190" s="42">
        <v>0</v>
      </c>
      <c r="AO190" s="54">
        <f t="shared" si="59"/>
        <v>3</v>
      </c>
      <c r="AP190" s="53">
        <v>2</v>
      </c>
      <c r="AQ190" s="53">
        <f t="shared" si="7"/>
        <v>6</v>
      </c>
      <c r="AR190" s="53"/>
      <c r="AS190" s="55"/>
      <c r="AT190" s="53">
        <v>44</v>
      </c>
      <c r="AU190" s="42" t="s">
        <v>115</v>
      </c>
      <c r="AV190" s="44">
        <v>1</v>
      </c>
      <c r="AW190" s="44">
        <f t="shared" si="8"/>
        <v>1</v>
      </c>
      <c r="AX190" s="42">
        <v>1</v>
      </c>
      <c r="AY190" s="42">
        <f t="shared" si="9"/>
        <v>1</v>
      </c>
      <c r="AZ190" s="42" t="s">
        <v>187</v>
      </c>
      <c r="BA190" s="53" t="s">
        <v>1033</v>
      </c>
      <c r="BB190" s="57" t="s">
        <v>642</v>
      </c>
      <c r="BC190" s="58" t="s">
        <v>643</v>
      </c>
      <c r="BD190" s="58" t="s">
        <v>604</v>
      </c>
      <c r="BE190" s="59">
        <v>3</v>
      </c>
      <c r="BF190" s="58">
        <v>2</v>
      </c>
      <c r="BG190" s="58">
        <f t="shared" si="10"/>
        <v>0.95424250943932487</v>
      </c>
      <c r="BH190" s="58" t="s">
        <v>605</v>
      </c>
      <c r="BI190" s="58" t="s">
        <v>644</v>
      </c>
      <c r="BJ190" s="60" t="s">
        <v>90</v>
      </c>
      <c r="BK190" s="61">
        <v>1</v>
      </c>
      <c r="BL190" s="62">
        <v>1</v>
      </c>
      <c r="BM190" s="62">
        <f t="shared" si="11"/>
        <v>0</v>
      </c>
      <c r="BN190" s="58" t="s">
        <v>607</v>
      </c>
      <c r="BO190" s="59"/>
      <c r="BP190" s="59">
        <v>4</v>
      </c>
      <c r="BQ190" s="63">
        <f t="shared" si="60"/>
        <v>3</v>
      </c>
      <c r="BR190" s="45">
        <v>1</v>
      </c>
      <c r="BS190" s="45">
        <f t="shared" si="13"/>
        <v>0.47712125471966244</v>
      </c>
      <c r="BU190" s="46"/>
      <c r="BV190" s="64">
        <v>2</v>
      </c>
      <c r="BW190" s="54">
        <f t="shared" si="61"/>
        <v>1</v>
      </c>
      <c r="BX190" s="45">
        <v>1</v>
      </c>
      <c r="BY190" s="45">
        <f t="shared" si="62"/>
        <v>0</v>
      </c>
      <c r="BZ190" s="61" t="s">
        <v>91</v>
      </c>
      <c r="CA190" s="46"/>
      <c r="CB190" s="65">
        <v>3733</v>
      </c>
      <c r="CC190" s="45">
        <v>2</v>
      </c>
      <c r="CD190" s="45">
        <v>2</v>
      </c>
      <c r="CE190" s="45">
        <f t="shared" si="16"/>
        <v>0.6020599913279624</v>
      </c>
      <c r="CG190" s="46"/>
      <c r="CH190" s="66" t="s">
        <v>137</v>
      </c>
      <c r="CI190" s="67">
        <v>2</v>
      </c>
      <c r="CJ190" s="68">
        <v>2</v>
      </c>
      <c r="CK190" s="68">
        <f t="shared" si="17"/>
        <v>0.6020599913279624</v>
      </c>
      <c r="CL190" s="78"/>
      <c r="CM190" s="79" t="s">
        <v>144</v>
      </c>
      <c r="CO190" s="70">
        <f t="shared" si="63"/>
        <v>2.1111111111111112</v>
      </c>
      <c r="CQ190" s="45">
        <f t="shared" si="19"/>
        <v>0.29283152742387913</v>
      </c>
      <c r="CR190" s="45">
        <f t="shared" si="20"/>
        <v>1.9625987930301134</v>
      </c>
      <c r="CT190" s="71">
        <f t="shared" si="21"/>
        <v>1.3102365790700374</v>
      </c>
    </row>
    <row r="191" spans="1:98" ht="16">
      <c r="A191" s="36">
        <v>189</v>
      </c>
      <c r="B191" s="37"/>
      <c r="C191" s="37"/>
      <c r="D191" s="37"/>
      <c r="E191" s="38" t="s">
        <v>1034</v>
      </c>
      <c r="F191" s="38" t="s">
        <v>1035</v>
      </c>
      <c r="G191" s="38" t="s">
        <v>1036</v>
      </c>
      <c r="H191" s="38" t="s">
        <v>277</v>
      </c>
      <c r="I191" s="72">
        <v>11</v>
      </c>
      <c r="J191" s="53" t="s">
        <v>88</v>
      </c>
      <c r="K191" s="42">
        <v>0</v>
      </c>
      <c r="L191" s="42">
        <v>2</v>
      </c>
      <c r="M191" s="42">
        <v>1</v>
      </c>
      <c r="N191" s="42">
        <f t="shared" si="0"/>
        <v>2</v>
      </c>
      <c r="O191" s="53"/>
      <c r="P191" s="53"/>
      <c r="Q191" s="43">
        <v>38.666666669999998</v>
      </c>
      <c r="R191" s="44">
        <f t="shared" si="58"/>
        <v>2</v>
      </c>
      <c r="S191" s="45">
        <v>1</v>
      </c>
      <c r="T191" s="45">
        <f t="shared" si="2"/>
        <v>2</v>
      </c>
      <c r="V191" s="46"/>
      <c r="W191" s="58" t="s">
        <v>1037</v>
      </c>
      <c r="X191" s="73">
        <v>3.3</v>
      </c>
      <c r="Y191" s="44">
        <f t="shared" si="3"/>
        <v>2</v>
      </c>
      <c r="Z191" s="45">
        <v>1</v>
      </c>
      <c r="AA191" s="45">
        <f t="shared" si="4"/>
        <v>2</v>
      </c>
      <c r="AB191" s="45">
        <v>1</v>
      </c>
      <c r="AD191" s="49" t="s">
        <v>1038</v>
      </c>
      <c r="AE191" s="50" t="s">
        <v>88</v>
      </c>
      <c r="AF191" s="50">
        <v>0</v>
      </c>
      <c r="AG191" s="50">
        <v>3</v>
      </c>
      <c r="AH191" s="50">
        <v>2</v>
      </c>
      <c r="AI191" s="50">
        <f t="shared" si="5"/>
        <v>6</v>
      </c>
      <c r="AJ191" s="50">
        <v>1</v>
      </c>
      <c r="AK191" s="51" t="s">
        <v>114</v>
      </c>
      <c r="AL191" s="52">
        <v>66876</v>
      </c>
      <c r="AM191" s="53" t="s">
        <v>146</v>
      </c>
      <c r="AN191" s="42">
        <v>2</v>
      </c>
      <c r="AO191" s="54">
        <f t="shared" si="59"/>
        <v>3</v>
      </c>
      <c r="AP191" s="53">
        <v>2</v>
      </c>
      <c r="AQ191" s="53">
        <f t="shared" si="7"/>
        <v>6</v>
      </c>
      <c r="AR191" s="53"/>
      <c r="AS191" s="55"/>
      <c r="AT191" s="42">
        <v>36</v>
      </c>
      <c r="AU191" s="42" t="s">
        <v>88</v>
      </c>
      <c r="AV191" s="56">
        <v>0</v>
      </c>
      <c r="AW191" s="44">
        <f t="shared" si="8"/>
        <v>1</v>
      </c>
      <c r="AX191" s="42">
        <v>1</v>
      </c>
      <c r="AY191" s="42">
        <f t="shared" si="9"/>
        <v>1</v>
      </c>
      <c r="AZ191" s="42"/>
      <c r="BA191" s="42"/>
      <c r="BB191" s="57" t="s">
        <v>602</v>
      </c>
      <c r="BC191" s="58" t="s">
        <v>603</v>
      </c>
      <c r="BD191" s="58" t="s">
        <v>609</v>
      </c>
      <c r="BE191" s="59">
        <v>1</v>
      </c>
      <c r="BF191" s="58">
        <v>2</v>
      </c>
      <c r="BG191" s="58">
        <f t="shared" si="10"/>
        <v>0</v>
      </c>
      <c r="BH191" s="58" t="s">
        <v>605</v>
      </c>
      <c r="BI191" s="58" t="s">
        <v>1009</v>
      </c>
      <c r="BJ191" s="60" t="s">
        <v>90</v>
      </c>
      <c r="BK191" s="61">
        <v>1</v>
      </c>
      <c r="BL191" s="62">
        <v>1</v>
      </c>
      <c r="BM191" s="62">
        <f t="shared" si="11"/>
        <v>0</v>
      </c>
      <c r="BN191" s="58" t="s">
        <v>607</v>
      </c>
      <c r="BO191" s="59"/>
      <c r="BP191" s="59">
        <v>38</v>
      </c>
      <c r="BQ191" s="63">
        <f t="shared" si="60"/>
        <v>1</v>
      </c>
      <c r="BR191" s="45">
        <v>1</v>
      </c>
      <c r="BS191" s="45">
        <f t="shared" si="13"/>
        <v>0</v>
      </c>
      <c r="BU191" s="46"/>
      <c r="BV191" s="64">
        <v>1</v>
      </c>
      <c r="BW191" s="54">
        <f t="shared" si="61"/>
        <v>1</v>
      </c>
      <c r="BX191" s="45">
        <v>1</v>
      </c>
      <c r="BY191" s="45">
        <f t="shared" si="62"/>
        <v>0</v>
      </c>
      <c r="BZ191" s="61">
        <v>10</v>
      </c>
      <c r="CA191" s="46"/>
      <c r="CB191" s="65">
        <v>3681</v>
      </c>
      <c r="CC191" s="45">
        <v>2</v>
      </c>
      <c r="CD191" s="45">
        <v>2</v>
      </c>
      <c r="CE191" s="45">
        <f t="shared" si="16"/>
        <v>0.6020599913279624</v>
      </c>
      <c r="CG191" s="46"/>
      <c r="CH191" s="66" t="s">
        <v>180</v>
      </c>
      <c r="CI191" s="67">
        <v>3</v>
      </c>
      <c r="CJ191" s="68">
        <v>2</v>
      </c>
      <c r="CK191" s="68">
        <f t="shared" si="17"/>
        <v>0.95424250943932487</v>
      </c>
      <c r="CL191" s="68"/>
      <c r="CM191" s="69"/>
      <c r="CO191" s="70">
        <f t="shared" si="63"/>
        <v>1.8888888888888888</v>
      </c>
      <c r="CQ191" s="45">
        <f t="shared" si="19"/>
        <v>0.17292250008525414</v>
      </c>
      <c r="CR191" s="45">
        <f t="shared" si="20"/>
        <v>1.4890953247181091</v>
      </c>
      <c r="CT191" s="71">
        <f t="shared" si="21"/>
        <v>1.2139942907179098</v>
      </c>
    </row>
    <row r="192" spans="1:98" ht="16">
      <c r="A192" s="36">
        <v>190</v>
      </c>
      <c r="B192" s="37"/>
      <c r="C192" s="37"/>
      <c r="D192" s="37"/>
      <c r="E192" s="38" t="s">
        <v>1039</v>
      </c>
      <c r="F192" s="38" t="s">
        <v>635</v>
      </c>
      <c r="G192" s="38" t="s">
        <v>1040</v>
      </c>
      <c r="H192" s="38" t="s">
        <v>637</v>
      </c>
      <c r="I192" s="72">
        <v>2.5</v>
      </c>
      <c r="J192" s="53" t="s">
        <v>88</v>
      </c>
      <c r="K192" s="42">
        <v>0</v>
      </c>
      <c r="L192" s="42">
        <v>3</v>
      </c>
      <c r="M192" s="42">
        <v>1</v>
      </c>
      <c r="N192" s="42">
        <f t="shared" si="0"/>
        <v>3</v>
      </c>
      <c r="O192" s="53"/>
      <c r="P192" s="53"/>
      <c r="Q192" s="43">
        <v>10.5</v>
      </c>
      <c r="R192" s="44">
        <f t="shared" si="58"/>
        <v>3</v>
      </c>
      <c r="S192" s="45">
        <v>1</v>
      </c>
      <c r="T192" s="45">
        <f t="shared" si="2"/>
        <v>3</v>
      </c>
      <c r="V192" s="46"/>
      <c r="W192" s="58" t="s">
        <v>225</v>
      </c>
      <c r="X192" s="73">
        <v>3.5</v>
      </c>
      <c r="Y192" s="44">
        <f t="shared" si="3"/>
        <v>2</v>
      </c>
      <c r="Z192" s="45">
        <v>1</v>
      </c>
      <c r="AA192" s="45">
        <f t="shared" si="4"/>
        <v>2</v>
      </c>
      <c r="AB192" s="45">
        <v>1</v>
      </c>
      <c r="AD192" s="49" t="s">
        <v>401</v>
      </c>
      <c r="AE192" s="50" t="s">
        <v>115</v>
      </c>
      <c r="AF192" s="50">
        <v>1</v>
      </c>
      <c r="AG192" s="50">
        <v>3</v>
      </c>
      <c r="AH192" s="50">
        <v>2</v>
      </c>
      <c r="AI192" s="50">
        <f t="shared" si="5"/>
        <v>6</v>
      </c>
      <c r="AJ192" s="106" t="s">
        <v>633</v>
      </c>
      <c r="AK192" s="51" t="s">
        <v>639</v>
      </c>
      <c r="AL192" s="61">
        <v>42979</v>
      </c>
      <c r="AM192" s="53" t="s">
        <v>88</v>
      </c>
      <c r="AN192" s="42">
        <v>0</v>
      </c>
      <c r="AO192" s="54">
        <f t="shared" si="59"/>
        <v>3</v>
      </c>
      <c r="AP192" s="53">
        <v>2</v>
      </c>
      <c r="AQ192" s="53">
        <f t="shared" si="7"/>
        <v>6</v>
      </c>
      <c r="AR192" s="53"/>
      <c r="AS192" s="55" t="s">
        <v>640</v>
      </c>
      <c r="AT192" s="107">
        <v>19</v>
      </c>
      <c r="AU192" s="42" t="s">
        <v>115</v>
      </c>
      <c r="AV192" s="44">
        <v>1</v>
      </c>
      <c r="AW192" s="44">
        <f t="shared" si="8"/>
        <v>2</v>
      </c>
      <c r="AX192" s="42">
        <v>1</v>
      </c>
      <c r="AY192" s="42">
        <f t="shared" si="9"/>
        <v>2</v>
      </c>
      <c r="AZ192" s="42" t="s">
        <v>641</v>
      </c>
      <c r="BA192" s="53" t="s">
        <v>1041</v>
      </c>
      <c r="BB192" s="57" t="s">
        <v>642</v>
      </c>
      <c r="BC192" s="58" t="s">
        <v>643</v>
      </c>
      <c r="BD192" s="58" t="s">
        <v>609</v>
      </c>
      <c r="BE192" s="59">
        <v>2</v>
      </c>
      <c r="BF192" s="58">
        <v>2</v>
      </c>
      <c r="BG192" s="58">
        <f t="shared" si="10"/>
        <v>0.6020599913279624</v>
      </c>
      <c r="BH192" s="58" t="s">
        <v>605</v>
      </c>
      <c r="BI192" s="58" t="s">
        <v>644</v>
      </c>
      <c r="BJ192" s="60" t="s">
        <v>90</v>
      </c>
      <c r="BK192" s="61">
        <v>1</v>
      </c>
      <c r="BL192" s="62">
        <v>1</v>
      </c>
      <c r="BM192" s="62">
        <f t="shared" si="11"/>
        <v>0</v>
      </c>
      <c r="BN192" s="58" t="s">
        <v>607</v>
      </c>
      <c r="BO192" s="59"/>
      <c r="BP192" s="59">
        <v>95</v>
      </c>
      <c r="BQ192" s="63">
        <f t="shared" si="60"/>
        <v>1</v>
      </c>
      <c r="BR192" s="45">
        <v>1</v>
      </c>
      <c r="BS192" s="45">
        <f t="shared" si="13"/>
        <v>0</v>
      </c>
      <c r="BU192" s="46"/>
      <c r="BV192" s="64">
        <v>1</v>
      </c>
      <c r="BW192" s="54">
        <f t="shared" si="61"/>
        <v>1</v>
      </c>
      <c r="BX192" s="45">
        <v>1</v>
      </c>
      <c r="BY192" s="45">
        <f t="shared" si="62"/>
        <v>0</v>
      </c>
      <c r="BZ192" s="61" t="s">
        <v>91</v>
      </c>
      <c r="CA192" s="46"/>
      <c r="CB192" s="65">
        <v>3663</v>
      </c>
      <c r="CC192" s="45">
        <v>2</v>
      </c>
      <c r="CD192" s="45">
        <v>2</v>
      </c>
      <c r="CE192" s="45">
        <f t="shared" si="16"/>
        <v>0.6020599913279624</v>
      </c>
      <c r="CG192" s="46"/>
      <c r="CH192" s="66" t="s">
        <v>92</v>
      </c>
      <c r="CI192" s="67">
        <v>3</v>
      </c>
      <c r="CJ192" s="68">
        <v>2</v>
      </c>
      <c r="CK192" s="68">
        <f t="shared" si="17"/>
        <v>0.95424250943932487</v>
      </c>
      <c r="CL192" s="68"/>
      <c r="CM192" s="69" t="s">
        <v>144</v>
      </c>
      <c r="CO192" s="70">
        <f t="shared" si="63"/>
        <v>2.1111111111111112</v>
      </c>
      <c r="CQ192" s="45">
        <f t="shared" si="19"/>
        <v>0.23981805467724998</v>
      </c>
      <c r="CR192" s="45">
        <f t="shared" si="20"/>
        <v>1.7370729389807016</v>
      </c>
      <c r="CT192" s="71">
        <f t="shared" si="21"/>
        <v>1.1547293943464731</v>
      </c>
    </row>
    <row r="193" spans="1:98" ht="16">
      <c r="A193" s="36">
        <v>191</v>
      </c>
      <c r="B193" s="37"/>
      <c r="C193" s="37"/>
      <c r="D193" s="37"/>
      <c r="E193" s="38" t="s">
        <v>1042</v>
      </c>
      <c r="F193" s="38" t="s">
        <v>1043</v>
      </c>
      <c r="G193" s="38" t="s">
        <v>169</v>
      </c>
      <c r="H193" s="38" t="s">
        <v>152</v>
      </c>
      <c r="I193" s="72">
        <v>10</v>
      </c>
      <c r="J193" s="53" t="s">
        <v>88</v>
      </c>
      <c r="K193" s="42">
        <v>0</v>
      </c>
      <c r="L193" s="42">
        <v>2</v>
      </c>
      <c r="M193" s="42">
        <v>1</v>
      </c>
      <c r="N193" s="42">
        <f t="shared" si="0"/>
        <v>2</v>
      </c>
      <c r="O193" s="53"/>
      <c r="P193" s="53"/>
      <c r="Q193" s="43">
        <v>28.333333329999999</v>
      </c>
      <c r="R193" s="44">
        <f t="shared" si="58"/>
        <v>3</v>
      </c>
      <c r="S193" s="45">
        <v>1</v>
      </c>
      <c r="T193" s="45">
        <f t="shared" si="2"/>
        <v>3</v>
      </c>
      <c r="V193" s="46"/>
      <c r="W193" s="58" t="s">
        <v>491</v>
      </c>
      <c r="X193" s="73">
        <v>3.4</v>
      </c>
      <c r="Y193" s="44">
        <f t="shared" si="3"/>
        <v>2</v>
      </c>
      <c r="Z193" s="45">
        <v>1</v>
      </c>
      <c r="AA193" s="45">
        <f t="shared" si="4"/>
        <v>2</v>
      </c>
      <c r="AB193" s="45">
        <v>1</v>
      </c>
      <c r="AD193" s="49" t="s">
        <v>155</v>
      </c>
      <c r="AE193" s="50" t="s">
        <v>88</v>
      </c>
      <c r="AF193" s="50">
        <v>0</v>
      </c>
      <c r="AG193" s="50">
        <v>3</v>
      </c>
      <c r="AH193" s="50">
        <v>2</v>
      </c>
      <c r="AI193" s="50">
        <f t="shared" si="5"/>
        <v>6</v>
      </c>
      <c r="AJ193" s="50">
        <v>1</v>
      </c>
      <c r="AK193" s="51" t="s">
        <v>135</v>
      </c>
      <c r="AL193" s="61">
        <v>539520</v>
      </c>
      <c r="AM193" s="53" t="s">
        <v>146</v>
      </c>
      <c r="AN193" s="42">
        <v>2</v>
      </c>
      <c r="AO193" s="54">
        <f t="shared" si="59"/>
        <v>3</v>
      </c>
      <c r="AP193" s="53">
        <v>2</v>
      </c>
      <c r="AQ193" s="53">
        <f t="shared" si="7"/>
        <v>6</v>
      </c>
      <c r="AR193" s="53"/>
      <c r="AS193" s="55"/>
      <c r="AT193" s="42">
        <v>20</v>
      </c>
      <c r="AU193" s="42" t="s">
        <v>88</v>
      </c>
      <c r="AV193" s="56">
        <v>0</v>
      </c>
      <c r="AW193" s="44">
        <f t="shared" si="8"/>
        <v>2</v>
      </c>
      <c r="AX193" s="42">
        <v>1</v>
      </c>
      <c r="AY193" s="42">
        <f t="shared" si="9"/>
        <v>2</v>
      </c>
      <c r="AZ193" s="42"/>
      <c r="BA193" s="42"/>
      <c r="BB193" s="57" t="s">
        <v>602</v>
      </c>
      <c r="BC193" s="58" t="s">
        <v>603</v>
      </c>
      <c r="BD193" s="58" t="s">
        <v>609</v>
      </c>
      <c r="BE193" s="59">
        <v>1</v>
      </c>
      <c r="BF193" s="58">
        <v>2</v>
      </c>
      <c r="BG193" s="58">
        <f t="shared" si="10"/>
        <v>0</v>
      </c>
      <c r="BH193" s="58" t="s">
        <v>605</v>
      </c>
      <c r="BI193" s="58" t="s">
        <v>610</v>
      </c>
      <c r="BJ193" s="60" t="s">
        <v>90</v>
      </c>
      <c r="BK193" s="61">
        <v>1</v>
      </c>
      <c r="BL193" s="62">
        <v>1</v>
      </c>
      <c r="BM193" s="62">
        <f t="shared" si="11"/>
        <v>0</v>
      </c>
      <c r="BN193" s="58" t="s">
        <v>607</v>
      </c>
      <c r="BO193" s="59"/>
      <c r="BP193" s="59">
        <v>18.75</v>
      </c>
      <c r="BQ193" s="63">
        <f t="shared" si="60"/>
        <v>2</v>
      </c>
      <c r="BR193" s="45">
        <v>1</v>
      </c>
      <c r="BS193" s="45">
        <f t="shared" si="13"/>
        <v>0.3010299956639812</v>
      </c>
      <c r="BU193" s="46"/>
      <c r="BV193" s="64">
        <v>2</v>
      </c>
      <c r="BW193" s="54">
        <f t="shared" si="61"/>
        <v>1</v>
      </c>
      <c r="BX193" s="45">
        <v>1</v>
      </c>
      <c r="BY193" s="45">
        <f t="shared" si="62"/>
        <v>0</v>
      </c>
      <c r="BZ193" s="61" t="s">
        <v>99</v>
      </c>
      <c r="CA193" s="46"/>
      <c r="CB193" s="65">
        <v>3631</v>
      </c>
      <c r="CC193" s="45">
        <v>2</v>
      </c>
      <c r="CD193" s="45">
        <v>2</v>
      </c>
      <c r="CE193" s="45">
        <f t="shared" si="16"/>
        <v>0.6020599913279624</v>
      </c>
      <c r="CG193" s="46"/>
      <c r="CH193" s="66" t="s">
        <v>92</v>
      </c>
      <c r="CI193" s="67">
        <v>3</v>
      </c>
      <c r="CJ193" s="68">
        <v>2</v>
      </c>
      <c r="CK193" s="68">
        <f t="shared" si="17"/>
        <v>0.95424250943932487</v>
      </c>
      <c r="CL193" s="68"/>
      <c r="CM193" s="69"/>
      <c r="CO193" s="70">
        <f t="shared" si="63"/>
        <v>2.1111111111111112</v>
      </c>
      <c r="CQ193" s="45">
        <f t="shared" si="19"/>
        <v>0.20637027738125205</v>
      </c>
      <c r="CR193" s="45">
        <f t="shared" si="20"/>
        <v>1.6083119076007948</v>
      </c>
      <c r="CT193" s="71">
        <f t="shared" si="21"/>
        <v>1.0771104092520141</v>
      </c>
    </row>
    <row r="194" spans="1:98" ht="16">
      <c r="A194" s="36">
        <v>192</v>
      </c>
      <c r="B194" s="37"/>
      <c r="C194" s="37"/>
      <c r="D194" s="37"/>
      <c r="E194" s="38" t="s">
        <v>1044</v>
      </c>
      <c r="F194" s="38" t="s">
        <v>1045</v>
      </c>
      <c r="G194" s="38" t="s">
        <v>1046</v>
      </c>
      <c r="H194" s="38" t="s">
        <v>83</v>
      </c>
      <c r="I194" s="72">
        <v>9</v>
      </c>
      <c r="J194" s="53" t="s">
        <v>88</v>
      </c>
      <c r="K194" s="42">
        <v>0</v>
      </c>
      <c r="L194" s="42">
        <v>2</v>
      </c>
      <c r="M194" s="42">
        <v>1</v>
      </c>
      <c r="N194" s="42">
        <f t="shared" si="0"/>
        <v>2</v>
      </c>
      <c r="O194" s="214" t="s">
        <v>1047</v>
      </c>
      <c r="P194" s="53" t="s">
        <v>652</v>
      </c>
      <c r="Q194" s="43">
        <v>10.199999999999999</v>
      </c>
      <c r="R194" s="44">
        <f t="shared" si="58"/>
        <v>3</v>
      </c>
      <c r="S194" s="45">
        <v>1</v>
      </c>
      <c r="T194" s="45">
        <f t="shared" si="2"/>
        <v>3</v>
      </c>
      <c r="V194" s="46"/>
      <c r="W194" s="58" t="s">
        <v>1048</v>
      </c>
      <c r="X194" s="73">
        <v>3</v>
      </c>
      <c r="Y194" s="44">
        <f t="shared" si="3"/>
        <v>2</v>
      </c>
      <c r="Z194" s="45">
        <v>1</v>
      </c>
      <c r="AA194" s="45">
        <f t="shared" si="4"/>
        <v>2</v>
      </c>
      <c r="AB194" s="45">
        <v>1</v>
      </c>
      <c r="AD194" s="49" t="s">
        <v>87</v>
      </c>
      <c r="AE194" s="50" t="s">
        <v>88</v>
      </c>
      <c r="AF194" s="50">
        <v>0</v>
      </c>
      <c r="AG194" s="50">
        <v>3</v>
      </c>
      <c r="AH194" s="50">
        <v>2</v>
      </c>
      <c r="AI194" s="50">
        <f t="shared" si="5"/>
        <v>6</v>
      </c>
      <c r="AJ194" s="50">
        <v>1</v>
      </c>
      <c r="AK194" s="51" t="s">
        <v>89</v>
      </c>
      <c r="AL194" s="61">
        <v>102000</v>
      </c>
      <c r="AM194" s="53" t="s">
        <v>115</v>
      </c>
      <c r="AN194" s="42">
        <v>1</v>
      </c>
      <c r="AO194" s="54">
        <f t="shared" si="59"/>
        <v>3</v>
      </c>
      <c r="AP194" s="53">
        <v>2</v>
      </c>
      <c r="AQ194" s="53">
        <f t="shared" si="7"/>
        <v>6</v>
      </c>
      <c r="AR194" s="53"/>
      <c r="AS194" s="55" t="s">
        <v>744</v>
      </c>
      <c r="AT194" s="42">
        <v>31.8</v>
      </c>
      <c r="AU194" s="42" t="s">
        <v>88</v>
      </c>
      <c r="AV194" s="56">
        <v>0</v>
      </c>
      <c r="AW194" s="44">
        <f t="shared" si="8"/>
        <v>1</v>
      </c>
      <c r="AX194" s="42">
        <v>1</v>
      </c>
      <c r="AY194" s="42">
        <f t="shared" si="9"/>
        <v>1</v>
      </c>
      <c r="AZ194" s="42"/>
      <c r="BA194" s="42"/>
      <c r="BB194" s="57" t="s">
        <v>602</v>
      </c>
      <c r="BC194" s="58" t="s">
        <v>603</v>
      </c>
      <c r="BD194" s="58" t="s">
        <v>609</v>
      </c>
      <c r="BE194" s="59">
        <v>1</v>
      </c>
      <c r="BF194" s="58">
        <v>2</v>
      </c>
      <c r="BG194" s="58">
        <f t="shared" si="10"/>
        <v>0</v>
      </c>
      <c r="BH194" s="58" t="s">
        <v>605</v>
      </c>
      <c r="BI194" s="58" t="s">
        <v>610</v>
      </c>
      <c r="BJ194" s="60" t="s">
        <v>90</v>
      </c>
      <c r="BK194" s="61">
        <v>1</v>
      </c>
      <c r="BL194" s="62">
        <v>1</v>
      </c>
      <c r="BM194" s="62">
        <f t="shared" si="11"/>
        <v>0</v>
      </c>
      <c r="BN194" s="58" t="s">
        <v>607</v>
      </c>
      <c r="BO194" s="59"/>
      <c r="BP194" s="92">
        <v>11</v>
      </c>
      <c r="BQ194" s="90">
        <f t="shared" si="60"/>
        <v>2</v>
      </c>
      <c r="BR194" s="45">
        <v>1</v>
      </c>
      <c r="BS194" s="45">
        <f t="shared" si="13"/>
        <v>0.3010299956639812</v>
      </c>
      <c r="BT194" s="93"/>
      <c r="BU194" s="94"/>
      <c r="BV194" s="64">
        <v>1</v>
      </c>
      <c r="BW194" s="54">
        <f t="shared" si="61"/>
        <v>1</v>
      </c>
      <c r="BX194" s="45">
        <v>1</v>
      </c>
      <c r="BY194" s="45">
        <f t="shared" si="62"/>
        <v>0</v>
      </c>
      <c r="BZ194" s="61">
        <v>10</v>
      </c>
      <c r="CA194" s="46"/>
      <c r="CB194" s="65">
        <v>3614</v>
      </c>
      <c r="CC194" s="45">
        <v>2</v>
      </c>
      <c r="CD194" s="45">
        <v>2</v>
      </c>
      <c r="CE194" s="45">
        <f t="shared" si="16"/>
        <v>0.6020599913279624</v>
      </c>
      <c r="CG194" s="46"/>
      <c r="CH194" s="66" t="s">
        <v>250</v>
      </c>
      <c r="CI194" s="67">
        <v>3</v>
      </c>
      <c r="CJ194" s="68">
        <v>2</v>
      </c>
      <c r="CK194" s="68">
        <f t="shared" si="17"/>
        <v>0.95424250943932487</v>
      </c>
      <c r="CL194" s="68"/>
      <c r="CM194" s="69"/>
      <c r="CO194" s="70">
        <f t="shared" si="63"/>
        <v>2</v>
      </c>
      <c r="CQ194" s="45">
        <f t="shared" si="19"/>
        <v>0.20637027738125205</v>
      </c>
      <c r="CR194" s="45">
        <f t="shared" si="20"/>
        <v>1.6083119076007948</v>
      </c>
      <c r="CT194" s="71">
        <f t="shared" si="21"/>
        <v>1.1704885206309876</v>
      </c>
    </row>
    <row r="195" spans="1:98" ht="16">
      <c r="A195" s="36">
        <v>193</v>
      </c>
      <c r="B195" s="37"/>
      <c r="C195" s="37"/>
      <c r="D195" s="37"/>
      <c r="E195" s="38" t="s">
        <v>1049</v>
      </c>
      <c r="F195" s="38" t="s">
        <v>429</v>
      </c>
      <c r="G195" s="38" t="s">
        <v>1050</v>
      </c>
      <c r="H195" s="38" t="s">
        <v>152</v>
      </c>
      <c r="I195" s="72">
        <v>2.5</v>
      </c>
      <c r="J195" s="53" t="s">
        <v>88</v>
      </c>
      <c r="K195" s="42">
        <v>0</v>
      </c>
      <c r="L195" s="42">
        <v>3</v>
      </c>
      <c r="M195" s="42">
        <v>1</v>
      </c>
      <c r="N195" s="42">
        <f t="shared" si="0"/>
        <v>3</v>
      </c>
      <c r="O195" s="53"/>
      <c r="P195" s="53"/>
      <c r="Q195" s="43">
        <v>12</v>
      </c>
      <c r="R195" s="44">
        <f t="shared" si="58"/>
        <v>3</v>
      </c>
      <c r="S195" s="45">
        <v>1</v>
      </c>
      <c r="T195" s="45">
        <f t="shared" si="2"/>
        <v>3</v>
      </c>
      <c r="V195" s="46"/>
      <c r="W195" s="58" t="s">
        <v>1051</v>
      </c>
      <c r="X195" s="73">
        <v>3.4</v>
      </c>
      <c r="Y195" s="44">
        <f t="shared" si="3"/>
        <v>2</v>
      </c>
      <c r="Z195" s="45">
        <v>1</v>
      </c>
      <c r="AA195" s="45">
        <f t="shared" si="4"/>
        <v>2</v>
      </c>
      <c r="AB195" s="45">
        <v>1</v>
      </c>
      <c r="AD195" s="49" t="s">
        <v>362</v>
      </c>
      <c r="AE195" s="50" t="s">
        <v>88</v>
      </c>
      <c r="AF195" s="50">
        <v>0</v>
      </c>
      <c r="AG195" s="50">
        <v>2</v>
      </c>
      <c r="AH195" s="50">
        <v>2</v>
      </c>
      <c r="AI195" s="50">
        <f t="shared" si="5"/>
        <v>4</v>
      </c>
      <c r="AJ195" s="50">
        <v>1</v>
      </c>
      <c r="AK195" s="51" t="s">
        <v>156</v>
      </c>
      <c r="AL195" s="61">
        <v>539520</v>
      </c>
      <c r="AM195" s="53" t="s">
        <v>146</v>
      </c>
      <c r="AN195" s="42">
        <v>2</v>
      </c>
      <c r="AO195" s="54">
        <f t="shared" si="59"/>
        <v>3</v>
      </c>
      <c r="AP195" s="53">
        <v>2</v>
      </c>
      <c r="AQ195" s="53">
        <f t="shared" si="7"/>
        <v>6</v>
      </c>
      <c r="AR195" s="53"/>
      <c r="AS195" s="55"/>
      <c r="AT195" s="53">
        <v>26.425000000000001</v>
      </c>
      <c r="AU195" s="42" t="s">
        <v>115</v>
      </c>
      <c r="AV195" s="44">
        <v>1</v>
      </c>
      <c r="AW195" s="44">
        <f t="shared" si="8"/>
        <v>2</v>
      </c>
      <c r="AX195" s="42">
        <v>1</v>
      </c>
      <c r="AY195" s="42">
        <f t="shared" si="9"/>
        <v>2</v>
      </c>
      <c r="AZ195" s="42" t="s">
        <v>340</v>
      </c>
      <c r="BA195" s="77" t="s">
        <v>540</v>
      </c>
      <c r="BB195" s="57" t="s">
        <v>602</v>
      </c>
      <c r="BC195" s="58" t="s">
        <v>603</v>
      </c>
      <c r="BD195" s="58" t="s">
        <v>604</v>
      </c>
      <c r="BE195" s="59">
        <v>2</v>
      </c>
      <c r="BF195" s="58">
        <v>2</v>
      </c>
      <c r="BG195" s="58">
        <f t="shared" si="10"/>
        <v>0.6020599913279624</v>
      </c>
      <c r="BH195" s="58" t="s">
        <v>605</v>
      </c>
      <c r="BI195" s="58" t="s">
        <v>1052</v>
      </c>
      <c r="BJ195" s="60" t="s">
        <v>90</v>
      </c>
      <c r="BK195" s="61">
        <v>1</v>
      </c>
      <c r="BL195" s="62">
        <v>1</v>
      </c>
      <c r="BM195" s="62">
        <f t="shared" si="11"/>
        <v>0</v>
      </c>
      <c r="BN195" s="58" t="s">
        <v>607</v>
      </c>
      <c r="BO195" s="59"/>
      <c r="BP195" s="59">
        <v>20</v>
      </c>
      <c r="BQ195" s="63">
        <f t="shared" si="60"/>
        <v>2</v>
      </c>
      <c r="BR195" s="45">
        <v>1</v>
      </c>
      <c r="BS195" s="45">
        <f t="shared" si="13"/>
        <v>0.3010299956639812</v>
      </c>
      <c r="BU195" s="46"/>
      <c r="BV195" s="64">
        <v>1.25</v>
      </c>
      <c r="BW195" s="54">
        <f t="shared" si="61"/>
        <v>1</v>
      </c>
      <c r="BX195" s="45">
        <v>1</v>
      </c>
      <c r="BY195" s="45">
        <f t="shared" si="62"/>
        <v>0</v>
      </c>
      <c r="BZ195" s="61" t="s">
        <v>99</v>
      </c>
      <c r="CA195" s="46"/>
      <c r="CB195" s="65">
        <v>3588</v>
      </c>
      <c r="CC195" s="45">
        <v>2</v>
      </c>
      <c r="CD195" s="45">
        <v>2</v>
      </c>
      <c r="CE195" s="45">
        <f t="shared" si="16"/>
        <v>0.6020599913279624</v>
      </c>
      <c r="CG195" s="46"/>
      <c r="CH195" s="66" t="s">
        <v>137</v>
      </c>
      <c r="CI195" s="67">
        <v>2</v>
      </c>
      <c r="CJ195" s="68">
        <v>2</v>
      </c>
      <c r="CK195" s="68">
        <f t="shared" si="17"/>
        <v>0.6020599913279624</v>
      </c>
      <c r="CL195" s="68"/>
      <c r="CM195" s="69"/>
      <c r="CO195" s="70">
        <f t="shared" si="63"/>
        <v>1.8888888888888888</v>
      </c>
      <c r="CQ195" s="45">
        <f t="shared" si="19"/>
        <v>0.23413444107198536</v>
      </c>
      <c r="CR195" s="45">
        <f t="shared" si="20"/>
        <v>1.7144879657061456</v>
      </c>
      <c r="CT195" s="71">
        <f t="shared" si="21"/>
        <v>1.3210075527314271</v>
      </c>
    </row>
    <row r="196" spans="1:98" ht="16">
      <c r="A196" s="36">
        <v>194</v>
      </c>
      <c r="B196" s="37"/>
      <c r="C196" s="37"/>
      <c r="D196" s="37"/>
      <c r="E196" s="38" t="s">
        <v>1053</v>
      </c>
      <c r="F196" s="38" t="s">
        <v>158</v>
      </c>
      <c r="G196" s="38" t="s">
        <v>1054</v>
      </c>
      <c r="H196" s="38" t="s">
        <v>160</v>
      </c>
      <c r="I196" s="72">
        <v>5</v>
      </c>
      <c r="J196" s="53" t="s">
        <v>88</v>
      </c>
      <c r="K196" s="42">
        <v>0</v>
      </c>
      <c r="L196" s="42">
        <v>2</v>
      </c>
      <c r="M196" s="42">
        <v>1</v>
      </c>
      <c r="N196" s="42">
        <f t="shared" si="0"/>
        <v>2</v>
      </c>
      <c r="O196" s="214" t="s">
        <v>1055</v>
      </c>
      <c r="P196" s="53"/>
      <c r="Q196" s="43">
        <v>10</v>
      </c>
      <c r="R196" s="44">
        <f t="shared" si="58"/>
        <v>3</v>
      </c>
      <c r="S196" s="45">
        <v>1</v>
      </c>
      <c r="T196" s="45">
        <f t="shared" si="2"/>
        <v>3</v>
      </c>
      <c r="V196" s="46"/>
      <c r="W196" s="58" t="s">
        <v>162</v>
      </c>
      <c r="X196" s="73">
        <v>2.8</v>
      </c>
      <c r="Y196" s="44">
        <f t="shared" si="3"/>
        <v>2</v>
      </c>
      <c r="Z196" s="45">
        <v>1</v>
      </c>
      <c r="AA196" s="45">
        <f t="shared" si="4"/>
        <v>2</v>
      </c>
      <c r="AB196" s="45">
        <v>1</v>
      </c>
      <c r="AD196" s="49" t="s">
        <v>163</v>
      </c>
      <c r="AE196" s="50" t="s">
        <v>146</v>
      </c>
      <c r="AF196" s="50">
        <v>2</v>
      </c>
      <c r="AG196" s="50">
        <v>3</v>
      </c>
      <c r="AH196" s="50">
        <v>2</v>
      </c>
      <c r="AI196" s="50">
        <f t="shared" si="5"/>
        <v>6</v>
      </c>
      <c r="AJ196" s="50" t="s">
        <v>633</v>
      </c>
      <c r="AK196" s="51" t="s">
        <v>165</v>
      </c>
      <c r="AL196" s="61">
        <v>53556</v>
      </c>
      <c r="AM196" s="53" t="s">
        <v>115</v>
      </c>
      <c r="AN196" s="42">
        <v>1</v>
      </c>
      <c r="AO196" s="54">
        <f t="shared" si="59"/>
        <v>3</v>
      </c>
      <c r="AP196" s="53">
        <v>2</v>
      </c>
      <c r="AQ196" s="53">
        <f t="shared" si="7"/>
        <v>6</v>
      </c>
      <c r="AR196" s="53"/>
      <c r="AS196" s="55"/>
      <c r="AT196" s="42">
        <v>31.5</v>
      </c>
      <c r="AU196" s="42" t="s">
        <v>88</v>
      </c>
      <c r="AV196" s="56">
        <v>0</v>
      </c>
      <c r="AW196" s="44">
        <f t="shared" si="8"/>
        <v>1</v>
      </c>
      <c r="AX196" s="42">
        <v>1</v>
      </c>
      <c r="AY196" s="42">
        <f t="shared" si="9"/>
        <v>1</v>
      </c>
      <c r="AZ196" s="42"/>
      <c r="BA196" s="42"/>
      <c r="BB196" s="57" t="s">
        <v>602</v>
      </c>
      <c r="BC196" s="58" t="s">
        <v>603</v>
      </c>
      <c r="BD196" s="58" t="s">
        <v>604</v>
      </c>
      <c r="BE196" s="59">
        <v>2</v>
      </c>
      <c r="BF196" s="58">
        <v>2</v>
      </c>
      <c r="BG196" s="58">
        <f t="shared" si="10"/>
        <v>0.6020599913279624</v>
      </c>
      <c r="BH196" s="58" t="s">
        <v>605</v>
      </c>
      <c r="BI196" s="58" t="s">
        <v>946</v>
      </c>
      <c r="BJ196" s="81" t="s">
        <v>166</v>
      </c>
      <c r="BK196" s="61">
        <v>3</v>
      </c>
      <c r="BL196" s="62">
        <v>1</v>
      </c>
      <c r="BM196" s="62">
        <f t="shared" si="11"/>
        <v>0.47712125471966244</v>
      </c>
      <c r="BN196" s="58" t="s">
        <v>607</v>
      </c>
      <c r="BO196" s="59"/>
      <c r="BP196" s="59">
        <v>38.25</v>
      </c>
      <c r="BQ196" s="63">
        <f t="shared" si="60"/>
        <v>1</v>
      </c>
      <c r="BR196" s="45">
        <v>1</v>
      </c>
      <c r="BS196" s="45">
        <f t="shared" si="13"/>
        <v>0</v>
      </c>
      <c r="BU196" s="46"/>
      <c r="BV196" s="64">
        <v>2</v>
      </c>
      <c r="BW196" s="54">
        <f t="shared" si="61"/>
        <v>1</v>
      </c>
      <c r="BX196" s="45">
        <v>1</v>
      </c>
      <c r="BY196" s="45">
        <f t="shared" si="62"/>
        <v>0</v>
      </c>
      <c r="BZ196" s="61" t="s">
        <v>1010</v>
      </c>
      <c r="CA196" s="46"/>
      <c r="CB196" s="65">
        <v>3578</v>
      </c>
      <c r="CC196" s="45">
        <v>2</v>
      </c>
      <c r="CD196" s="45">
        <v>2</v>
      </c>
      <c r="CE196" s="45">
        <f t="shared" si="16"/>
        <v>0.6020599913279624</v>
      </c>
      <c r="CG196" s="46"/>
      <c r="CH196" s="66" t="s">
        <v>92</v>
      </c>
      <c r="CI196" s="67">
        <v>3</v>
      </c>
      <c r="CJ196" s="68">
        <v>2</v>
      </c>
      <c r="CK196" s="68">
        <f t="shared" si="17"/>
        <v>0.95424250943932487</v>
      </c>
      <c r="CL196" s="68"/>
      <c r="CM196" s="69"/>
      <c r="CO196" s="70">
        <f t="shared" si="63"/>
        <v>2</v>
      </c>
      <c r="CQ196" s="45">
        <f t="shared" si="19"/>
        <v>0.29283152742387908</v>
      </c>
      <c r="CR196" s="45">
        <f t="shared" si="20"/>
        <v>1.9625987930301132</v>
      </c>
      <c r="CT196" s="71">
        <f t="shared" si="21"/>
        <v>1.3880188890440326</v>
      </c>
    </row>
    <row r="197" spans="1:98" ht="16" hidden="1">
      <c r="A197" s="36">
        <v>195</v>
      </c>
      <c r="B197" s="37"/>
      <c r="C197" s="37" t="s">
        <v>144</v>
      </c>
      <c r="D197" s="37" t="s">
        <v>686</v>
      </c>
      <c r="E197" s="38" t="s">
        <v>1056</v>
      </c>
      <c r="F197" s="38" t="s">
        <v>395</v>
      </c>
      <c r="G197" s="38" t="s">
        <v>688</v>
      </c>
      <c r="H197" s="38" t="s">
        <v>83</v>
      </c>
      <c r="I197" s="87"/>
      <c r="J197" s="53"/>
      <c r="K197" s="53"/>
      <c r="L197" s="53"/>
      <c r="M197" s="42">
        <v>1</v>
      </c>
      <c r="N197" s="42">
        <f t="shared" si="0"/>
        <v>0</v>
      </c>
      <c r="O197" s="53"/>
      <c r="P197" s="53"/>
      <c r="Q197" s="43"/>
      <c r="R197" s="44" t="str">
        <f>IF(Q197="","***",IF(Q197&lt;5,3,IF(Q197&lt;15,2,1)))</f>
        <v>***</v>
      </c>
      <c r="S197" s="45">
        <v>1</v>
      </c>
      <c r="T197" s="45" t="e">
        <f t="shared" si="2"/>
        <v>#VALUE!</v>
      </c>
      <c r="V197" s="46"/>
      <c r="W197" s="58"/>
      <c r="X197" s="88"/>
      <c r="Y197" s="44" t="str">
        <f t="shared" si="3"/>
        <v>***</v>
      </c>
      <c r="Z197" s="45">
        <v>1</v>
      </c>
      <c r="AA197" s="45" t="e">
        <f t="shared" si="4"/>
        <v>#VALUE!</v>
      </c>
      <c r="AB197" s="45">
        <v>1</v>
      </c>
      <c r="AD197" s="49" t="s">
        <v>89</v>
      </c>
      <c r="AE197" s="50" t="s">
        <v>115</v>
      </c>
      <c r="AF197" s="50">
        <v>1</v>
      </c>
      <c r="AG197" s="50">
        <v>3</v>
      </c>
      <c r="AH197" s="50">
        <v>2</v>
      </c>
      <c r="AI197" s="50">
        <f t="shared" si="5"/>
        <v>6</v>
      </c>
      <c r="AJ197" s="50" t="s">
        <v>755</v>
      </c>
      <c r="AK197" s="51" t="s">
        <v>89</v>
      </c>
      <c r="AL197" s="61"/>
      <c r="AM197" s="53"/>
      <c r="AN197" s="42"/>
      <c r="AO197" s="42"/>
      <c r="AP197" s="53">
        <v>2</v>
      </c>
      <c r="AQ197" s="53">
        <f t="shared" si="7"/>
        <v>0</v>
      </c>
      <c r="AR197" s="53"/>
      <c r="AS197" s="55"/>
      <c r="AT197" s="89">
        <v>23</v>
      </c>
      <c r="AU197" s="42" t="s">
        <v>88</v>
      </c>
      <c r="AV197" s="56">
        <v>0</v>
      </c>
      <c r="AW197" s="44">
        <f t="shared" si="8"/>
        <v>2</v>
      </c>
      <c r="AX197" s="42">
        <v>1</v>
      </c>
      <c r="AY197" s="42">
        <f t="shared" si="9"/>
        <v>2</v>
      </c>
      <c r="AZ197" s="89"/>
      <c r="BA197" s="89"/>
      <c r="BB197" s="57"/>
      <c r="BC197" s="58"/>
      <c r="BD197" s="58"/>
      <c r="BE197" s="58"/>
      <c r="BF197" s="58">
        <v>2</v>
      </c>
      <c r="BG197" s="58" t="e">
        <f t="shared" si="10"/>
        <v>#NUM!</v>
      </c>
      <c r="BH197" s="58" t="s">
        <v>605</v>
      </c>
      <c r="BI197" s="58"/>
      <c r="BJ197" s="60" t="s">
        <v>90</v>
      </c>
      <c r="BK197" s="61">
        <v>1</v>
      </c>
      <c r="BL197" s="62">
        <v>1</v>
      </c>
      <c r="BM197" s="62">
        <f t="shared" si="11"/>
        <v>0</v>
      </c>
      <c r="BN197" s="58" t="s">
        <v>607</v>
      </c>
      <c r="BO197" s="59"/>
      <c r="BP197" s="59"/>
      <c r="BQ197" s="90"/>
      <c r="BR197" s="45">
        <v>1</v>
      </c>
      <c r="BS197" s="45" t="e">
        <f t="shared" si="13"/>
        <v>#NUM!</v>
      </c>
      <c r="BU197" s="46"/>
      <c r="BV197" s="64"/>
      <c r="BW197" s="45"/>
      <c r="BX197" s="45">
        <v>1</v>
      </c>
      <c r="BY197" s="45" t="e">
        <f>BX197*LOG(BV197)</f>
        <v>#NUM!</v>
      </c>
      <c r="BZ197" s="61"/>
      <c r="CA197" s="46"/>
      <c r="CB197" s="65">
        <v>3518</v>
      </c>
      <c r="CC197" s="45">
        <v>2</v>
      </c>
      <c r="CD197" s="45">
        <v>2</v>
      </c>
      <c r="CE197" s="45">
        <f t="shared" si="16"/>
        <v>0.6020599913279624</v>
      </c>
      <c r="CG197" s="46"/>
      <c r="CH197" s="66" t="s">
        <v>92</v>
      </c>
      <c r="CI197" s="67">
        <v>3</v>
      </c>
      <c r="CJ197" s="68">
        <v>1</v>
      </c>
      <c r="CK197" s="68">
        <f t="shared" si="17"/>
        <v>0.47712125471966244</v>
      </c>
      <c r="CL197" s="78"/>
      <c r="CM197" s="79" t="s">
        <v>144</v>
      </c>
      <c r="CO197" s="70" t="e">
        <f>(SUM(N197,T197,AA197,AI197,AQ197,AY197)/SUM(M197,S197,Z197,AH197,AP197,AX197,BF197))</f>
        <v>#VALUE!</v>
      </c>
      <c r="CQ197" s="45" t="e">
        <f t="shared" si="19"/>
        <v>#NUM!</v>
      </c>
      <c r="CR197" s="45" t="e">
        <f t="shared" si="20"/>
        <v>#NUM!</v>
      </c>
      <c r="CT197" s="71" t="e">
        <f t="shared" si="21"/>
        <v>#VALUE!</v>
      </c>
    </row>
    <row r="198" spans="1:98" ht="16">
      <c r="A198" s="36">
        <v>196</v>
      </c>
      <c r="B198" s="37"/>
      <c r="C198" s="37"/>
      <c r="D198" s="37"/>
      <c r="E198" s="38" t="s">
        <v>1057</v>
      </c>
      <c r="F198" s="38" t="s">
        <v>158</v>
      </c>
      <c r="G198" s="38" t="s">
        <v>1058</v>
      </c>
      <c r="H198" s="38" t="s">
        <v>160</v>
      </c>
      <c r="I198" s="72">
        <v>3.5</v>
      </c>
      <c r="J198" s="53" t="s">
        <v>88</v>
      </c>
      <c r="K198" s="42">
        <v>0</v>
      </c>
      <c r="L198" s="42">
        <v>3</v>
      </c>
      <c r="M198" s="42">
        <v>1</v>
      </c>
      <c r="N198" s="42">
        <f t="shared" si="0"/>
        <v>3</v>
      </c>
      <c r="O198" s="53"/>
      <c r="P198" s="53"/>
      <c r="Q198" s="43">
        <v>9</v>
      </c>
      <c r="R198" s="44">
        <f t="shared" ref="R198:R209" si="64">IF(Q198="","***",IF(Q198&lt;30,3,IF(Q198&gt;60,1,2)))</f>
        <v>3</v>
      </c>
      <c r="S198" s="45">
        <v>1</v>
      </c>
      <c r="T198" s="45">
        <f t="shared" si="2"/>
        <v>3</v>
      </c>
      <c r="V198" s="46"/>
      <c r="W198" s="58" t="s">
        <v>298</v>
      </c>
      <c r="X198" s="73">
        <v>2.8</v>
      </c>
      <c r="Y198" s="44">
        <f t="shared" si="3"/>
        <v>2</v>
      </c>
      <c r="Z198" s="45">
        <v>1</v>
      </c>
      <c r="AA198" s="45">
        <f t="shared" si="4"/>
        <v>2</v>
      </c>
      <c r="AB198" s="45">
        <v>1</v>
      </c>
      <c r="AD198" s="49" t="s">
        <v>163</v>
      </c>
      <c r="AE198" s="50" t="s">
        <v>146</v>
      </c>
      <c r="AF198" s="50">
        <v>2</v>
      </c>
      <c r="AG198" s="50">
        <v>3</v>
      </c>
      <c r="AH198" s="50">
        <v>2</v>
      </c>
      <c r="AI198" s="50">
        <f t="shared" si="5"/>
        <v>6</v>
      </c>
      <c r="AJ198" s="50" t="s">
        <v>633</v>
      </c>
      <c r="AK198" s="51" t="s">
        <v>165</v>
      </c>
      <c r="AL198" s="61">
        <v>53556</v>
      </c>
      <c r="AM198" s="53" t="s">
        <v>115</v>
      </c>
      <c r="AN198" s="42">
        <v>1</v>
      </c>
      <c r="AO198" s="54">
        <f t="shared" ref="AO198:AO209" si="65">IF(AL198="","***",IF(AL198&gt;15000,3,IF(AL198&lt;1000,1,2)))</f>
        <v>3</v>
      </c>
      <c r="AP198" s="53">
        <v>2</v>
      </c>
      <c r="AQ198" s="53">
        <f t="shared" si="7"/>
        <v>6</v>
      </c>
      <c r="AR198" s="53"/>
      <c r="AS198" s="55"/>
      <c r="AT198" s="53">
        <v>29.5</v>
      </c>
      <c r="AU198" s="42" t="s">
        <v>115</v>
      </c>
      <c r="AV198" s="44">
        <v>1</v>
      </c>
      <c r="AW198" s="44">
        <f t="shared" si="8"/>
        <v>2</v>
      </c>
      <c r="AX198" s="42">
        <v>1</v>
      </c>
      <c r="AY198" s="42">
        <f t="shared" si="9"/>
        <v>2</v>
      </c>
      <c r="AZ198" s="42">
        <v>89</v>
      </c>
      <c r="BA198" s="53" t="s">
        <v>1059</v>
      </c>
      <c r="BB198" s="57" t="s">
        <v>602</v>
      </c>
      <c r="BC198" s="58" t="s">
        <v>603</v>
      </c>
      <c r="BD198" s="58" t="s">
        <v>609</v>
      </c>
      <c r="BE198" s="59">
        <v>2</v>
      </c>
      <c r="BF198" s="58">
        <v>2</v>
      </c>
      <c r="BG198" s="58">
        <f t="shared" si="10"/>
        <v>0.6020599913279624</v>
      </c>
      <c r="BH198" s="58" t="s">
        <v>605</v>
      </c>
      <c r="BI198" s="58" t="s">
        <v>644</v>
      </c>
      <c r="BJ198" s="81" t="s">
        <v>90</v>
      </c>
      <c r="BK198" s="61">
        <v>1</v>
      </c>
      <c r="BL198" s="62">
        <v>1</v>
      </c>
      <c r="BM198" s="62">
        <f t="shared" si="11"/>
        <v>0</v>
      </c>
      <c r="BN198" s="58" t="s">
        <v>607</v>
      </c>
      <c r="BO198" s="59"/>
      <c r="BP198" s="59">
        <v>55</v>
      </c>
      <c r="BQ198" s="63">
        <f t="shared" ref="BQ198:BQ209" si="66">IF(BP198&lt;10,3,IF(BP198&lt;30,2,1))</f>
        <v>1</v>
      </c>
      <c r="BR198" s="45">
        <v>1</v>
      </c>
      <c r="BS198" s="45">
        <f t="shared" si="13"/>
        <v>0</v>
      </c>
      <c r="BU198" s="46"/>
      <c r="BV198" s="64">
        <v>2</v>
      </c>
      <c r="BW198" s="54">
        <f t="shared" ref="BW198:BW209" si="67">IF(BV198&lt;2.5,1,IF(BV198&gt;3.5,3,2))</f>
        <v>1</v>
      </c>
      <c r="BX198" s="45">
        <v>1</v>
      </c>
      <c r="BY198" s="45">
        <f t="shared" ref="BY198:BY209" si="68">BX198*LOG(BW198)</f>
        <v>0</v>
      </c>
      <c r="BZ198" s="61" t="s">
        <v>1010</v>
      </c>
      <c r="CA198" s="46"/>
      <c r="CB198" s="65">
        <v>3515</v>
      </c>
      <c r="CC198" s="45">
        <v>2</v>
      </c>
      <c r="CD198" s="45">
        <v>2</v>
      </c>
      <c r="CE198" s="45">
        <f t="shared" si="16"/>
        <v>0.6020599913279624</v>
      </c>
      <c r="CG198" s="46"/>
      <c r="CH198" s="66" t="s">
        <v>92</v>
      </c>
      <c r="CI198" s="67">
        <v>3</v>
      </c>
      <c r="CJ198" s="68">
        <v>2</v>
      </c>
      <c r="CK198" s="68">
        <f t="shared" si="17"/>
        <v>0.95424250943932487</v>
      </c>
      <c r="CL198" s="68"/>
      <c r="CM198" s="69"/>
      <c r="CO198" s="70">
        <f t="shared" ref="CO198:CO209" si="69">(SUM(T198,AA198,AI198,AQ198,AY198)/SUM(S198,Z198,AH198,AP198,AX198,BF198))</f>
        <v>2.1111111111111112</v>
      </c>
      <c r="CQ198" s="45">
        <f t="shared" si="19"/>
        <v>0.23981805467724998</v>
      </c>
      <c r="CR198" s="45">
        <f t="shared" si="20"/>
        <v>1.7370729389807016</v>
      </c>
      <c r="CT198" s="71">
        <f t="shared" si="21"/>
        <v>1.1547293943464731</v>
      </c>
    </row>
    <row r="199" spans="1:98" ht="16">
      <c r="A199" s="36">
        <v>197</v>
      </c>
      <c r="B199" s="37"/>
      <c r="C199" s="37"/>
      <c r="D199" s="37"/>
      <c r="E199" s="38" t="s">
        <v>1060</v>
      </c>
      <c r="F199" s="38" t="s">
        <v>448</v>
      </c>
      <c r="G199" s="38" t="s">
        <v>1061</v>
      </c>
      <c r="H199" s="38" t="s">
        <v>160</v>
      </c>
      <c r="I199" s="72">
        <v>21</v>
      </c>
      <c r="J199" s="53" t="s">
        <v>88</v>
      </c>
      <c r="K199" s="42">
        <v>0</v>
      </c>
      <c r="L199" s="42">
        <v>1</v>
      </c>
      <c r="M199" s="42">
        <v>1</v>
      </c>
      <c r="N199" s="42">
        <f t="shared" si="0"/>
        <v>1</v>
      </c>
      <c r="O199" s="214" t="s">
        <v>1062</v>
      </c>
      <c r="P199" s="53"/>
      <c r="Q199" s="43">
        <v>26</v>
      </c>
      <c r="R199" s="44">
        <f t="shared" si="64"/>
        <v>3</v>
      </c>
      <c r="S199" s="45">
        <v>1</v>
      </c>
      <c r="T199" s="45">
        <f t="shared" si="2"/>
        <v>3</v>
      </c>
      <c r="V199" s="46"/>
      <c r="W199" s="58" t="s">
        <v>450</v>
      </c>
      <c r="X199" s="73">
        <v>2.7</v>
      </c>
      <c r="Y199" s="44">
        <f t="shared" si="3"/>
        <v>2</v>
      </c>
      <c r="Z199" s="45">
        <v>1</v>
      </c>
      <c r="AA199" s="45">
        <f t="shared" si="4"/>
        <v>2</v>
      </c>
      <c r="AB199" s="45">
        <v>1</v>
      </c>
      <c r="AD199" s="49" t="s">
        <v>163</v>
      </c>
      <c r="AE199" s="50" t="s">
        <v>146</v>
      </c>
      <c r="AF199" s="50">
        <v>2</v>
      </c>
      <c r="AG199" s="50">
        <v>3</v>
      </c>
      <c r="AH199" s="50">
        <v>2</v>
      </c>
      <c r="AI199" s="50">
        <f t="shared" si="5"/>
        <v>6</v>
      </c>
      <c r="AJ199" s="50">
        <v>1</v>
      </c>
      <c r="AK199" s="51" t="s">
        <v>165</v>
      </c>
      <c r="AL199" s="61">
        <v>66943</v>
      </c>
      <c r="AM199" s="53" t="s">
        <v>146</v>
      </c>
      <c r="AN199" s="42">
        <v>2</v>
      </c>
      <c r="AO199" s="54">
        <f t="shared" si="65"/>
        <v>3</v>
      </c>
      <c r="AP199" s="53">
        <v>2</v>
      </c>
      <c r="AQ199" s="53">
        <f t="shared" si="7"/>
        <v>6</v>
      </c>
      <c r="AR199" s="53"/>
      <c r="AS199" s="55"/>
      <c r="AT199" s="42">
        <v>22.8</v>
      </c>
      <c r="AU199" s="42" t="s">
        <v>88</v>
      </c>
      <c r="AV199" s="56">
        <v>0</v>
      </c>
      <c r="AW199" s="44">
        <f t="shared" si="8"/>
        <v>2</v>
      </c>
      <c r="AX199" s="42">
        <v>1</v>
      </c>
      <c r="AY199" s="42">
        <f t="shared" si="9"/>
        <v>2</v>
      </c>
      <c r="AZ199" s="42"/>
      <c r="BA199" s="42"/>
      <c r="BB199" s="57" t="s">
        <v>602</v>
      </c>
      <c r="BC199" s="58" t="s">
        <v>603</v>
      </c>
      <c r="BD199" s="58" t="s">
        <v>604</v>
      </c>
      <c r="BE199" s="59">
        <v>2</v>
      </c>
      <c r="BF199" s="58">
        <v>2</v>
      </c>
      <c r="BG199" s="58">
        <f t="shared" si="10"/>
        <v>0.6020599913279624</v>
      </c>
      <c r="BH199" s="58" t="s">
        <v>605</v>
      </c>
      <c r="BI199" s="58" t="s">
        <v>946</v>
      </c>
      <c r="BJ199" s="81" t="s">
        <v>166</v>
      </c>
      <c r="BK199" s="61">
        <v>3</v>
      </c>
      <c r="BL199" s="62">
        <v>1</v>
      </c>
      <c r="BM199" s="62">
        <f t="shared" si="11"/>
        <v>0.47712125471966244</v>
      </c>
      <c r="BN199" s="58" t="s">
        <v>607</v>
      </c>
      <c r="BO199" s="59"/>
      <c r="BP199" s="59">
        <v>21.5</v>
      </c>
      <c r="BQ199" s="63">
        <f t="shared" si="66"/>
        <v>2</v>
      </c>
      <c r="BR199" s="45">
        <v>1</v>
      </c>
      <c r="BS199" s="45">
        <f t="shared" si="13"/>
        <v>0.3010299956639812</v>
      </c>
      <c r="BU199" s="46"/>
      <c r="BV199" s="64">
        <v>2.5</v>
      </c>
      <c r="BW199" s="54">
        <f t="shared" si="67"/>
        <v>2</v>
      </c>
      <c r="BX199" s="45">
        <v>1</v>
      </c>
      <c r="BY199" s="45">
        <f t="shared" si="68"/>
        <v>0.3010299956639812</v>
      </c>
      <c r="BZ199" s="61" t="s">
        <v>99</v>
      </c>
      <c r="CA199" s="46"/>
      <c r="CB199" s="65">
        <v>3497</v>
      </c>
      <c r="CC199" s="45">
        <v>2</v>
      </c>
      <c r="CD199" s="45">
        <v>2</v>
      </c>
      <c r="CE199" s="45">
        <f t="shared" si="16"/>
        <v>0.6020599913279624</v>
      </c>
      <c r="CG199" s="46"/>
      <c r="CH199" s="66" t="s">
        <v>180</v>
      </c>
      <c r="CI199" s="67">
        <v>3</v>
      </c>
      <c r="CJ199" s="68">
        <v>2</v>
      </c>
      <c r="CK199" s="68">
        <f t="shared" si="17"/>
        <v>0.95424250943932487</v>
      </c>
      <c r="CL199" s="78"/>
      <c r="CM199" s="79" t="s">
        <v>144</v>
      </c>
      <c r="CO199" s="70">
        <f t="shared" si="69"/>
        <v>2.1111111111111112</v>
      </c>
      <c r="CQ199" s="45">
        <f t="shared" si="19"/>
        <v>0.35972708201587494</v>
      </c>
      <c r="CR199" s="45">
        <f t="shared" si="20"/>
        <v>2.2894284851066642</v>
      </c>
      <c r="CT199" s="71">
        <f t="shared" si="21"/>
        <v>1.5661255616950356</v>
      </c>
    </row>
    <row r="200" spans="1:98" ht="16">
      <c r="A200" s="36">
        <v>198</v>
      </c>
      <c r="B200" s="37"/>
      <c r="C200" s="37"/>
      <c r="D200" s="37"/>
      <c r="E200" s="38" t="s">
        <v>1063</v>
      </c>
      <c r="F200" s="38" t="s">
        <v>1064</v>
      </c>
      <c r="G200" s="38" t="s">
        <v>1065</v>
      </c>
      <c r="H200" s="38" t="s">
        <v>372</v>
      </c>
      <c r="I200" s="72">
        <v>6.75</v>
      </c>
      <c r="J200" s="53" t="s">
        <v>146</v>
      </c>
      <c r="K200" s="42">
        <v>2</v>
      </c>
      <c r="L200" s="42">
        <v>2</v>
      </c>
      <c r="M200" s="42">
        <v>1</v>
      </c>
      <c r="N200" s="42">
        <f t="shared" si="0"/>
        <v>2</v>
      </c>
      <c r="O200" s="42" t="s">
        <v>799</v>
      </c>
      <c r="P200" s="53"/>
      <c r="Q200" s="43">
        <v>16</v>
      </c>
      <c r="R200" s="44">
        <f t="shared" si="64"/>
        <v>3</v>
      </c>
      <c r="S200" s="45">
        <v>1</v>
      </c>
      <c r="T200" s="45">
        <f t="shared" si="2"/>
        <v>3</v>
      </c>
      <c r="V200" s="46"/>
      <c r="W200" s="58" t="s">
        <v>519</v>
      </c>
      <c r="X200" s="73">
        <v>3.6</v>
      </c>
      <c r="Y200" s="44">
        <f t="shared" si="3"/>
        <v>1</v>
      </c>
      <c r="Z200" s="45">
        <v>1</v>
      </c>
      <c r="AA200" s="45">
        <f t="shared" si="4"/>
        <v>1</v>
      </c>
      <c r="AB200" s="45">
        <v>1</v>
      </c>
      <c r="AD200" s="49" t="s">
        <v>1066</v>
      </c>
      <c r="AE200" s="50" t="s">
        <v>88</v>
      </c>
      <c r="AF200" s="50">
        <v>0</v>
      </c>
      <c r="AG200" s="50">
        <v>3</v>
      </c>
      <c r="AH200" s="50">
        <v>2</v>
      </c>
      <c r="AI200" s="50">
        <f t="shared" si="5"/>
        <v>6</v>
      </c>
      <c r="AJ200" s="50">
        <v>1</v>
      </c>
      <c r="AK200" s="51" t="s">
        <v>135</v>
      </c>
      <c r="AL200" s="61">
        <v>161743</v>
      </c>
      <c r="AM200" s="53" t="s">
        <v>146</v>
      </c>
      <c r="AN200" s="42">
        <v>2</v>
      </c>
      <c r="AO200" s="54">
        <f t="shared" si="65"/>
        <v>3</v>
      </c>
      <c r="AP200" s="53">
        <v>2</v>
      </c>
      <c r="AQ200" s="53">
        <f t="shared" si="7"/>
        <v>6</v>
      </c>
      <c r="AR200" s="53"/>
      <c r="AS200" s="55"/>
      <c r="AT200" s="42">
        <v>49.7</v>
      </c>
      <c r="AU200" s="42" t="s">
        <v>88</v>
      </c>
      <c r="AV200" s="56">
        <v>0</v>
      </c>
      <c r="AW200" s="44">
        <f t="shared" si="8"/>
        <v>1</v>
      </c>
      <c r="AX200" s="42">
        <v>1</v>
      </c>
      <c r="AY200" s="42">
        <f t="shared" si="9"/>
        <v>1</v>
      </c>
      <c r="AZ200" s="42"/>
      <c r="BA200" s="42"/>
      <c r="BB200" s="57" t="s">
        <v>602</v>
      </c>
      <c r="BC200" s="58" t="s">
        <v>603</v>
      </c>
      <c r="BD200" s="58" t="s">
        <v>604</v>
      </c>
      <c r="BE200" s="59">
        <v>2</v>
      </c>
      <c r="BF200" s="58">
        <v>2</v>
      </c>
      <c r="BG200" s="58">
        <f t="shared" si="10"/>
        <v>0.6020599913279624</v>
      </c>
      <c r="BH200" s="58" t="s">
        <v>605</v>
      </c>
      <c r="BI200" s="58" t="s">
        <v>606</v>
      </c>
      <c r="BJ200" s="60" t="s">
        <v>90</v>
      </c>
      <c r="BK200" s="61">
        <v>1</v>
      </c>
      <c r="BL200" s="62">
        <v>1</v>
      </c>
      <c r="BM200" s="62">
        <f t="shared" si="11"/>
        <v>0</v>
      </c>
      <c r="BN200" s="58" t="s">
        <v>607</v>
      </c>
      <c r="BO200" s="86"/>
      <c r="BP200" s="86">
        <v>31.5</v>
      </c>
      <c r="BQ200" s="63">
        <f t="shared" si="66"/>
        <v>1</v>
      </c>
      <c r="BR200" s="45">
        <v>1</v>
      </c>
      <c r="BS200" s="45">
        <f t="shared" si="13"/>
        <v>0</v>
      </c>
      <c r="BU200" s="46"/>
      <c r="BV200" s="64">
        <v>1.25</v>
      </c>
      <c r="BW200" s="54">
        <f t="shared" si="67"/>
        <v>1</v>
      </c>
      <c r="BX200" s="45">
        <v>1</v>
      </c>
      <c r="BY200" s="45">
        <f t="shared" si="68"/>
        <v>0</v>
      </c>
      <c r="BZ200" s="61" t="s">
        <v>99</v>
      </c>
      <c r="CA200" s="46"/>
      <c r="CB200" s="65">
        <v>3487</v>
      </c>
      <c r="CC200" s="45">
        <v>2</v>
      </c>
      <c r="CD200" s="45">
        <v>2</v>
      </c>
      <c r="CE200" s="45">
        <f t="shared" si="16"/>
        <v>0.6020599913279624</v>
      </c>
      <c r="CG200" s="46"/>
      <c r="CH200" s="66" t="s">
        <v>137</v>
      </c>
      <c r="CI200" s="67">
        <v>2</v>
      </c>
      <c r="CJ200" s="68">
        <v>2</v>
      </c>
      <c r="CK200" s="68">
        <f t="shared" si="17"/>
        <v>0.6020599913279624</v>
      </c>
      <c r="CL200" s="68"/>
      <c r="CM200" s="69" t="s">
        <v>144</v>
      </c>
      <c r="CO200" s="70">
        <f t="shared" si="69"/>
        <v>1.8888888888888888</v>
      </c>
      <c r="CQ200" s="45">
        <f t="shared" si="19"/>
        <v>0.20068666377598746</v>
      </c>
      <c r="CR200" s="45">
        <f t="shared" si="20"/>
        <v>1.5874010519681996</v>
      </c>
      <c r="CT200" s="71">
        <f t="shared" si="21"/>
        <v>1.2568245291558864</v>
      </c>
    </row>
    <row r="201" spans="1:98" ht="16">
      <c r="A201" s="36">
        <v>199</v>
      </c>
      <c r="B201" s="37"/>
      <c r="C201" s="37"/>
      <c r="D201" s="37"/>
      <c r="E201" s="38" t="s">
        <v>1067</v>
      </c>
      <c r="F201" s="38" t="s">
        <v>1068</v>
      </c>
      <c r="G201" s="38" t="s">
        <v>1069</v>
      </c>
      <c r="H201" s="38" t="s">
        <v>819</v>
      </c>
      <c r="I201" s="72">
        <v>17.5</v>
      </c>
      <c r="J201" s="53" t="s">
        <v>88</v>
      </c>
      <c r="K201" s="42">
        <v>0</v>
      </c>
      <c r="L201" s="42">
        <v>1</v>
      </c>
      <c r="M201" s="42">
        <v>1</v>
      </c>
      <c r="N201" s="42">
        <f t="shared" si="0"/>
        <v>1</v>
      </c>
      <c r="O201" s="53"/>
      <c r="P201" s="53"/>
      <c r="Q201" s="43">
        <v>14.3</v>
      </c>
      <c r="R201" s="44">
        <f t="shared" si="64"/>
        <v>3</v>
      </c>
      <c r="S201" s="45">
        <v>1</v>
      </c>
      <c r="T201" s="45">
        <f t="shared" si="2"/>
        <v>3</v>
      </c>
      <c r="V201" s="46"/>
      <c r="W201" s="58" t="s">
        <v>1070</v>
      </c>
      <c r="X201" s="73">
        <v>3.9</v>
      </c>
      <c r="Y201" s="44">
        <f t="shared" si="3"/>
        <v>1</v>
      </c>
      <c r="Z201" s="45">
        <v>1</v>
      </c>
      <c r="AA201" s="45">
        <f t="shared" si="4"/>
        <v>1</v>
      </c>
      <c r="AB201" s="45">
        <v>1</v>
      </c>
      <c r="AD201" s="49" t="s">
        <v>163</v>
      </c>
      <c r="AE201" s="50" t="s">
        <v>146</v>
      </c>
      <c r="AF201" s="50">
        <v>2</v>
      </c>
      <c r="AG201" s="50">
        <v>3</v>
      </c>
      <c r="AH201" s="50">
        <v>2</v>
      </c>
      <c r="AI201" s="50">
        <f t="shared" si="5"/>
        <v>6</v>
      </c>
      <c r="AJ201" s="50">
        <v>1</v>
      </c>
      <c r="AK201" s="51"/>
      <c r="AL201" s="59">
        <v>149485</v>
      </c>
      <c r="AM201" s="53" t="s">
        <v>146</v>
      </c>
      <c r="AN201" s="42">
        <v>2</v>
      </c>
      <c r="AO201" s="54">
        <f t="shared" si="65"/>
        <v>3</v>
      </c>
      <c r="AP201" s="53">
        <v>2</v>
      </c>
      <c r="AQ201" s="53">
        <f t="shared" si="7"/>
        <v>6</v>
      </c>
      <c r="AR201" s="53"/>
      <c r="AS201" s="55"/>
      <c r="AT201" s="42">
        <v>19.100000000000001</v>
      </c>
      <c r="AU201" s="42" t="s">
        <v>115</v>
      </c>
      <c r="AV201" s="44">
        <v>1</v>
      </c>
      <c r="AW201" s="44">
        <f t="shared" si="8"/>
        <v>2</v>
      </c>
      <c r="AX201" s="42">
        <v>1</v>
      </c>
      <c r="AY201" s="42">
        <f t="shared" si="9"/>
        <v>2</v>
      </c>
      <c r="AZ201" s="42" t="s">
        <v>340</v>
      </c>
      <c r="BA201" s="53" t="s">
        <v>1071</v>
      </c>
      <c r="BB201" s="57" t="s">
        <v>642</v>
      </c>
      <c r="BC201" s="58" t="s">
        <v>643</v>
      </c>
      <c r="BD201" s="58" t="s">
        <v>609</v>
      </c>
      <c r="BE201" s="59">
        <v>2</v>
      </c>
      <c r="BF201" s="58">
        <v>2</v>
      </c>
      <c r="BG201" s="58">
        <f t="shared" si="10"/>
        <v>0.6020599913279624</v>
      </c>
      <c r="BH201" s="58" t="s">
        <v>605</v>
      </c>
      <c r="BI201" s="58" t="s">
        <v>644</v>
      </c>
      <c r="BJ201" s="60" t="s">
        <v>90</v>
      </c>
      <c r="BK201" s="61">
        <v>1</v>
      </c>
      <c r="BL201" s="62">
        <v>1</v>
      </c>
      <c r="BM201" s="62">
        <f t="shared" si="11"/>
        <v>0</v>
      </c>
      <c r="BN201" s="58" t="s">
        <v>607</v>
      </c>
      <c r="BO201" s="59"/>
      <c r="BP201" s="59">
        <v>24</v>
      </c>
      <c r="BQ201" s="63">
        <f t="shared" si="66"/>
        <v>2</v>
      </c>
      <c r="BR201" s="45">
        <v>1</v>
      </c>
      <c r="BS201" s="45">
        <f t="shared" si="13"/>
        <v>0.3010299956639812</v>
      </c>
      <c r="BU201" s="46"/>
      <c r="BV201" s="64">
        <v>2</v>
      </c>
      <c r="BW201" s="54">
        <f t="shared" si="67"/>
        <v>1</v>
      </c>
      <c r="BX201" s="45">
        <v>1</v>
      </c>
      <c r="BY201" s="45">
        <f t="shared" si="68"/>
        <v>0</v>
      </c>
      <c r="BZ201" s="61">
        <v>46</v>
      </c>
      <c r="CA201" s="46"/>
      <c r="CB201" s="65">
        <v>3465</v>
      </c>
      <c r="CC201" s="45">
        <v>2</v>
      </c>
      <c r="CD201" s="45">
        <v>2</v>
      </c>
      <c r="CE201" s="45">
        <f t="shared" si="16"/>
        <v>0.6020599913279624</v>
      </c>
      <c r="CG201" s="46"/>
      <c r="CH201" s="66" t="s">
        <v>106</v>
      </c>
      <c r="CI201" s="67">
        <v>3</v>
      </c>
      <c r="CJ201" s="68">
        <v>2</v>
      </c>
      <c r="CK201" s="68">
        <f t="shared" si="17"/>
        <v>0.95424250943932487</v>
      </c>
      <c r="CL201" s="78"/>
      <c r="CM201" s="79" t="s">
        <v>144</v>
      </c>
      <c r="CO201" s="70">
        <f t="shared" si="69"/>
        <v>2</v>
      </c>
      <c r="CQ201" s="45">
        <f t="shared" si="19"/>
        <v>0.27326583197324783</v>
      </c>
      <c r="CR201" s="45">
        <f t="shared" si="20"/>
        <v>1.8761425449123872</v>
      </c>
      <c r="CT201" s="71">
        <f t="shared" si="21"/>
        <v>1.329520875731387</v>
      </c>
    </row>
    <row r="202" spans="1:98" ht="16">
      <c r="A202" s="36">
        <v>200</v>
      </c>
      <c r="B202" s="37"/>
      <c r="C202" s="37"/>
      <c r="D202" s="37"/>
      <c r="E202" s="38" t="s">
        <v>1072</v>
      </c>
      <c r="F202" s="38" t="s">
        <v>529</v>
      </c>
      <c r="G202" s="38" t="s">
        <v>1073</v>
      </c>
      <c r="H202" s="38" t="s">
        <v>83</v>
      </c>
      <c r="I202" s="72">
        <v>6.5</v>
      </c>
      <c r="J202" s="53" t="s">
        <v>88</v>
      </c>
      <c r="K202" s="42">
        <v>0</v>
      </c>
      <c r="L202" s="42">
        <v>2</v>
      </c>
      <c r="M202" s="42">
        <v>1</v>
      </c>
      <c r="N202" s="42">
        <f t="shared" si="0"/>
        <v>2</v>
      </c>
      <c r="O202" s="53"/>
      <c r="P202" s="53"/>
      <c r="Q202" s="43">
        <v>10</v>
      </c>
      <c r="R202" s="44">
        <f t="shared" si="64"/>
        <v>3</v>
      </c>
      <c r="S202" s="45">
        <v>1</v>
      </c>
      <c r="T202" s="45">
        <f t="shared" si="2"/>
        <v>3</v>
      </c>
      <c r="V202" s="46"/>
      <c r="W202" s="58" t="s">
        <v>406</v>
      </c>
      <c r="X202" s="73">
        <v>3.1</v>
      </c>
      <c r="Y202" s="44">
        <f t="shared" si="3"/>
        <v>2</v>
      </c>
      <c r="Z202" s="45">
        <v>1</v>
      </c>
      <c r="AA202" s="45">
        <f t="shared" si="4"/>
        <v>2</v>
      </c>
      <c r="AB202" s="45">
        <v>1</v>
      </c>
      <c r="AD202" s="49" t="s">
        <v>1074</v>
      </c>
      <c r="AE202" s="50" t="s">
        <v>88</v>
      </c>
      <c r="AF202" s="50">
        <v>0</v>
      </c>
      <c r="AG202" s="50">
        <v>3</v>
      </c>
      <c r="AH202" s="50">
        <v>2</v>
      </c>
      <c r="AI202" s="50">
        <f t="shared" si="5"/>
        <v>6</v>
      </c>
      <c r="AJ202" s="50">
        <v>1</v>
      </c>
      <c r="AK202" s="51" t="s">
        <v>89</v>
      </c>
      <c r="AL202" s="61">
        <v>1250</v>
      </c>
      <c r="AM202" s="53" t="s">
        <v>88</v>
      </c>
      <c r="AN202" s="42">
        <v>0</v>
      </c>
      <c r="AO202" s="54">
        <f t="shared" si="65"/>
        <v>2</v>
      </c>
      <c r="AP202" s="53">
        <v>2</v>
      </c>
      <c r="AQ202" s="53">
        <f t="shared" si="7"/>
        <v>4</v>
      </c>
      <c r="AR202" s="53"/>
      <c r="AS202" s="55" t="s">
        <v>1075</v>
      </c>
      <c r="AT202" s="42">
        <v>25.3</v>
      </c>
      <c r="AU202" s="42" t="s">
        <v>88</v>
      </c>
      <c r="AV202" s="56">
        <v>0</v>
      </c>
      <c r="AW202" s="44">
        <f t="shared" si="8"/>
        <v>2</v>
      </c>
      <c r="AX202" s="42">
        <v>1</v>
      </c>
      <c r="AY202" s="42">
        <f t="shared" si="9"/>
        <v>2</v>
      </c>
      <c r="AZ202" s="42"/>
      <c r="BA202" s="42"/>
      <c r="BB202" s="57" t="s">
        <v>642</v>
      </c>
      <c r="BC202" s="58" t="s">
        <v>643</v>
      </c>
      <c r="BD202" s="58" t="s">
        <v>609</v>
      </c>
      <c r="BE202" s="59">
        <v>2</v>
      </c>
      <c r="BF202" s="58">
        <v>2</v>
      </c>
      <c r="BG202" s="58">
        <f t="shared" si="10"/>
        <v>0.6020599913279624</v>
      </c>
      <c r="BH202" s="58" t="s">
        <v>605</v>
      </c>
      <c r="BI202" s="58" t="s">
        <v>644</v>
      </c>
      <c r="BJ202" s="60" t="s">
        <v>90</v>
      </c>
      <c r="BK202" s="61">
        <v>1</v>
      </c>
      <c r="BL202" s="62">
        <v>1</v>
      </c>
      <c r="BM202" s="62">
        <f t="shared" si="11"/>
        <v>0</v>
      </c>
      <c r="BN202" s="58" t="s">
        <v>607</v>
      </c>
      <c r="BO202" s="59"/>
      <c r="BP202" s="59">
        <v>27.5</v>
      </c>
      <c r="BQ202" s="63">
        <f t="shared" si="66"/>
        <v>2</v>
      </c>
      <c r="BR202" s="45">
        <v>1</v>
      </c>
      <c r="BS202" s="45">
        <f t="shared" si="13"/>
        <v>0.3010299956639812</v>
      </c>
      <c r="BU202" s="46"/>
      <c r="BV202" s="64">
        <v>2</v>
      </c>
      <c r="BW202" s="54">
        <f t="shared" si="67"/>
        <v>1</v>
      </c>
      <c r="BX202" s="45">
        <v>1</v>
      </c>
      <c r="BY202" s="45">
        <f t="shared" si="68"/>
        <v>0</v>
      </c>
      <c r="BZ202" s="61">
        <v>46</v>
      </c>
      <c r="CA202" s="46"/>
      <c r="CB202" s="65">
        <v>3433</v>
      </c>
      <c r="CC202" s="45">
        <v>2</v>
      </c>
      <c r="CD202" s="45">
        <v>2</v>
      </c>
      <c r="CE202" s="45">
        <f t="shared" si="16"/>
        <v>0.6020599913279624</v>
      </c>
      <c r="CG202" s="46"/>
      <c r="CH202" s="66" t="s">
        <v>106</v>
      </c>
      <c r="CI202" s="67">
        <v>3</v>
      </c>
      <c r="CJ202" s="68">
        <v>2</v>
      </c>
      <c r="CK202" s="68">
        <f t="shared" si="17"/>
        <v>0.95424250943932487</v>
      </c>
      <c r="CL202" s="78"/>
      <c r="CM202" s="79" t="s">
        <v>144</v>
      </c>
      <c r="CO202" s="70">
        <f t="shared" si="69"/>
        <v>1.8888888888888888</v>
      </c>
      <c r="CQ202" s="45">
        <f t="shared" si="19"/>
        <v>0.27326583197324783</v>
      </c>
      <c r="CR202" s="45">
        <f t="shared" si="20"/>
        <v>1.8761425449123872</v>
      </c>
      <c r="CT202" s="71">
        <f t="shared" si="21"/>
        <v>1.4149889258365671</v>
      </c>
    </row>
    <row r="203" spans="1:98" ht="16">
      <c r="A203" s="36">
        <v>201</v>
      </c>
      <c r="B203" s="37"/>
      <c r="C203" s="37"/>
      <c r="D203" s="37"/>
      <c r="E203" s="38" t="s">
        <v>1076</v>
      </c>
      <c r="F203" s="38" t="s">
        <v>1077</v>
      </c>
      <c r="G203" s="38" t="s">
        <v>1078</v>
      </c>
      <c r="H203" s="38" t="s">
        <v>83</v>
      </c>
      <c r="I203" s="72">
        <v>6.3</v>
      </c>
      <c r="J203" s="53" t="s">
        <v>146</v>
      </c>
      <c r="K203" s="42">
        <v>2</v>
      </c>
      <c r="L203" s="42">
        <v>2</v>
      </c>
      <c r="M203" s="42">
        <v>1</v>
      </c>
      <c r="N203" s="42">
        <f t="shared" si="0"/>
        <v>2</v>
      </c>
      <c r="O203" s="42" t="s">
        <v>799</v>
      </c>
      <c r="P203" s="53"/>
      <c r="Q203" s="43">
        <v>8</v>
      </c>
      <c r="R203" s="44">
        <f t="shared" si="64"/>
        <v>3</v>
      </c>
      <c r="S203" s="45">
        <v>1</v>
      </c>
      <c r="T203" s="45">
        <f t="shared" si="2"/>
        <v>3</v>
      </c>
      <c r="V203" s="46"/>
      <c r="W203" s="58" t="s">
        <v>178</v>
      </c>
      <c r="X203" s="73">
        <v>3.4</v>
      </c>
      <c r="Y203" s="44">
        <f t="shared" si="3"/>
        <v>2</v>
      </c>
      <c r="Z203" s="45">
        <v>1</v>
      </c>
      <c r="AA203" s="45">
        <f t="shared" si="4"/>
        <v>2</v>
      </c>
      <c r="AB203" s="45">
        <v>1</v>
      </c>
      <c r="AD203" s="49" t="s">
        <v>87</v>
      </c>
      <c r="AE203" s="50" t="s">
        <v>88</v>
      </c>
      <c r="AF203" s="50">
        <v>0</v>
      </c>
      <c r="AG203" s="50">
        <v>3</v>
      </c>
      <c r="AH203" s="50">
        <v>2</v>
      </c>
      <c r="AI203" s="50">
        <f t="shared" si="5"/>
        <v>6</v>
      </c>
      <c r="AJ203" s="50">
        <v>1</v>
      </c>
      <c r="AK203" s="51" t="s">
        <v>89</v>
      </c>
      <c r="AL203" s="52">
        <v>57661</v>
      </c>
      <c r="AM203" s="53" t="s">
        <v>146</v>
      </c>
      <c r="AN203" s="42">
        <v>2</v>
      </c>
      <c r="AO203" s="54">
        <f t="shared" si="65"/>
        <v>3</v>
      </c>
      <c r="AP203" s="53">
        <v>2</v>
      </c>
      <c r="AQ203" s="53">
        <f t="shared" si="7"/>
        <v>6</v>
      </c>
      <c r="AR203" s="53"/>
      <c r="AS203" s="55"/>
      <c r="AT203" s="42">
        <v>19.2</v>
      </c>
      <c r="AU203" s="42" t="s">
        <v>88</v>
      </c>
      <c r="AV203" s="56">
        <v>0</v>
      </c>
      <c r="AW203" s="44">
        <f t="shared" si="8"/>
        <v>2</v>
      </c>
      <c r="AX203" s="42">
        <v>1</v>
      </c>
      <c r="AY203" s="42">
        <f t="shared" si="9"/>
        <v>2</v>
      </c>
      <c r="AZ203" s="42"/>
      <c r="BA203" s="42"/>
      <c r="BB203" s="57" t="s">
        <v>602</v>
      </c>
      <c r="BC203" s="58" t="s">
        <v>603</v>
      </c>
      <c r="BD203" s="58" t="s">
        <v>604</v>
      </c>
      <c r="BE203" s="59">
        <v>2</v>
      </c>
      <c r="BF203" s="58">
        <v>2</v>
      </c>
      <c r="BG203" s="58">
        <f t="shared" si="10"/>
        <v>0.6020599913279624</v>
      </c>
      <c r="BH203" s="58" t="s">
        <v>605</v>
      </c>
      <c r="BI203" s="58" t="s">
        <v>1079</v>
      </c>
      <c r="BJ203" s="60" t="s">
        <v>90</v>
      </c>
      <c r="BK203" s="61">
        <v>1</v>
      </c>
      <c r="BL203" s="62">
        <v>1</v>
      </c>
      <c r="BM203" s="62">
        <f t="shared" si="11"/>
        <v>0</v>
      </c>
      <c r="BN203" s="58" t="s">
        <v>607</v>
      </c>
      <c r="BO203" s="59"/>
      <c r="BP203" s="59">
        <v>5.5</v>
      </c>
      <c r="BQ203" s="63">
        <f t="shared" si="66"/>
        <v>3</v>
      </c>
      <c r="BR203" s="45">
        <v>1</v>
      </c>
      <c r="BS203" s="45">
        <f t="shared" si="13"/>
        <v>0.47712125471966244</v>
      </c>
      <c r="BU203" s="46"/>
      <c r="BV203" s="64">
        <v>5</v>
      </c>
      <c r="BW203" s="54">
        <f t="shared" si="67"/>
        <v>3</v>
      </c>
      <c r="BX203" s="45">
        <v>1</v>
      </c>
      <c r="BY203" s="45">
        <f t="shared" si="68"/>
        <v>0.47712125471966244</v>
      </c>
      <c r="BZ203" s="61">
        <v>46</v>
      </c>
      <c r="CA203" s="46"/>
      <c r="CB203" s="65">
        <v>3431</v>
      </c>
      <c r="CC203" s="45">
        <v>2</v>
      </c>
      <c r="CD203" s="45">
        <v>2</v>
      </c>
      <c r="CE203" s="45">
        <f t="shared" si="16"/>
        <v>0.6020599913279624</v>
      </c>
      <c r="CG203" s="46"/>
      <c r="CH203" s="66" t="s">
        <v>106</v>
      </c>
      <c r="CI203" s="67">
        <v>3</v>
      </c>
      <c r="CJ203" s="68">
        <v>2</v>
      </c>
      <c r="CK203" s="68">
        <f t="shared" si="17"/>
        <v>0.95424250943932487</v>
      </c>
      <c r="CL203" s="78"/>
      <c r="CM203" s="79" t="s">
        <v>144</v>
      </c>
      <c r="CO203" s="70">
        <f t="shared" si="69"/>
        <v>2.1111111111111112</v>
      </c>
      <c r="CQ203" s="45">
        <f t="shared" si="19"/>
        <v>0.34584500017050829</v>
      </c>
      <c r="CR203" s="45">
        <f t="shared" si="20"/>
        <v>2.2174048860973312</v>
      </c>
      <c r="CT203" s="71">
        <f t="shared" si="21"/>
        <v>1.5073812104055759</v>
      </c>
    </row>
    <row r="204" spans="1:98" ht="16">
      <c r="A204" s="36">
        <v>202</v>
      </c>
      <c r="B204" s="37"/>
      <c r="C204" s="37"/>
      <c r="D204" s="37"/>
      <c r="E204" s="38" t="s">
        <v>1080</v>
      </c>
      <c r="F204" s="38" t="s">
        <v>906</v>
      </c>
      <c r="G204" s="38" t="s">
        <v>1081</v>
      </c>
      <c r="H204" s="38" t="s">
        <v>152</v>
      </c>
      <c r="I204" s="72">
        <v>10</v>
      </c>
      <c r="J204" s="53" t="s">
        <v>88</v>
      </c>
      <c r="K204" s="42">
        <v>0</v>
      </c>
      <c r="L204" s="42">
        <v>2</v>
      </c>
      <c r="M204" s="42">
        <v>1</v>
      </c>
      <c r="N204" s="42">
        <f t="shared" si="0"/>
        <v>2</v>
      </c>
      <c r="O204" s="53"/>
      <c r="P204" s="53"/>
      <c r="Q204" s="43">
        <v>18.25</v>
      </c>
      <c r="R204" s="44">
        <f t="shared" si="64"/>
        <v>3</v>
      </c>
      <c r="S204" s="45">
        <v>1</v>
      </c>
      <c r="T204" s="45">
        <f t="shared" si="2"/>
        <v>3</v>
      </c>
      <c r="V204" s="46"/>
      <c r="W204" s="58" t="s">
        <v>1082</v>
      </c>
      <c r="X204" s="73">
        <v>3.3</v>
      </c>
      <c r="Y204" s="44">
        <f t="shared" si="3"/>
        <v>2</v>
      </c>
      <c r="Z204" s="45">
        <v>1</v>
      </c>
      <c r="AA204" s="45">
        <f t="shared" si="4"/>
        <v>2</v>
      </c>
      <c r="AB204" s="45">
        <v>1</v>
      </c>
      <c r="AD204" s="49" t="s">
        <v>1083</v>
      </c>
      <c r="AE204" s="50" t="s">
        <v>88</v>
      </c>
      <c r="AF204" s="50">
        <v>0</v>
      </c>
      <c r="AG204" s="50">
        <v>3</v>
      </c>
      <c r="AH204" s="50">
        <v>2</v>
      </c>
      <c r="AI204" s="50">
        <f t="shared" si="5"/>
        <v>6</v>
      </c>
      <c r="AJ204" s="50">
        <v>1</v>
      </c>
      <c r="AK204" s="51" t="s">
        <v>1084</v>
      </c>
      <c r="AL204" s="61">
        <v>224825</v>
      </c>
      <c r="AM204" s="53" t="s">
        <v>88</v>
      </c>
      <c r="AN204" s="42">
        <v>0</v>
      </c>
      <c r="AO204" s="54">
        <f t="shared" si="65"/>
        <v>3</v>
      </c>
      <c r="AP204" s="53">
        <v>2</v>
      </c>
      <c r="AQ204" s="53">
        <f t="shared" si="7"/>
        <v>6</v>
      </c>
      <c r="AR204" s="53"/>
      <c r="AS204" s="55"/>
      <c r="AT204" s="42">
        <v>48.2</v>
      </c>
      <c r="AU204" s="42" t="s">
        <v>88</v>
      </c>
      <c r="AV204" s="56">
        <v>0</v>
      </c>
      <c r="AW204" s="44">
        <f t="shared" si="8"/>
        <v>1</v>
      </c>
      <c r="AX204" s="42">
        <v>1</v>
      </c>
      <c r="AY204" s="42">
        <f t="shared" si="9"/>
        <v>1</v>
      </c>
      <c r="AZ204" s="42"/>
      <c r="BA204" s="42"/>
      <c r="BB204" s="57" t="s">
        <v>642</v>
      </c>
      <c r="BC204" s="58" t="s">
        <v>643</v>
      </c>
      <c r="BD204" s="58" t="s">
        <v>609</v>
      </c>
      <c r="BE204" s="59">
        <v>2</v>
      </c>
      <c r="BF204" s="58">
        <v>2</v>
      </c>
      <c r="BG204" s="58">
        <f t="shared" si="10"/>
        <v>0.6020599913279624</v>
      </c>
      <c r="BH204" s="58" t="s">
        <v>605</v>
      </c>
      <c r="BI204" s="58" t="s">
        <v>644</v>
      </c>
      <c r="BJ204" s="60" t="s">
        <v>90</v>
      </c>
      <c r="BK204" s="61">
        <v>1</v>
      </c>
      <c r="BL204" s="62">
        <v>1</v>
      </c>
      <c r="BM204" s="62">
        <f t="shared" si="11"/>
        <v>0</v>
      </c>
      <c r="BN204" s="58" t="s">
        <v>607</v>
      </c>
      <c r="BO204" s="59"/>
      <c r="BP204" s="59">
        <v>20</v>
      </c>
      <c r="BQ204" s="63">
        <f t="shared" si="66"/>
        <v>2</v>
      </c>
      <c r="BR204" s="45">
        <v>1</v>
      </c>
      <c r="BS204" s="45">
        <f t="shared" si="13"/>
        <v>0.3010299956639812</v>
      </c>
      <c r="BU204" s="46"/>
      <c r="BV204" s="64">
        <v>1.375</v>
      </c>
      <c r="BW204" s="54">
        <f t="shared" si="67"/>
        <v>1</v>
      </c>
      <c r="BX204" s="45">
        <v>1</v>
      </c>
      <c r="BY204" s="45">
        <f t="shared" si="68"/>
        <v>0</v>
      </c>
      <c r="BZ204" s="61" t="s">
        <v>99</v>
      </c>
      <c r="CA204" s="46"/>
      <c r="CB204" s="65">
        <v>3268</v>
      </c>
      <c r="CC204" s="45">
        <v>2</v>
      </c>
      <c r="CD204" s="45">
        <v>2</v>
      </c>
      <c r="CE204" s="45">
        <f t="shared" si="16"/>
        <v>0.6020599913279624</v>
      </c>
      <c r="CG204" s="46"/>
      <c r="CH204" s="66" t="s">
        <v>92</v>
      </c>
      <c r="CI204" s="67">
        <v>3</v>
      </c>
      <c r="CJ204" s="68">
        <v>2</v>
      </c>
      <c r="CK204" s="68">
        <f t="shared" si="17"/>
        <v>0.95424250943932487</v>
      </c>
      <c r="CL204" s="78"/>
      <c r="CM204" s="79" t="s">
        <v>144</v>
      </c>
      <c r="CO204" s="70">
        <f t="shared" si="69"/>
        <v>2</v>
      </c>
      <c r="CQ204" s="45">
        <f t="shared" si="19"/>
        <v>0.27326583197324783</v>
      </c>
      <c r="CR204" s="45">
        <f t="shared" si="20"/>
        <v>1.8761425449123872</v>
      </c>
      <c r="CT204" s="71">
        <f t="shared" si="21"/>
        <v>1.329520875731387</v>
      </c>
    </row>
    <row r="205" spans="1:98" ht="16">
      <c r="A205" s="36">
        <v>203</v>
      </c>
      <c r="B205" s="37"/>
      <c r="C205" s="37"/>
      <c r="D205" s="37"/>
      <c r="E205" s="38" t="s">
        <v>1085</v>
      </c>
      <c r="F205" s="38" t="s">
        <v>94</v>
      </c>
      <c r="G205" s="38" t="s">
        <v>1086</v>
      </c>
      <c r="H205" s="38" t="s">
        <v>83</v>
      </c>
      <c r="I205" s="72">
        <v>4.9000000000000004</v>
      </c>
      <c r="J205" s="53" t="s">
        <v>115</v>
      </c>
      <c r="K205" s="42">
        <v>1</v>
      </c>
      <c r="L205" s="42">
        <v>3</v>
      </c>
      <c r="M205" s="42">
        <v>1</v>
      </c>
      <c r="N205" s="42">
        <f t="shared" si="0"/>
        <v>3</v>
      </c>
      <c r="O205" s="42" t="s">
        <v>799</v>
      </c>
      <c r="P205" s="53"/>
      <c r="Q205" s="43">
        <v>10</v>
      </c>
      <c r="R205" s="44">
        <f t="shared" si="64"/>
        <v>3</v>
      </c>
      <c r="S205" s="45">
        <v>1</v>
      </c>
      <c r="T205" s="45">
        <f t="shared" si="2"/>
        <v>3</v>
      </c>
      <c r="V205" s="46"/>
      <c r="W205" s="58" t="s">
        <v>1087</v>
      </c>
      <c r="X205" s="73">
        <v>2.1</v>
      </c>
      <c r="Y205" s="44">
        <f t="shared" si="3"/>
        <v>3</v>
      </c>
      <c r="Z205" s="45">
        <v>1</v>
      </c>
      <c r="AA205" s="45">
        <f t="shared" si="4"/>
        <v>3</v>
      </c>
      <c r="AB205" s="45">
        <v>1</v>
      </c>
      <c r="AD205" s="49" t="s">
        <v>87</v>
      </c>
      <c r="AE205" s="50" t="s">
        <v>88</v>
      </c>
      <c r="AF205" s="50">
        <v>0</v>
      </c>
      <c r="AG205" s="50">
        <v>3</v>
      </c>
      <c r="AH205" s="50">
        <v>2</v>
      </c>
      <c r="AI205" s="50">
        <f t="shared" si="5"/>
        <v>6</v>
      </c>
      <c r="AJ205" s="50">
        <v>1</v>
      </c>
      <c r="AK205" s="51" t="s">
        <v>89</v>
      </c>
      <c r="AL205" s="61">
        <v>2929</v>
      </c>
      <c r="AM205" s="53" t="s">
        <v>88</v>
      </c>
      <c r="AN205" s="42">
        <v>0</v>
      </c>
      <c r="AO205" s="54">
        <f t="shared" si="65"/>
        <v>2</v>
      </c>
      <c r="AP205" s="53">
        <v>2</v>
      </c>
      <c r="AQ205" s="53">
        <f t="shared" si="7"/>
        <v>4</v>
      </c>
      <c r="AR205" s="53"/>
      <c r="AS205" s="55"/>
      <c r="AT205" s="53">
        <v>18.5</v>
      </c>
      <c r="AU205" s="42" t="s">
        <v>115</v>
      </c>
      <c r="AV205" s="44">
        <v>1</v>
      </c>
      <c r="AW205" s="44">
        <f t="shared" si="8"/>
        <v>2</v>
      </c>
      <c r="AX205" s="42">
        <v>1</v>
      </c>
      <c r="AY205" s="42">
        <f t="shared" si="9"/>
        <v>2</v>
      </c>
      <c r="AZ205" s="42">
        <v>62</v>
      </c>
      <c r="BA205" s="53" t="s">
        <v>1088</v>
      </c>
      <c r="BB205" s="57" t="s">
        <v>602</v>
      </c>
      <c r="BC205" s="58" t="s">
        <v>603</v>
      </c>
      <c r="BD205" s="58" t="s">
        <v>609</v>
      </c>
      <c r="BE205" s="59">
        <v>1</v>
      </c>
      <c r="BF205" s="58">
        <v>2</v>
      </c>
      <c r="BG205" s="58">
        <f t="shared" si="10"/>
        <v>0</v>
      </c>
      <c r="BH205" s="58" t="s">
        <v>605</v>
      </c>
      <c r="BI205" s="58" t="s">
        <v>610</v>
      </c>
      <c r="BJ205" s="60" t="s">
        <v>90</v>
      </c>
      <c r="BK205" s="61">
        <v>1</v>
      </c>
      <c r="BL205" s="62">
        <v>1</v>
      </c>
      <c r="BM205" s="62">
        <f t="shared" si="11"/>
        <v>0</v>
      </c>
      <c r="BN205" s="58" t="s">
        <v>607</v>
      </c>
      <c r="BO205" s="59"/>
      <c r="BP205" s="59">
        <v>1</v>
      </c>
      <c r="BQ205" s="63">
        <f t="shared" si="66"/>
        <v>3</v>
      </c>
      <c r="BR205" s="45">
        <v>1</v>
      </c>
      <c r="BS205" s="45">
        <f t="shared" si="13"/>
        <v>0.47712125471966244</v>
      </c>
      <c r="BU205" s="46"/>
      <c r="BV205" s="64">
        <v>1.75</v>
      </c>
      <c r="BW205" s="54">
        <f t="shared" si="67"/>
        <v>1</v>
      </c>
      <c r="BX205" s="45">
        <v>1</v>
      </c>
      <c r="BY205" s="45">
        <f t="shared" si="68"/>
        <v>0</v>
      </c>
      <c r="BZ205" s="61" t="s">
        <v>273</v>
      </c>
      <c r="CA205" s="46"/>
      <c r="CB205" s="65">
        <v>3219</v>
      </c>
      <c r="CC205" s="45">
        <v>2</v>
      </c>
      <c r="CD205" s="45">
        <v>2</v>
      </c>
      <c r="CE205" s="45">
        <f t="shared" si="16"/>
        <v>0.6020599913279624</v>
      </c>
      <c r="CG205" s="46"/>
      <c r="CH205" s="66">
        <v>2</v>
      </c>
      <c r="CI205" s="67">
        <v>3</v>
      </c>
      <c r="CJ205" s="68">
        <v>2</v>
      </c>
      <c r="CK205" s="68">
        <f t="shared" si="17"/>
        <v>0.95424250943932487</v>
      </c>
      <c r="CL205" s="68"/>
      <c r="CM205" s="69"/>
      <c r="CO205" s="70">
        <f t="shared" si="69"/>
        <v>2</v>
      </c>
      <c r="CQ205" s="45">
        <f t="shared" si="19"/>
        <v>0.22593597283188332</v>
      </c>
      <c r="CR205" s="45">
        <f t="shared" si="20"/>
        <v>1.682426006079768</v>
      </c>
      <c r="CT205" s="71">
        <f t="shared" si="21"/>
        <v>1.210663146285532</v>
      </c>
    </row>
    <row r="206" spans="1:98" ht="16">
      <c r="A206" s="36">
        <v>204</v>
      </c>
      <c r="B206" s="37"/>
      <c r="C206" s="37"/>
      <c r="D206" s="37"/>
      <c r="E206" s="38" t="s">
        <v>1089</v>
      </c>
      <c r="F206" s="38" t="s">
        <v>94</v>
      </c>
      <c r="G206" s="38" t="s">
        <v>1090</v>
      </c>
      <c r="H206" s="38" t="s">
        <v>83</v>
      </c>
      <c r="I206" s="72">
        <v>4.9000000000000004</v>
      </c>
      <c r="J206" s="53" t="s">
        <v>115</v>
      </c>
      <c r="K206" s="42">
        <v>1</v>
      </c>
      <c r="L206" s="42">
        <v>3</v>
      </c>
      <c r="M206" s="42">
        <v>1</v>
      </c>
      <c r="N206" s="42">
        <f t="shared" si="0"/>
        <v>3</v>
      </c>
      <c r="O206" s="42" t="s">
        <v>799</v>
      </c>
      <c r="P206" s="53"/>
      <c r="Q206" s="43">
        <v>8</v>
      </c>
      <c r="R206" s="44">
        <f t="shared" si="64"/>
        <v>3</v>
      </c>
      <c r="S206" s="45">
        <v>1</v>
      </c>
      <c r="T206" s="45">
        <f t="shared" si="2"/>
        <v>3</v>
      </c>
      <c r="V206" s="46"/>
      <c r="W206" s="58" t="s">
        <v>422</v>
      </c>
      <c r="X206" s="73">
        <v>2.7</v>
      </c>
      <c r="Y206" s="44">
        <f t="shared" si="3"/>
        <v>2</v>
      </c>
      <c r="Z206" s="45">
        <v>1</v>
      </c>
      <c r="AA206" s="45">
        <f t="shared" si="4"/>
        <v>2</v>
      </c>
      <c r="AB206" s="45">
        <v>1</v>
      </c>
      <c r="AD206" s="49" t="s">
        <v>87</v>
      </c>
      <c r="AE206" s="50" t="s">
        <v>88</v>
      </c>
      <c r="AF206" s="50">
        <v>0</v>
      </c>
      <c r="AG206" s="50">
        <v>3</v>
      </c>
      <c r="AH206" s="50">
        <v>2</v>
      </c>
      <c r="AI206" s="50">
        <f t="shared" si="5"/>
        <v>6</v>
      </c>
      <c r="AJ206" s="50">
        <v>1</v>
      </c>
      <c r="AK206" s="51" t="s">
        <v>89</v>
      </c>
      <c r="AL206" s="52">
        <v>26408</v>
      </c>
      <c r="AM206" s="53" t="s">
        <v>115</v>
      </c>
      <c r="AN206" s="42">
        <v>1</v>
      </c>
      <c r="AO206" s="54">
        <f t="shared" si="65"/>
        <v>3</v>
      </c>
      <c r="AP206" s="53">
        <v>2</v>
      </c>
      <c r="AQ206" s="53">
        <f t="shared" si="7"/>
        <v>6</v>
      </c>
      <c r="AR206" s="53"/>
      <c r="AS206" s="55"/>
      <c r="AT206" s="42">
        <v>22.1</v>
      </c>
      <c r="AU206" s="42" t="s">
        <v>88</v>
      </c>
      <c r="AV206" s="56">
        <v>0</v>
      </c>
      <c r="AW206" s="44">
        <f t="shared" si="8"/>
        <v>2</v>
      </c>
      <c r="AX206" s="42">
        <v>1</v>
      </c>
      <c r="AY206" s="42">
        <f t="shared" si="9"/>
        <v>2</v>
      </c>
      <c r="AZ206" s="42"/>
      <c r="BA206" s="42"/>
      <c r="BB206" s="57" t="s">
        <v>602</v>
      </c>
      <c r="BC206" s="58" t="s">
        <v>603</v>
      </c>
      <c r="BD206" s="58" t="s">
        <v>609</v>
      </c>
      <c r="BE206" s="59">
        <v>1</v>
      </c>
      <c r="BF206" s="58">
        <v>2</v>
      </c>
      <c r="BG206" s="58">
        <f t="shared" si="10"/>
        <v>0</v>
      </c>
      <c r="BH206" s="58" t="s">
        <v>605</v>
      </c>
      <c r="BI206" s="58" t="s">
        <v>610</v>
      </c>
      <c r="BJ206" s="60" t="s">
        <v>90</v>
      </c>
      <c r="BK206" s="61">
        <v>1</v>
      </c>
      <c r="BL206" s="62">
        <v>1</v>
      </c>
      <c r="BM206" s="62">
        <f t="shared" si="11"/>
        <v>0</v>
      </c>
      <c r="BN206" s="58" t="s">
        <v>607</v>
      </c>
      <c r="BO206" s="59"/>
      <c r="BP206" s="59">
        <v>1</v>
      </c>
      <c r="BQ206" s="63">
        <f t="shared" si="66"/>
        <v>3</v>
      </c>
      <c r="BR206" s="45">
        <v>1</v>
      </c>
      <c r="BS206" s="45">
        <f t="shared" si="13"/>
        <v>0.47712125471966244</v>
      </c>
      <c r="BU206" s="46"/>
      <c r="BV206" s="64">
        <v>2.25</v>
      </c>
      <c r="BW206" s="54">
        <f t="shared" si="67"/>
        <v>1</v>
      </c>
      <c r="BX206" s="45">
        <v>1</v>
      </c>
      <c r="BY206" s="45">
        <f t="shared" si="68"/>
        <v>0</v>
      </c>
      <c r="BZ206" s="61" t="s">
        <v>273</v>
      </c>
      <c r="CA206" s="46"/>
      <c r="CB206" s="65">
        <v>3169</v>
      </c>
      <c r="CC206" s="45">
        <v>2</v>
      </c>
      <c r="CD206" s="45">
        <v>2</v>
      </c>
      <c r="CE206" s="45">
        <f t="shared" si="16"/>
        <v>0.6020599913279624</v>
      </c>
      <c r="CG206" s="46"/>
      <c r="CH206" s="66" t="s">
        <v>92</v>
      </c>
      <c r="CI206" s="67">
        <v>3</v>
      </c>
      <c r="CJ206" s="68">
        <v>2</v>
      </c>
      <c r="CK206" s="68">
        <f t="shared" si="17"/>
        <v>0.95424250943932487</v>
      </c>
      <c r="CL206" s="68"/>
      <c r="CM206" s="69"/>
      <c r="CO206" s="70">
        <f t="shared" si="69"/>
        <v>2.1111111111111112</v>
      </c>
      <c r="CQ206" s="45">
        <f t="shared" si="19"/>
        <v>0.22593597283188332</v>
      </c>
      <c r="CR206" s="45">
        <f t="shared" si="20"/>
        <v>1.682426006079768</v>
      </c>
      <c r="CT206" s="71">
        <f t="shared" si="21"/>
        <v>1.120637635707505</v>
      </c>
    </row>
    <row r="207" spans="1:98" ht="16">
      <c r="A207" s="36">
        <v>205</v>
      </c>
      <c r="B207" s="37"/>
      <c r="C207" s="37"/>
      <c r="D207" s="37"/>
      <c r="E207" s="38" t="s">
        <v>1091</v>
      </c>
      <c r="F207" s="38" t="s">
        <v>1092</v>
      </c>
      <c r="G207" s="38" t="s">
        <v>1093</v>
      </c>
      <c r="H207" s="38" t="s">
        <v>372</v>
      </c>
      <c r="I207" s="72">
        <v>5.5</v>
      </c>
      <c r="J207" s="53" t="s">
        <v>88</v>
      </c>
      <c r="K207" s="42">
        <v>0</v>
      </c>
      <c r="L207" s="42">
        <v>2</v>
      </c>
      <c r="M207" s="42">
        <v>1</v>
      </c>
      <c r="N207" s="42">
        <f t="shared" si="0"/>
        <v>2</v>
      </c>
      <c r="O207" s="53"/>
      <c r="P207" s="53"/>
      <c r="Q207" s="43">
        <v>9.5</v>
      </c>
      <c r="R207" s="44">
        <f t="shared" si="64"/>
        <v>3</v>
      </c>
      <c r="S207" s="45">
        <v>1</v>
      </c>
      <c r="T207" s="45">
        <f t="shared" si="2"/>
        <v>3</v>
      </c>
      <c r="V207" s="46"/>
      <c r="W207" s="58" t="s">
        <v>319</v>
      </c>
      <c r="X207" s="73">
        <v>4</v>
      </c>
      <c r="Y207" s="44">
        <f t="shared" si="3"/>
        <v>1</v>
      </c>
      <c r="Z207" s="45">
        <v>1</v>
      </c>
      <c r="AA207" s="45">
        <f t="shared" si="4"/>
        <v>1</v>
      </c>
      <c r="AB207" s="45">
        <v>1</v>
      </c>
      <c r="AD207" s="49" t="s">
        <v>1094</v>
      </c>
      <c r="AE207" s="50" t="s">
        <v>88</v>
      </c>
      <c r="AF207" s="50">
        <v>0</v>
      </c>
      <c r="AG207" s="50">
        <v>3</v>
      </c>
      <c r="AH207" s="50">
        <v>2</v>
      </c>
      <c r="AI207" s="50">
        <f t="shared" si="5"/>
        <v>6</v>
      </c>
      <c r="AJ207" s="50">
        <v>1</v>
      </c>
      <c r="AK207" s="51" t="s">
        <v>135</v>
      </c>
      <c r="AL207" s="61">
        <v>161743</v>
      </c>
      <c r="AM207" s="53" t="s">
        <v>146</v>
      </c>
      <c r="AN207" s="42">
        <v>2</v>
      </c>
      <c r="AO207" s="54">
        <f t="shared" si="65"/>
        <v>3</v>
      </c>
      <c r="AP207" s="53">
        <v>2</v>
      </c>
      <c r="AQ207" s="53">
        <f t="shared" si="7"/>
        <v>6</v>
      </c>
      <c r="AR207" s="53"/>
      <c r="AS207" s="55"/>
      <c r="AT207" s="42">
        <v>51</v>
      </c>
      <c r="AU207" s="42" t="s">
        <v>88</v>
      </c>
      <c r="AV207" s="56">
        <v>0</v>
      </c>
      <c r="AW207" s="44">
        <f t="shared" si="8"/>
        <v>1</v>
      </c>
      <c r="AX207" s="42">
        <v>1</v>
      </c>
      <c r="AY207" s="42">
        <f t="shared" si="9"/>
        <v>1</v>
      </c>
      <c r="AZ207" s="42"/>
      <c r="BA207" s="42"/>
      <c r="BB207" s="57" t="s">
        <v>602</v>
      </c>
      <c r="BC207" s="58" t="s">
        <v>603</v>
      </c>
      <c r="BD207" s="58" t="s">
        <v>604</v>
      </c>
      <c r="BE207" s="59">
        <v>2</v>
      </c>
      <c r="BF207" s="58">
        <v>2</v>
      </c>
      <c r="BG207" s="58">
        <f t="shared" si="10"/>
        <v>0.6020599913279624</v>
      </c>
      <c r="BH207" s="58" t="s">
        <v>605</v>
      </c>
      <c r="BI207" s="58" t="s">
        <v>946</v>
      </c>
      <c r="BJ207" s="60" t="s">
        <v>90</v>
      </c>
      <c r="BK207" s="61">
        <v>1</v>
      </c>
      <c r="BL207" s="62">
        <v>1</v>
      </c>
      <c r="BM207" s="62">
        <f t="shared" si="11"/>
        <v>0</v>
      </c>
      <c r="BN207" s="58" t="s">
        <v>607</v>
      </c>
      <c r="BO207" s="59"/>
      <c r="BP207" s="59">
        <v>20.5</v>
      </c>
      <c r="BQ207" s="63">
        <f t="shared" si="66"/>
        <v>2</v>
      </c>
      <c r="BR207" s="45">
        <v>1</v>
      </c>
      <c r="BS207" s="45">
        <f t="shared" si="13"/>
        <v>0.3010299956639812</v>
      </c>
      <c r="BU207" s="46"/>
      <c r="BV207" s="64">
        <v>1.5</v>
      </c>
      <c r="BW207" s="54">
        <f t="shared" si="67"/>
        <v>1</v>
      </c>
      <c r="BX207" s="45">
        <v>1</v>
      </c>
      <c r="BY207" s="45">
        <f t="shared" si="68"/>
        <v>0</v>
      </c>
      <c r="BZ207" s="61" t="s">
        <v>99</v>
      </c>
      <c r="CA207" s="46"/>
      <c r="CB207" s="65">
        <v>3165</v>
      </c>
      <c r="CC207" s="45">
        <v>2</v>
      </c>
      <c r="CD207" s="45">
        <v>2</v>
      </c>
      <c r="CE207" s="45">
        <f t="shared" si="16"/>
        <v>0.6020599913279624</v>
      </c>
      <c r="CG207" s="46"/>
      <c r="CH207" s="66" t="s">
        <v>137</v>
      </c>
      <c r="CI207" s="67">
        <v>2</v>
      </c>
      <c r="CJ207" s="68">
        <v>2</v>
      </c>
      <c r="CK207" s="68">
        <f t="shared" si="17"/>
        <v>0.6020599913279624</v>
      </c>
      <c r="CL207" s="68"/>
      <c r="CM207" s="69"/>
      <c r="CO207" s="70">
        <f t="shared" si="69"/>
        <v>1.8888888888888888</v>
      </c>
      <c r="CQ207" s="45">
        <f t="shared" si="19"/>
        <v>0.23413444107198536</v>
      </c>
      <c r="CR207" s="45">
        <f t="shared" si="20"/>
        <v>1.7144879657061456</v>
      </c>
      <c r="CT207" s="71">
        <f t="shared" si="21"/>
        <v>1.3210075527314271</v>
      </c>
    </row>
    <row r="208" spans="1:98" ht="16">
      <c r="A208" s="36">
        <v>206</v>
      </c>
      <c r="B208" s="37"/>
      <c r="C208" s="37"/>
      <c r="D208" s="37"/>
      <c r="E208" s="38" t="s">
        <v>1095</v>
      </c>
      <c r="F208" s="38" t="s">
        <v>124</v>
      </c>
      <c r="G208" s="38" t="s">
        <v>1096</v>
      </c>
      <c r="H208" s="38" t="s">
        <v>83</v>
      </c>
      <c r="I208" s="72">
        <v>11.5</v>
      </c>
      <c r="J208" s="53" t="s">
        <v>88</v>
      </c>
      <c r="K208" s="42">
        <v>0</v>
      </c>
      <c r="L208" s="42">
        <v>2</v>
      </c>
      <c r="M208" s="42">
        <v>1</v>
      </c>
      <c r="N208" s="42">
        <f t="shared" si="0"/>
        <v>2</v>
      </c>
      <c r="O208" s="53"/>
      <c r="P208" s="53"/>
      <c r="Q208" s="43">
        <v>14</v>
      </c>
      <c r="R208" s="44">
        <f t="shared" si="64"/>
        <v>3</v>
      </c>
      <c r="S208" s="45">
        <v>1</v>
      </c>
      <c r="T208" s="45">
        <f t="shared" si="2"/>
        <v>3</v>
      </c>
      <c r="V208" s="46"/>
      <c r="W208" s="58" t="s">
        <v>258</v>
      </c>
      <c r="X208" s="73">
        <v>2.7</v>
      </c>
      <c r="Y208" s="44">
        <f t="shared" si="3"/>
        <v>2</v>
      </c>
      <c r="Z208" s="45">
        <v>1</v>
      </c>
      <c r="AA208" s="45">
        <f t="shared" si="4"/>
        <v>2</v>
      </c>
      <c r="AB208" s="45">
        <v>1</v>
      </c>
      <c r="AD208" s="49" t="s">
        <v>680</v>
      </c>
      <c r="AE208" s="50" t="s">
        <v>88</v>
      </c>
      <c r="AF208" s="50">
        <v>0</v>
      </c>
      <c r="AG208" s="50">
        <v>3</v>
      </c>
      <c r="AH208" s="50">
        <v>2</v>
      </c>
      <c r="AI208" s="50">
        <f t="shared" si="5"/>
        <v>6</v>
      </c>
      <c r="AJ208" s="50">
        <v>1</v>
      </c>
      <c r="AK208" s="51" t="s">
        <v>89</v>
      </c>
      <c r="AL208" s="52">
        <v>12730</v>
      </c>
      <c r="AM208" s="53" t="s">
        <v>115</v>
      </c>
      <c r="AN208" s="42">
        <v>1</v>
      </c>
      <c r="AO208" s="54">
        <f t="shared" si="65"/>
        <v>2</v>
      </c>
      <c r="AP208" s="53">
        <v>2</v>
      </c>
      <c r="AQ208" s="53">
        <f t="shared" si="7"/>
        <v>4</v>
      </c>
      <c r="AR208" s="53"/>
      <c r="AS208" s="55"/>
      <c r="AT208" s="42">
        <v>11.5</v>
      </c>
      <c r="AU208" s="42" t="s">
        <v>115</v>
      </c>
      <c r="AV208" s="44">
        <v>1</v>
      </c>
      <c r="AW208" s="44">
        <f t="shared" si="8"/>
        <v>3</v>
      </c>
      <c r="AX208" s="42">
        <v>1</v>
      </c>
      <c r="AY208" s="42">
        <f t="shared" si="9"/>
        <v>3</v>
      </c>
      <c r="AZ208" s="42" t="s">
        <v>128</v>
      </c>
      <c r="BA208" s="53" t="s">
        <v>613</v>
      </c>
      <c r="BB208" s="57" t="s">
        <v>642</v>
      </c>
      <c r="BC208" s="58" t="s">
        <v>643</v>
      </c>
      <c r="BD208" s="58" t="s">
        <v>604</v>
      </c>
      <c r="BE208" s="59">
        <v>3</v>
      </c>
      <c r="BF208" s="58">
        <v>2</v>
      </c>
      <c r="BG208" s="58">
        <f t="shared" si="10"/>
        <v>0.95424250943932487</v>
      </c>
      <c r="BH208" s="58" t="s">
        <v>605</v>
      </c>
      <c r="BI208" s="58" t="s">
        <v>1024</v>
      </c>
      <c r="BJ208" s="60" t="s">
        <v>90</v>
      </c>
      <c r="BK208" s="61">
        <v>1</v>
      </c>
      <c r="BL208" s="62">
        <v>1</v>
      </c>
      <c r="BM208" s="62">
        <f t="shared" si="11"/>
        <v>0</v>
      </c>
      <c r="BN208" s="58" t="s">
        <v>607</v>
      </c>
      <c r="BO208" s="86"/>
      <c r="BP208" s="86">
        <v>27.5</v>
      </c>
      <c r="BQ208" s="63">
        <f t="shared" si="66"/>
        <v>2</v>
      </c>
      <c r="BR208" s="45">
        <v>1</v>
      </c>
      <c r="BS208" s="45">
        <f t="shared" si="13"/>
        <v>0.3010299956639812</v>
      </c>
      <c r="BU208" s="46"/>
      <c r="BV208" s="64">
        <v>2.3333333330000001</v>
      </c>
      <c r="BW208" s="54">
        <f t="shared" si="67"/>
        <v>1</v>
      </c>
      <c r="BX208" s="45">
        <v>1</v>
      </c>
      <c r="BY208" s="45">
        <f t="shared" si="68"/>
        <v>0</v>
      </c>
      <c r="BZ208" s="61" t="s">
        <v>381</v>
      </c>
      <c r="CA208" s="46"/>
      <c r="CB208" s="65">
        <v>3094</v>
      </c>
      <c r="CC208" s="45">
        <v>2</v>
      </c>
      <c r="CD208" s="45">
        <v>2</v>
      </c>
      <c r="CE208" s="45">
        <f t="shared" si="16"/>
        <v>0.6020599913279624</v>
      </c>
      <c r="CG208" s="46"/>
      <c r="CH208" s="66" t="s">
        <v>106</v>
      </c>
      <c r="CI208" s="67">
        <v>3</v>
      </c>
      <c r="CJ208" s="68">
        <v>2</v>
      </c>
      <c r="CK208" s="68">
        <f t="shared" si="17"/>
        <v>0.95424250943932487</v>
      </c>
      <c r="CL208" s="68"/>
      <c r="CM208" s="69"/>
      <c r="CO208" s="70">
        <f t="shared" si="69"/>
        <v>2</v>
      </c>
      <c r="CQ208" s="45">
        <f t="shared" si="19"/>
        <v>0.31239722287451038</v>
      </c>
      <c r="CR208" s="45">
        <f t="shared" si="20"/>
        <v>2.0530391109397983</v>
      </c>
      <c r="CT208" s="71">
        <f t="shared" si="21"/>
        <v>1.4522022480250061</v>
      </c>
    </row>
    <row r="209" spans="1:98" ht="16">
      <c r="A209" s="36">
        <v>207</v>
      </c>
      <c r="B209" s="37"/>
      <c r="C209" s="37"/>
      <c r="D209" s="37"/>
      <c r="E209" s="38" t="s">
        <v>1097</v>
      </c>
      <c r="F209" s="38" t="s">
        <v>395</v>
      </c>
      <c r="G209" s="38" t="s">
        <v>1098</v>
      </c>
      <c r="H209" s="38" t="s">
        <v>83</v>
      </c>
      <c r="I209" s="72">
        <v>6</v>
      </c>
      <c r="J209" s="53" t="s">
        <v>88</v>
      </c>
      <c r="K209" s="42">
        <v>0</v>
      </c>
      <c r="L209" s="42">
        <v>2</v>
      </c>
      <c r="M209" s="42">
        <v>1</v>
      </c>
      <c r="N209" s="42">
        <f t="shared" si="0"/>
        <v>2</v>
      </c>
      <c r="O209" s="214" t="s">
        <v>1099</v>
      </c>
      <c r="P209" s="53" t="s">
        <v>665</v>
      </c>
      <c r="Q209" s="43">
        <v>5.5</v>
      </c>
      <c r="R209" s="44">
        <f t="shared" si="64"/>
        <v>3</v>
      </c>
      <c r="S209" s="45">
        <v>1</v>
      </c>
      <c r="T209" s="45">
        <f t="shared" si="2"/>
        <v>3</v>
      </c>
      <c r="V209" s="46"/>
      <c r="W209" s="58" t="s">
        <v>422</v>
      </c>
      <c r="X209" s="73">
        <v>2.7</v>
      </c>
      <c r="Y209" s="44">
        <f t="shared" si="3"/>
        <v>2</v>
      </c>
      <c r="Z209" s="45">
        <v>1</v>
      </c>
      <c r="AA209" s="45">
        <f t="shared" si="4"/>
        <v>2</v>
      </c>
      <c r="AB209" s="45">
        <v>1</v>
      </c>
      <c r="AD209" s="49" t="s">
        <v>87</v>
      </c>
      <c r="AE209" s="50" t="s">
        <v>88</v>
      </c>
      <c r="AF209" s="50">
        <v>0</v>
      </c>
      <c r="AG209" s="50">
        <v>3</v>
      </c>
      <c r="AH209" s="50">
        <v>2</v>
      </c>
      <c r="AI209" s="50">
        <f t="shared" si="5"/>
        <v>6</v>
      </c>
      <c r="AJ209" s="50">
        <v>1</v>
      </c>
      <c r="AK209" s="51" t="s">
        <v>89</v>
      </c>
      <c r="AL209" s="61">
        <v>2225</v>
      </c>
      <c r="AM209" s="53" t="s">
        <v>115</v>
      </c>
      <c r="AN209" s="42">
        <v>1</v>
      </c>
      <c r="AO209" s="54">
        <f t="shared" si="65"/>
        <v>2</v>
      </c>
      <c r="AP209" s="53">
        <v>2</v>
      </c>
      <c r="AQ209" s="53">
        <f t="shared" si="7"/>
        <v>4</v>
      </c>
      <c r="AR209" s="53"/>
      <c r="AS209" s="55"/>
      <c r="AT209" s="42">
        <v>20.14</v>
      </c>
      <c r="AU209" s="42" t="s">
        <v>115</v>
      </c>
      <c r="AV209" s="44">
        <v>1</v>
      </c>
      <c r="AW209" s="44">
        <f t="shared" si="8"/>
        <v>2</v>
      </c>
      <c r="AX209" s="42">
        <v>1</v>
      </c>
      <c r="AY209" s="42">
        <f t="shared" si="9"/>
        <v>2</v>
      </c>
      <c r="AZ209" s="42" t="s">
        <v>1100</v>
      </c>
      <c r="BA209" s="53" t="s">
        <v>721</v>
      </c>
      <c r="BB209" s="57" t="s">
        <v>602</v>
      </c>
      <c r="BC209" s="58" t="s">
        <v>603</v>
      </c>
      <c r="BD209" s="58" t="s">
        <v>609</v>
      </c>
      <c r="BE209" s="59">
        <v>1</v>
      </c>
      <c r="BF209" s="58">
        <v>2</v>
      </c>
      <c r="BG209" s="58">
        <f t="shared" si="10"/>
        <v>0</v>
      </c>
      <c r="BH209" s="58" t="s">
        <v>605</v>
      </c>
      <c r="BI209" s="58" t="s">
        <v>610</v>
      </c>
      <c r="BJ209" s="60" t="s">
        <v>90</v>
      </c>
      <c r="BK209" s="61">
        <v>1</v>
      </c>
      <c r="BL209" s="62">
        <v>1</v>
      </c>
      <c r="BM209" s="62">
        <f t="shared" si="11"/>
        <v>0</v>
      </c>
      <c r="BN209" s="58" t="s">
        <v>607</v>
      </c>
      <c r="BO209" s="59"/>
      <c r="BP209" s="59">
        <v>18.5</v>
      </c>
      <c r="BQ209" s="63">
        <f t="shared" si="66"/>
        <v>2</v>
      </c>
      <c r="BR209" s="45">
        <v>1</v>
      </c>
      <c r="BS209" s="45">
        <f t="shared" si="13"/>
        <v>0.3010299956639812</v>
      </c>
      <c r="BU209" s="46"/>
      <c r="BV209" s="64">
        <v>1.5</v>
      </c>
      <c r="BW209" s="54">
        <f t="shared" si="67"/>
        <v>1</v>
      </c>
      <c r="BX209" s="45">
        <v>1</v>
      </c>
      <c r="BY209" s="45">
        <f t="shared" si="68"/>
        <v>0</v>
      </c>
      <c r="BZ209" s="61" t="s">
        <v>1101</v>
      </c>
      <c r="CA209" s="46"/>
      <c r="CB209" s="65">
        <v>3093</v>
      </c>
      <c r="CC209" s="45">
        <v>2</v>
      </c>
      <c r="CD209" s="45">
        <v>2</v>
      </c>
      <c r="CE209" s="45">
        <f t="shared" si="16"/>
        <v>0.6020599913279624</v>
      </c>
      <c r="CG209" s="46"/>
      <c r="CH209" s="66" t="s">
        <v>92</v>
      </c>
      <c r="CI209" s="67">
        <v>3</v>
      </c>
      <c r="CJ209" s="68">
        <v>2</v>
      </c>
      <c r="CK209" s="68">
        <f t="shared" si="17"/>
        <v>0.95424250943932487</v>
      </c>
      <c r="CL209" s="78"/>
      <c r="CM209" s="79" t="s">
        <v>144</v>
      </c>
      <c r="CO209" s="70">
        <f t="shared" si="69"/>
        <v>1.8888888888888888</v>
      </c>
      <c r="CQ209" s="45">
        <f t="shared" si="19"/>
        <v>0.20637027738125205</v>
      </c>
      <c r="CR209" s="45">
        <f t="shared" si="20"/>
        <v>1.6083119076007948</v>
      </c>
      <c r="CT209" s="71">
        <f t="shared" si="21"/>
        <v>1.2667325203702184</v>
      </c>
    </row>
    <row r="210" spans="1:98" ht="16" hidden="1">
      <c r="A210" s="36">
        <v>208</v>
      </c>
      <c r="B210" s="37"/>
      <c r="C210" s="37" t="s">
        <v>144</v>
      </c>
      <c r="D210" s="37" t="s">
        <v>686</v>
      </c>
      <c r="E210" s="38" t="s">
        <v>1102</v>
      </c>
      <c r="F210" s="38" t="s">
        <v>189</v>
      </c>
      <c r="G210" s="38" t="s">
        <v>688</v>
      </c>
      <c r="H210" s="38" t="s">
        <v>152</v>
      </c>
      <c r="I210" s="87"/>
      <c r="J210" s="53"/>
      <c r="K210" s="53"/>
      <c r="L210" s="53"/>
      <c r="M210" s="42">
        <v>1</v>
      </c>
      <c r="N210" s="42">
        <f t="shared" si="0"/>
        <v>0</v>
      </c>
      <c r="O210" s="53"/>
      <c r="P210" s="53"/>
      <c r="Q210" s="43"/>
      <c r="R210" s="44" t="str">
        <f>IF(Q210="","***",IF(Q210&lt;5,3,IF(Q210&lt;15,2,1)))</f>
        <v>***</v>
      </c>
      <c r="S210" s="45">
        <v>1</v>
      </c>
      <c r="T210" s="45" t="e">
        <f t="shared" si="2"/>
        <v>#VALUE!</v>
      </c>
      <c r="V210" s="46"/>
      <c r="W210" s="58"/>
      <c r="X210" s="88"/>
      <c r="Y210" s="44" t="str">
        <f t="shared" si="3"/>
        <v>***</v>
      </c>
      <c r="Z210" s="45">
        <v>1</v>
      </c>
      <c r="AA210" s="45" t="e">
        <f t="shared" si="4"/>
        <v>#VALUE!</v>
      </c>
      <c r="AB210" s="45">
        <v>1</v>
      </c>
      <c r="AD210" s="49" t="s">
        <v>163</v>
      </c>
      <c r="AE210" s="50" t="s">
        <v>146</v>
      </c>
      <c r="AF210" s="50">
        <v>2</v>
      </c>
      <c r="AG210" s="50">
        <v>2</v>
      </c>
      <c r="AH210" s="50">
        <v>2</v>
      </c>
      <c r="AI210" s="50">
        <f t="shared" si="5"/>
        <v>4</v>
      </c>
      <c r="AJ210" s="50" t="s">
        <v>755</v>
      </c>
      <c r="AK210" s="51"/>
      <c r="AL210" s="61"/>
      <c r="AM210" s="53"/>
      <c r="AN210" s="42"/>
      <c r="AO210" s="42"/>
      <c r="AP210" s="53">
        <v>2</v>
      </c>
      <c r="AQ210" s="53">
        <f t="shared" si="7"/>
        <v>0</v>
      </c>
      <c r="AR210" s="53"/>
      <c r="AS210" s="55"/>
      <c r="AT210" s="89"/>
      <c r="AU210" s="42"/>
      <c r="AV210" s="44"/>
      <c r="AW210" s="44" t="str">
        <f t="shared" si="8"/>
        <v>***</v>
      </c>
      <c r="AX210" s="42">
        <v>1</v>
      </c>
      <c r="AY210" s="42" t="e">
        <f t="shared" si="9"/>
        <v>#VALUE!</v>
      </c>
      <c r="AZ210" s="89"/>
      <c r="BA210" s="89"/>
      <c r="BB210" s="57"/>
      <c r="BC210" s="58"/>
      <c r="BD210" s="58"/>
      <c r="BE210" s="58"/>
      <c r="BF210" s="58">
        <v>2</v>
      </c>
      <c r="BG210" s="58" t="e">
        <f t="shared" si="10"/>
        <v>#NUM!</v>
      </c>
      <c r="BH210" s="58" t="s">
        <v>605</v>
      </c>
      <c r="BI210" s="58"/>
      <c r="BJ210" s="60" t="s">
        <v>90</v>
      </c>
      <c r="BK210" s="61">
        <v>1</v>
      </c>
      <c r="BL210" s="62">
        <v>1</v>
      </c>
      <c r="BM210" s="62">
        <f t="shared" si="11"/>
        <v>0</v>
      </c>
      <c r="BN210" s="58" t="s">
        <v>607</v>
      </c>
      <c r="BO210" s="59"/>
      <c r="BP210" s="59"/>
      <c r="BQ210" s="90"/>
      <c r="BR210" s="45">
        <v>1</v>
      </c>
      <c r="BS210" s="45" t="e">
        <f t="shared" si="13"/>
        <v>#NUM!</v>
      </c>
      <c r="BU210" s="46"/>
      <c r="BV210" s="64"/>
      <c r="BW210" s="45"/>
      <c r="BX210" s="45">
        <v>1</v>
      </c>
      <c r="BY210" s="45" t="e">
        <f>BX210*LOG(BV210)</f>
        <v>#NUM!</v>
      </c>
      <c r="BZ210" s="61"/>
      <c r="CA210" s="46"/>
      <c r="CB210" s="65">
        <v>3091</v>
      </c>
      <c r="CC210" s="45">
        <v>2</v>
      </c>
      <c r="CD210" s="45">
        <v>2</v>
      </c>
      <c r="CE210" s="45">
        <f t="shared" si="16"/>
        <v>0.6020599913279624</v>
      </c>
      <c r="CG210" s="46"/>
      <c r="CH210" s="66" t="s">
        <v>92</v>
      </c>
      <c r="CI210" s="67">
        <v>3</v>
      </c>
      <c r="CJ210" s="68">
        <v>1</v>
      </c>
      <c r="CK210" s="68">
        <f t="shared" si="17"/>
        <v>0.47712125471966244</v>
      </c>
      <c r="CL210" s="68"/>
      <c r="CM210" s="69"/>
      <c r="CO210" s="70" t="e">
        <f>(SUM(N210,T210,AA210,AI210,AQ210,AY210)/SUM(M210,S210,Z210,AH210,AP210,AX210,BF210))</f>
        <v>#VALUE!</v>
      </c>
      <c r="CQ210" s="45" t="e">
        <f t="shared" si="19"/>
        <v>#NUM!</v>
      </c>
      <c r="CR210" s="45" t="e">
        <f t="shared" si="20"/>
        <v>#NUM!</v>
      </c>
      <c r="CT210" s="71" t="e">
        <f t="shared" si="21"/>
        <v>#VALUE!</v>
      </c>
    </row>
    <row r="211" spans="1:98" ht="16">
      <c r="A211" s="36">
        <v>209</v>
      </c>
      <c r="B211" s="37"/>
      <c r="C211" s="37"/>
      <c r="D211" s="37"/>
      <c r="E211" s="38" t="s">
        <v>1103</v>
      </c>
      <c r="F211" s="38" t="s">
        <v>1104</v>
      </c>
      <c r="G211" s="38" t="s">
        <v>1105</v>
      </c>
      <c r="H211" s="83" t="s">
        <v>355</v>
      </c>
      <c r="I211" s="72">
        <v>4</v>
      </c>
      <c r="J211" s="53" t="s">
        <v>88</v>
      </c>
      <c r="K211" s="42">
        <v>0</v>
      </c>
      <c r="L211" s="42">
        <v>3</v>
      </c>
      <c r="M211" s="42">
        <v>1</v>
      </c>
      <c r="N211" s="42">
        <f t="shared" si="0"/>
        <v>3</v>
      </c>
      <c r="O211" s="53"/>
      <c r="P211" s="53"/>
      <c r="Q211" s="43">
        <v>13</v>
      </c>
      <c r="R211" s="44">
        <f t="shared" ref="R211:R226" si="70">IF(Q211="","***",IF(Q211&lt;30,3,IF(Q211&gt;60,1,2)))</f>
        <v>3</v>
      </c>
      <c r="S211" s="45">
        <v>1</v>
      </c>
      <c r="T211" s="45">
        <f t="shared" si="2"/>
        <v>3</v>
      </c>
      <c r="V211" s="46"/>
      <c r="W211" s="58" t="s">
        <v>178</v>
      </c>
      <c r="X211" s="73">
        <v>3.4</v>
      </c>
      <c r="Y211" s="44">
        <f t="shared" si="3"/>
        <v>2</v>
      </c>
      <c r="Z211" s="45">
        <v>1</v>
      </c>
      <c r="AA211" s="45">
        <f t="shared" si="4"/>
        <v>2</v>
      </c>
      <c r="AB211" s="45">
        <v>1</v>
      </c>
      <c r="AD211" s="49" t="s">
        <v>163</v>
      </c>
      <c r="AE211" s="50" t="s">
        <v>146</v>
      </c>
      <c r="AF211" s="50">
        <v>2</v>
      </c>
      <c r="AG211" s="50">
        <v>3</v>
      </c>
      <c r="AH211" s="50">
        <v>2</v>
      </c>
      <c r="AI211" s="50">
        <f t="shared" si="5"/>
        <v>6</v>
      </c>
      <c r="AJ211" s="50">
        <v>1</v>
      </c>
      <c r="AK211" s="51"/>
      <c r="AL211" s="59">
        <v>149485</v>
      </c>
      <c r="AM211" s="53" t="s">
        <v>146</v>
      </c>
      <c r="AN211" s="42">
        <v>2</v>
      </c>
      <c r="AO211" s="54">
        <f t="shared" ref="AO211:AO226" si="71">IF(AL211="","***",IF(AL211&gt;15000,3,IF(AL211&lt;1000,1,2)))</f>
        <v>3</v>
      </c>
      <c r="AP211" s="53">
        <v>2</v>
      </c>
      <c r="AQ211" s="53">
        <f t="shared" si="7"/>
        <v>6</v>
      </c>
      <c r="AR211" s="53"/>
      <c r="AS211" s="55"/>
      <c r="AT211" s="42">
        <v>26</v>
      </c>
      <c r="AU211" s="42" t="s">
        <v>146</v>
      </c>
      <c r="AV211" s="44">
        <v>2</v>
      </c>
      <c r="AW211" s="44">
        <f t="shared" si="8"/>
        <v>2</v>
      </c>
      <c r="AX211" s="42">
        <v>1</v>
      </c>
      <c r="AY211" s="42">
        <f t="shared" si="9"/>
        <v>2</v>
      </c>
      <c r="AZ211" s="42">
        <v>71</v>
      </c>
      <c r="BA211" s="77" t="s">
        <v>1106</v>
      </c>
      <c r="BB211" s="57" t="s">
        <v>602</v>
      </c>
      <c r="BC211" s="58" t="s">
        <v>603</v>
      </c>
      <c r="BD211" s="58" t="s">
        <v>609</v>
      </c>
      <c r="BE211" s="59">
        <v>1</v>
      </c>
      <c r="BF211" s="58">
        <v>2</v>
      </c>
      <c r="BG211" s="58">
        <f t="shared" si="10"/>
        <v>0</v>
      </c>
      <c r="BH211" s="58" t="s">
        <v>605</v>
      </c>
      <c r="BI211" s="58" t="s">
        <v>610</v>
      </c>
      <c r="BJ211" s="60" t="s">
        <v>90</v>
      </c>
      <c r="BK211" s="61">
        <v>1</v>
      </c>
      <c r="BL211" s="62">
        <v>1</v>
      </c>
      <c r="BM211" s="62">
        <f t="shared" si="11"/>
        <v>0</v>
      </c>
      <c r="BN211" s="58" t="s">
        <v>607</v>
      </c>
      <c r="BO211" s="59"/>
      <c r="BP211" s="59">
        <v>41.25</v>
      </c>
      <c r="BQ211" s="63">
        <f t="shared" ref="BQ211:BQ226" si="72">IF(BP211&lt;10,3,IF(BP211&lt;30,2,1))</f>
        <v>1</v>
      </c>
      <c r="BR211" s="45">
        <v>1</v>
      </c>
      <c r="BS211" s="45">
        <f t="shared" si="13"/>
        <v>0</v>
      </c>
      <c r="BU211" s="46"/>
      <c r="BV211" s="64">
        <v>2.75</v>
      </c>
      <c r="BW211" s="54">
        <f t="shared" ref="BW211:BW226" si="73">IF(BV211&lt;2.5,1,IF(BV211&gt;3.5,3,2))</f>
        <v>2</v>
      </c>
      <c r="BX211" s="45">
        <v>1</v>
      </c>
      <c r="BY211" s="45">
        <f t="shared" ref="BY211:BY226" si="74">BX211*LOG(BW211)</f>
        <v>0.3010299956639812</v>
      </c>
      <c r="BZ211" s="61" t="s">
        <v>99</v>
      </c>
      <c r="CA211" s="46"/>
      <c r="CB211" s="65">
        <v>3060</v>
      </c>
      <c r="CC211" s="45">
        <v>2</v>
      </c>
      <c r="CD211" s="45">
        <v>2</v>
      </c>
      <c r="CE211" s="45">
        <f t="shared" si="16"/>
        <v>0.6020599913279624</v>
      </c>
      <c r="CG211" s="46"/>
      <c r="CH211" s="66" t="s">
        <v>92</v>
      </c>
      <c r="CI211" s="67">
        <v>3</v>
      </c>
      <c r="CJ211" s="68">
        <v>2</v>
      </c>
      <c r="CK211" s="68">
        <f t="shared" si="17"/>
        <v>0.95424250943932487</v>
      </c>
      <c r="CL211" s="68"/>
      <c r="CM211" s="69" t="s">
        <v>144</v>
      </c>
      <c r="CO211" s="70">
        <f t="shared" ref="CO211:CO226" si="75">(SUM(T211,AA211,AI211,AQ211,AY211)/SUM(S211,Z211,AH211,AP211,AX211,BF211))</f>
        <v>2.1111111111111112</v>
      </c>
      <c r="CQ211" s="45">
        <f t="shared" si="19"/>
        <v>0.20637027738125205</v>
      </c>
      <c r="CR211" s="45">
        <f t="shared" si="20"/>
        <v>1.6083119076007948</v>
      </c>
      <c r="CT211" s="71">
        <f t="shared" si="21"/>
        <v>1.0771104092520141</v>
      </c>
    </row>
    <row r="212" spans="1:98" ht="16">
      <c r="A212" s="36">
        <v>210</v>
      </c>
      <c r="B212" s="37"/>
      <c r="C212" s="37"/>
      <c r="D212" s="37"/>
      <c r="E212" s="38" t="s">
        <v>564</v>
      </c>
      <c r="F212" s="38" t="s">
        <v>565</v>
      </c>
      <c r="G212" s="38" t="s">
        <v>120</v>
      </c>
      <c r="H212" s="38" t="s">
        <v>160</v>
      </c>
      <c r="I212" s="72">
        <v>9.1</v>
      </c>
      <c r="J212" s="53" t="s">
        <v>146</v>
      </c>
      <c r="K212" s="42">
        <v>2</v>
      </c>
      <c r="L212" s="42">
        <v>2</v>
      </c>
      <c r="M212" s="42">
        <v>1</v>
      </c>
      <c r="N212" s="42">
        <f t="shared" si="0"/>
        <v>2</v>
      </c>
      <c r="O212" s="42" t="s">
        <v>799</v>
      </c>
      <c r="P212" s="53"/>
      <c r="Q212" s="43">
        <v>26</v>
      </c>
      <c r="R212" s="44">
        <f t="shared" si="70"/>
        <v>3</v>
      </c>
      <c r="S212" s="45">
        <v>1</v>
      </c>
      <c r="T212" s="45">
        <f t="shared" si="2"/>
        <v>3</v>
      </c>
      <c r="V212" s="46"/>
      <c r="W212" s="58" t="s">
        <v>566</v>
      </c>
      <c r="X212" s="73">
        <v>2.6</v>
      </c>
      <c r="Y212" s="44">
        <f t="shared" si="3"/>
        <v>2</v>
      </c>
      <c r="Z212" s="45">
        <v>1</v>
      </c>
      <c r="AA212" s="45">
        <f t="shared" si="4"/>
        <v>2</v>
      </c>
      <c r="AB212" s="45">
        <v>1</v>
      </c>
      <c r="AD212" s="49" t="s">
        <v>163</v>
      </c>
      <c r="AE212" s="50" t="s">
        <v>146</v>
      </c>
      <c r="AF212" s="50">
        <v>2</v>
      </c>
      <c r="AG212" s="50">
        <v>3</v>
      </c>
      <c r="AH212" s="50">
        <v>2</v>
      </c>
      <c r="AI212" s="50">
        <f t="shared" si="5"/>
        <v>6</v>
      </c>
      <c r="AJ212" s="50">
        <v>1</v>
      </c>
      <c r="AK212" s="51" t="s">
        <v>165</v>
      </c>
      <c r="AL212" s="61">
        <v>66943</v>
      </c>
      <c r="AM212" s="53" t="s">
        <v>146</v>
      </c>
      <c r="AN212" s="42">
        <v>2</v>
      </c>
      <c r="AO212" s="54">
        <f t="shared" si="71"/>
        <v>3</v>
      </c>
      <c r="AP212" s="53">
        <v>2</v>
      </c>
      <c r="AQ212" s="53">
        <f t="shared" si="7"/>
        <v>6</v>
      </c>
      <c r="AR212" s="53"/>
      <c r="AS212" s="55"/>
      <c r="AT212" s="42">
        <v>24.2</v>
      </c>
      <c r="AU212" s="42" t="s">
        <v>88</v>
      </c>
      <c r="AV212" s="56">
        <v>0</v>
      </c>
      <c r="AW212" s="44">
        <f t="shared" si="8"/>
        <v>2</v>
      </c>
      <c r="AX212" s="42">
        <v>1</v>
      </c>
      <c r="AY212" s="42">
        <f t="shared" si="9"/>
        <v>2</v>
      </c>
      <c r="AZ212" s="42"/>
      <c r="BA212" s="42"/>
      <c r="BB212" s="57" t="s">
        <v>602</v>
      </c>
      <c r="BC212" s="58" t="s">
        <v>603</v>
      </c>
      <c r="BD212" s="58" t="s">
        <v>609</v>
      </c>
      <c r="BE212" s="59">
        <v>1</v>
      </c>
      <c r="BF212" s="58">
        <v>2</v>
      </c>
      <c r="BG212" s="58">
        <f t="shared" si="10"/>
        <v>0</v>
      </c>
      <c r="BH212" s="58" t="s">
        <v>605</v>
      </c>
      <c r="BI212" s="58" t="s">
        <v>610</v>
      </c>
      <c r="BJ212" s="81" t="s">
        <v>166</v>
      </c>
      <c r="BK212" s="61">
        <v>3</v>
      </c>
      <c r="BL212" s="62">
        <v>1</v>
      </c>
      <c r="BM212" s="62">
        <f t="shared" si="11"/>
        <v>0.47712125471966244</v>
      </c>
      <c r="BN212" s="58" t="s">
        <v>607</v>
      </c>
      <c r="BO212" s="59"/>
      <c r="BP212" s="59">
        <v>33</v>
      </c>
      <c r="BQ212" s="63">
        <f t="shared" si="72"/>
        <v>1</v>
      </c>
      <c r="BR212" s="45">
        <v>1</v>
      </c>
      <c r="BS212" s="45">
        <f t="shared" si="13"/>
        <v>0</v>
      </c>
      <c r="BU212" s="46"/>
      <c r="BV212" s="64">
        <v>2.75</v>
      </c>
      <c r="BW212" s="54">
        <f t="shared" si="73"/>
        <v>2</v>
      </c>
      <c r="BX212" s="45">
        <v>1</v>
      </c>
      <c r="BY212" s="45">
        <f t="shared" si="74"/>
        <v>0.3010299956639812</v>
      </c>
      <c r="BZ212" s="61" t="s">
        <v>99</v>
      </c>
      <c r="CA212" s="46"/>
      <c r="CB212" s="65">
        <v>3060</v>
      </c>
      <c r="CC212" s="45">
        <v>2</v>
      </c>
      <c r="CD212" s="45">
        <v>2</v>
      </c>
      <c r="CE212" s="45">
        <f t="shared" si="16"/>
        <v>0.6020599913279624</v>
      </c>
      <c r="CG212" s="46"/>
      <c r="CH212" s="66" t="s">
        <v>180</v>
      </c>
      <c r="CI212" s="67">
        <v>3</v>
      </c>
      <c r="CJ212" s="68">
        <v>2</v>
      </c>
      <c r="CK212" s="68">
        <f t="shared" si="17"/>
        <v>0.95424250943932487</v>
      </c>
      <c r="CL212" s="68"/>
      <c r="CM212" s="69"/>
      <c r="CO212" s="70">
        <f t="shared" si="75"/>
        <v>2.1111111111111112</v>
      </c>
      <c r="CQ212" s="45">
        <f t="shared" si="19"/>
        <v>0.25938375012788117</v>
      </c>
      <c r="CR212" s="45">
        <f t="shared" si="20"/>
        <v>1.8171205928321397</v>
      </c>
      <c r="CT212" s="71">
        <f t="shared" si="21"/>
        <v>1.2073978300545645</v>
      </c>
    </row>
    <row r="213" spans="1:98" ht="16">
      <c r="A213" s="36">
        <v>211</v>
      </c>
      <c r="B213" s="37"/>
      <c r="C213" s="37"/>
      <c r="D213" s="37" t="s">
        <v>1107</v>
      </c>
      <c r="E213" s="38" t="s">
        <v>1108</v>
      </c>
      <c r="F213" s="38" t="s">
        <v>1016</v>
      </c>
      <c r="G213" s="38" t="s">
        <v>1109</v>
      </c>
      <c r="H213" s="38" t="s">
        <v>160</v>
      </c>
      <c r="I213" s="72">
        <v>12.5</v>
      </c>
      <c r="J213" s="53" t="s">
        <v>88</v>
      </c>
      <c r="K213" s="42">
        <v>0</v>
      </c>
      <c r="L213" s="42">
        <v>2</v>
      </c>
      <c r="M213" s="42">
        <v>1</v>
      </c>
      <c r="N213" s="42">
        <f t="shared" si="0"/>
        <v>2</v>
      </c>
      <c r="O213" s="214" t="s">
        <v>1110</v>
      </c>
      <c r="P213" s="53" t="s">
        <v>652</v>
      </c>
      <c r="Q213" s="43">
        <v>18</v>
      </c>
      <c r="R213" s="44">
        <f t="shared" si="70"/>
        <v>3</v>
      </c>
      <c r="S213" s="45">
        <v>1</v>
      </c>
      <c r="T213" s="45">
        <f t="shared" si="2"/>
        <v>3</v>
      </c>
      <c r="V213" s="46"/>
      <c r="W213" s="58" t="s">
        <v>178</v>
      </c>
      <c r="X213" s="73">
        <v>3.4</v>
      </c>
      <c r="Y213" s="44">
        <f t="shared" si="3"/>
        <v>2</v>
      </c>
      <c r="Z213" s="45">
        <v>1</v>
      </c>
      <c r="AA213" s="45">
        <f t="shared" si="4"/>
        <v>2</v>
      </c>
      <c r="AB213" s="45">
        <v>1</v>
      </c>
      <c r="AD213" s="49" t="s">
        <v>163</v>
      </c>
      <c r="AE213" s="50" t="s">
        <v>146</v>
      </c>
      <c r="AF213" s="50">
        <v>2</v>
      </c>
      <c r="AG213" s="50">
        <v>3</v>
      </c>
      <c r="AH213" s="50">
        <v>2</v>
      </c>
      <c r="AI213" s="50">
        <f t="shared" si="5"/>
        <v>6</v>
      </c>
      <c r="AJ213" s="50">
        <v>1</v>
      </c>
      <c r="AK213" s="51" t="s">
        <v>165</v>
      </c>
      <c r="AL213" s="61">
        <v>54750</v>
      </c>
      <c r="AM213" s="53" t="s">
        <v>88</v>
      </c>
      <c r="AN213" s="42">
        <v>0</v>
      </c>
      <c r="AO213" s="54">
        <f t="shared" si="71"/>
        <v>3</v>
      </c>
      <c r="AP213" s="53">
        <v>2</v>
      </c>
      <c r="AQ213" s="53">
        <f t="shared" si="7"/>
        <v>6</v>
      </c>
      <c r="AR213" s="53"/>
      <c r="AS213" s="55"/>
      <c r="AT213" s="42">
        <v>25</v>
      </c>
      <c r="AU213" s="42" t="s">
        <v>88</v>
      </c>
      <c r="AV213" s="56">
        <v>0</v>
      </c>
      <c r="AW213" s="44">
        <f t="shared" si="8"/>
        <v>2</v>
      </c>
      <c r="AX213" s="42">
        <v>1</v>
      </c>
      <c r="AY213" s="42">
        <f t="shared" si="9"/>
        <v>2</v>
      </c>
      <c r="AZ213" s="42"/>
      <c r="BA213" s="42"/>
      <c r="BB213" s="57" t="s">
        <v>602</v>
      </c>
      <c r="BC213" s="58" t="s">
        <v>603</v>
      </c>
      <c r="BD213" s="58" t="s">
        <v>609</v>
      </c>
      <c r="BE213" s="59">
        <v>1</v>
      </c>
      <c r="BF213" s="58">
        <v>2</v>
      </c>
      <c r="BG213" s="58">
        <f t="shared" si="10"/>
        <v>0</v>
      </c>
      <c r="BH213" s="58" t="s">
        <v>605</v>
      </c>
      <c r="BI213" s="58" t="s">
        <v>610</v>
      </c>
      <c r="BJ213" s="81" t="s">
        <v>166</v>
      </c>
      <c r="BK213" s="61">
        <v>3</v>
      </c>
      <c r="BL213" s="62">
        <v>1</v>
      </c>
      <c r="BM213" s="62">
        <f t="shared" si="11"/>
        <v>0.47712125471966244</v>
      </c>
      <c r="BN213" s="58" t="s">
        <v>607</v>
      </c>
      <c r="BO213" s="59"/>
      <c r="BP213" s="59">
        <v>50</v>
      </c>
      <c r="BQ213" s="63">
        <f t="shared" si="72"/>
        <v>1</v>
      </c>
      <c r="BR213" s="45">
        <v>1</v>
      </c>
      <c r="BS213" s="45">
        <f t="shared" si="13"/>
        <v>0</v>
      </c>
      <c r="BU213" s="46"/>
      <c r="BV213" s="64">
        <v>2.3333333330000001</v>
      </c>
      <c r="BW213" s="54">
        <f t="shared" si="73"/>
        <v>1</v>
      </c>
      <c r="BX213" s="45">
        <v>1</v>
      </c>
      <c r="BY213" s="45">
        <f t="shared" si="74"/>
        <v>0</v>
      </c>
      <c r="BZ213" s="61" t="s">
        <v>91</v>
      </c>
      <c r="CA213" s="46"/>
      <c r="CB213" s="65">
        <v>3048</v>
      </c>
      <c r="CC213" s="45">
        <v>2</v>
      </c>
      <c r="CD213" s="45">
        <v>2</v>
      </c>
      <c r="CE213" s="45">
        <f t="shared" si="16"/>
        <v>0.6020599913279624</v>
      </c>
      <c r="CG213" s="46"/>
      <c r="CH213" s="66" t="s">
        <v>106</v>
      </c>
      <c r="CI213" s="67">
        <v>3</v>
      </c>
      <c r="CJ213" s="68">
        <v>2</v>
      </c>
      <c r="CK213" s="68">
        <f t="shared" si="17"/>
        <v>0.95424250943932487</v>
      </c>
      <c r="CL213" s="68"/>
      <c r="CM213" s="69"/>
      <c r="CO213" s="70">
        <f t="shared" si="75"/>
        <v>2.1111111111111112</v>
      </c>
      <c r="CQ213" s="45">
        <f t="shared" si="19"/>
        <v>0.22593597283188332</v>
      </c>
      <c r="CR213" s="45">
        <f t="shared" si="20"/>
        <v>1.682426006079768</v>
      </c>
      <c r="CT213" s="71">
        <f t="shared" si="21"/>
        <v>1.120637635707505</v>
      </c>
    </row>
    <row r="214" spans="1:98" ht="16">
      <c r="A214" s="36">
        <v>212</v>
      </c>
      <c r="B214" s="37"/>
      <c r="C214" s="37"/>
      <c r="D214" s="37"/>
      <c r="E214" s="38" t="s">
        <v>1111</v>
      </c>
      <c r="F214" s="38" t="s">
        <v>263</v>
      </c>
      <c r="G214" s="38" t="s">
        <v>1112</v>
      </c>
      <c r="H214" s="38" t="s">
        <v>177</v>
      </c>
      <c r="I214" s="72">
        <v>37.5</v>
      </c>
      <c r="J214" s="53" t="s">
        <v>88</v>
      </c>
      <c r="K214" s="42">
        <v>0</v>
      </c>
      <c r="L214" s="42">
        <v>1</v>
      </c>
      <c r="M214" s="42">
        <v>1</v>
      </c>
      <c r="N214" s="42">
        <f t="shared" si="0"/>
        <v>1</v>
      </c>
      <c r="O214" s="214" t="s">
        <v>1113</v>
      </c>
      <c r="P214" s="53" t="s">
        <v>665</v>
      </c>
      <c r="Q214" s="43">
        <v>60</v>
      </c>
      <c r="R214" s="44">
        <f t="shared" si="70"/>
        <v>2</v>
      </c>
      <c r="S214" s="45">
        <v>1</v>
      </c>
      <c r="T214" s="45">
        <f t="shared" si="2"/>
        <v>2</v>
      </c>
      <c r="V214" s="46"/>
      <c r="W214" s="58" t="s">
        <v>1114</v>
      </c>
      <c r="X214" s="73">
        <v>2.9</v>
      </c>
      <c r="Y214" s="44">
        <f t="shared" si="3"/>
        <v>2</v>
      </c>
      <c r="Z214" s="45">
        <v>1</v>
      </c>
      <c r="AA214" s="45">
        <f t="shared" si="4"/>
        <v>2</v>
      </c>
      <c r="AB214" s="45">
        <v>1</v>
      </c>
      <c r="AD214" s="49" t="s">
        <v>163</v>
      </c>
      <c r="AE214" s="50" t="s">
        <v>146</v>
      </c>
      <c r="AF214" s="50">
        <v>2</v>
      </c>
      <c r="AG214" s="50">
        <v>3</v>
      </c>
      <c r="AH214" s="50">
        <v>2</v>
      </c>
      <c r="AI214" s="50">
        <f t="shared" si="5"/>
        <v>6</v>
      </c>
      <c r="AJ214" s="50" t="s">
        <v>645</v>
      </c>
      <c r="AK214" s="51" t="s">
        <v>240</v>
      </c>
      <c r="AL214" s="80">
        <v>38487</v>
      </c>
      <c r="AM214" s="53" t="s">
        <v>146</v>
      </c>
      <c r="AN214" s="42">
        <v>2</v>
      </c>
      <c r="AO214" s="54">
        <f t="shared" si="71"/>
        <v>3</v>
      </c>
      <c r="AP214" s="53">
        <v>2</v>
      </c>
      <c r="AQ214" s="53">
        <f t="shared" si="7"/>
        <v>6</v>
      </c>
      <c r="AR214" s="53"/>
      <c r="AS214" s="55"/>
      <c r="AT214" s="53">
        <v>85</v>
      </c>
      <c r="AU214" s="42" t="s">
        <v>115</v>
      </c>
      <c r="AV214" s="44">
        <v>1</v>
      </c>
      <c r="AW214" s="44">
        <f t="shared" si="8"/>
        <v>1</v>
      </c>
      <c r="AX214" s="42">
        <v>1</v>
      </c>
      <c r="AY214" s="42">
        <f t="shared" si="9"/>
        <v>1</v>
      </c>
      <c r="AZ214" s="42" t="s">
        <v>1115</v>
      </c>
      <c r="BA214" s="53" t="s">
        <v>1116</v>
      </c>
      <c r="BB214" s="57" t="s">
        <v>602</v>
      </c>
      <c r="BC214" s="58" t="s">
        <v>603</v>
      </c>
      <c r="BD214" s="58" t="s">
        <v>609</v>
      </c>
      <c r="BE214" s="59">
        <v>1</v>
      </c>
      <c r="BF214" s="58">
        <v>2</v>
      </c>
      <c r="BG214" s="58">
        <f t="shared" si="10"/>
        <v>0</v>
      </c>
      <c r="BH214" s="58" t="s">
        <v>605</v>
      </c>
      <c r="BI214" s="58" t="s">
        <v>1009</v>
      </c>
      <c r="BJ214" s="81" t="s">
        <v>90</v>
      </c>
      <c r="BK214" s="61">
        <v>1</v>
      </c>
      <c r="BL214" s="62">
        <v>1</v>
      </c>
      <c r="BM214" s="62">
        <f t="shared" si="11"/>
        <v>0</v>
      </c>
      <c r="BN214" s="58" t="s">
        <v>607</v>
      </c>
      <c r="BO214" s="59"/>
      <c r="BP214" s="59">
        <v>36.5</v>
      </c>
      <c r="BQ214" s="63">
        <f t="shared" si="72"/>
        <v>1</v>
      </c>
      <c r="BR214" s="45">
        <v>1</v>
      </c>
      <c r="BS214" s="45">
        <f t="shared" si="13"/>
        <v>0</v>
      </c>
      <c r="BU214" s="46"/>
      <c r="BV214" s="64">
        <v>3</v>
      </c>
      <c r="BW214" s="54">
        <f t="shared" si="73"/>
        <v>2</v>
      </c>
      <c r="BX214" s="45">
        <v>1</v>
      </c>
      <c r="BY214" s="45">
        <f t="shared" si="74"/>
        <v>0.3010299956639812</v>
      </c>
      <c r="BZ214" s="61">
        <v>46</v>
      </c>
      <c r="CA214" s="46"/>
      <c r="CB214" s="65">
        <v>3030</v>
      </c>
      <c r="CC214" s="45">
        <v>2</v>
      </c>
      <c r="CD214" s="45">
        <v>2</v>
      </c>
      <c r="CE214" s="45">
        <f t="shared" si="16"/>
        <v>0.6020599913279624</v>
      </c>
      <c r="CG214" s="46"/>
      <c r="CH214" s="66" t="s">
        <v>106</v>
      </c>
      <c r="CI214" s="67">
        <v>3</v>
      </c>
      <c r="CJ214" s="68">
        <v>2</v>
      </c>
      <c r="CK214" s="68">
        <f t="shared" si="17"/>
        <v>0.95424250943932487</v>
      </c>
      <c r="CL214" s="78"/>
      <c r="CM214" s="79" t="s">
        <v>144</v>
      </c>
      <c r="CO214" s="70">
        <f t="shared" si="75"/>
        <v>1.8888888888888888</v>
      </c>
      <c r="CQ214" s="45">
        <f t="shared" si="19"/>
        <v>0.20637027738125205</v>
      </c>
      <c r="CR214" s="45">
        <f t="shared" si="20"/>
        <v>1.6083119076007948</v>
      </c>
      <c r="CT214" s="71">
        <f t="shared" si="21"/>
        <v>1.2667325203702184</v>
      </c>
    </row>
    <row r="215" spans="1:98" ht="16">
      <c r="A215" s="36">
        <v>213</v>
      </c>
      <c r="B215" s="37"/>
      <c r="C215" s="37"/>
      <c r="D215" s="37"/>
      <c r="E215" s="38" t="s">
        <v>1117</v>
      </c>
      <c r="F215" s="38" t="s">
        <v>1092</v>
      </c>
      <c r="G215" s="38" t="s">
        <v>1118</v>
      </c>
      <c r="H215" s="38" t="s">
        <v>372</v>
      </c>
      <c r="I215" s="72">
        <v>7.5</v>
      </c>
      <c r="J215" s="53" t="s">
        <v>88</v>
      </c>
      <c r="K215" s="42">
        <v>0</v>
      </c>
      <c r="L215" s="42">
        <v>2</v>
      </c>
      <c r="M215" s="42">
        <v>1</v>
      </c>
      <c r="N215" s="42">
        <f t="shared" si="0"/>
        <v>2</v>
      </c>
      <c r="O215" s="214" t="s">
        <v>1119</v>
      </c>
      <c r="P215" s="53" t="s">
        <v>652</v>
      </c>
      <c r="Q215" s="43">
        <v>7</v>
      </c>
      <c r="R215" s="44">
        <f t="shared" si="70"/>
        <v>3</v>
      </c>
      <c r="S215" s="45">
        <v>1</v>
      </c>
      <c r="T215" s="45">
        <f t="shared" si="2"/>
        <v>3</v>
      </c>
      <c r="V215" s="46"/>
      <c r="W215" s="58" t="s">
        <v>311</v>
      </c>
      <c r="X215" s="73">
        <v>4</v>
      </c>
      <c r="Y215" s="44">
        <f t="shared" si="3"/>
        <v>1</v>
      </c>
      <c r="Z215" s="45">
        <v>1</v>
      </c>
      <c r="AA215" s="45">
        <f t="shared" si="4"/>
        <v>1</v>
      </c>
      <c r="AB215" s="45">
        <v>1</v>
      </c>
      <c r="AD215" s="49" t="s">
        <v>1120</v>
      </c>
      <c r="AE215" s="50" t="s">
        <v>88</v>
      </c>
      <c r="AF215" s="50">
        <v>0</v>
      </c>
      <c r="AG215" s="50">
        <v>3</v>
      </c>
      <c r="AH215" s="50">
        <v>2</v>
      </c>
      <c r="AI215" s="50">
        <f t="shared" si="5"/>
        <v>6</v>
      </c>
      <c r="AJ215" s="50">
        <v>1</v>
      </c>
      <c r="AK215" s="51" t="s">
        <v>135</v>
      </c>
      <c r="AL215" s="52">
        <v>482844</v>
      </c>
      <c r="AM215" s="53" t="s">
        <v>88</v>
      </c>
      <c r="AN215" s="42">
        <v>0</v>
      </c>
      <c r="AO215" s="54">
        <f t="shared" si="71"/>
        <v>3</v>
      </c>
      <c r="AP215" s="53">
        <v>2</v>
      </c>
      <c r="AQ215" s="53">
        <f t="shared" si="7"/>
        <v>6</v>
      </c>
      <c r="AR215" s="53"/>
      <c r="AS215" s="55"/>
      <c r="AT215" s="42">
        <v>51</v>
      </c>
      <c r="AU215" s="42" t="s">
        <v>115</v>
      </c>
      <c r="AV215" s="44">
        <v>1</v>
      </c>
      <c r="AW215" s="44">
        <f t="shared" si="8"/>
        <v>1</v>
      </c>
      <c r="AX215" s="42">
        <v>1</v>
      </c>
      <c r="AY215" s="42">
        <f t="shared" si="9"/>
        <v>1</v>
      </c>
      <c r="AZ215" s="42">
        <v>71</v>
      </c>
      <c r="BA215" s="53" t="s">
        <v>1121</v>
      </c>
      <c r="BB215" s="57" t="s">
        <v>602</v>
      </c>
      <c r="BC215" s="58" t="s">
        <v>603</v>
      </c>
      <c r="BD215" s="58" t="s">
        <v>604</v>
      </c>
      <c r="BE215" s="59">
        <v>2</v>
      </c>
      <c r="BF215" s="58">
        <v>2</v>
      </c>
      <c r="BG215" s="58">
        <f t="shared" si="10"/>
        <v>0.6020599913279624</v>
      </c>
      <c r="BH215" s="58" t="s">
        <v>605</v>
      </c>
      <c r="BI215" s="58" t="s">
        <v>946</v>
      </c>
      <c r="BJ215" s="60" t="s">
        <v>90</v>
      </c>
      <c r="BK215" s="61">
        <v>1</v>
      </c>
      <c r="BL215" s="62">
        <v>1</v>
      </c>
      <c r="BM215" s="62">
        <f t="shared" si="11"/>
        <v>0</v>
      </c>
      <c r="BN215" s="58" t="s">
        <v>607</v>
      </c>
      <c r="BO215" s="59"/>
      <c r="BP215" s="59">
        <v>24.25</v>
      </c>
      <c r="BQ215" s="63">
        <f t="shared" si="72"/>
        <v>2</v>
      </c>
      <c r="BR215" s="45">
        <v>1</v>
      </c>
      <c r="BS215" s="45">
        <f t="shared" si="13"/>
        <v>0.3010299956639812</v>
      </c>
      <c r="BU215" s="46"/>
      <c r="BV215" s="64">
        <v>1.25</v>
      </c>
      <c r="BW215" s="54">
        <f t="shared" si="73"/>
        <v>1</v>
      </c>
      <c r="BX215" s="45">
        <v>1</v>
      </c>
      <c r="BY215" s="45">
        <f t="shared" si="74"/>
        <v>0</v>
      </c>
      <c r="BZ215" s="61" t="s">
        <v>99</v>
      </c>
      <c r="CA215" s="46"/>
      <c r="CB215" s="65">
        <v>3022</v>
      </c>
      <c r="CC215" s="45">
        <v>2</v>
      </c>
      <c r="CD215" s="45">
        <v>2</v>
      </c>
      <c r="CE215" s="45">
        <f t="shared" si="16"/>
        <v>0.6020599913279624</v>
      </c>
      <c r="CG215" s="46"/>
      <c r="CH215" s="66" t="s">
        <v>137</v>
      </c>
      <c r="CI215" s="67">
        <v>2</v>
      </c>
      <c r="CJ215" s="68">
        <v>2</v>
      </c>
      <c r="CK215" s="68">
        <f t="shared" si="17"/>
        <v>0.6020599913279624</v>
      </c>
      <c r="CL215" s="68"/>
      <c r="CM215" s="69"/>
      <c r="CO215" s="70">
        <f t="shared" si="75"/>
        <v>1.8888888888888888</v>
      </c>
      <c r="CQ215" s="45">
        <f t="shared" si="19"/>
        <v>0.23413444107198536</v>
      </c>
      <c r="CR215" s="45">
        <f t="shared" si="20"/>
        <v>1.7144879657061456</v>
      </c>
      <c r="CT215" s="71">
        <f t="shared" si="21"/>
        <v>1.3210075527314271</v>
      </c>
    </row>
    <row r="216" spans="1:98" ht="16">
      <c r="A216" s="36">
        <v>214</v>
      </c>
      <c r="B216" s="37"/>
      <c r="C216" s="37"/>
      <c r="D216" s="37"/>
      <c r="E216" s="38" t="s">
        <v>1122</v>
      </c>
      <c r="F216" s="38" t="s">
        <v>1123</v>
      </c>
      <c r="G216" s="38" t="s">
        <v>1124</v>
      </c>
      <c r="H216" s="38" t="s">
        <v>277</v>
      </c>
      <c r="I216" s="72">
        <v>13</v>
      </c>
      <c r="J216" s="53" t="s">
        <v>88</v>
      </c>
      <c r="K216" s="42">
        <v>0</v>
      </c>
      <c r="L216" s="42">
        <v>2</v>
      </c>
      <c r="M216" s="42">
        <v>1</v>
      </c>
      <c r="N216" s="42">
        <f t="shared" si="0"/>
        <v>2</v>
      </c>
      <c r="O216" s="214" t="s">
        <v>1125</v>
      </c>
      <c r="P216" s="53" t="s">
        <v>1126</v>
      </c>
      <c r="Q216" s="43">
        <v>36.666666669999998</v>
      </c>
      <c r="R216" s="44">
        <f t="shared" si="70"/>
        <v>2</v>
      </c>
      <c r="S216" s="45">
        <v>1</v>
      </c>
      <c r="T216" s="45">
        <f t="shared" si="2"/>
        <v>2</v>
      </c>
      <c r="V216" s="46"/>
      <c r="W216" s="58" t="s">
        <v>1127</v>
      </c>
      <c r="X216" s="73">
        <v>3.4</v>
      </c>
      <c r="Y216" s="44">
        <f t="shared" si="3"/>
        <v>2</v>
      </c>
      <c r="Z216" s="45">
        <v>1</v>
      </c>
      <c r="AA216" s="45">
        <f t="shared" si="4"/>
        <v>2</v>
      </c>
      <c r="AB216" s="45">
        <v>1</v>
      </c>
      <c r="AD216" s="49" t="s">
        <v>155</v>
      </c>
      <c r="AE216" s="50" t="s">
        <v>88</v>
      </c>
      <c r="AF216" s="50">
        <v>0</v>
      </c>
      <c r="AG216" s="50">
        <v>3</v>
      </c>
      <c r="AH216" s="50">
        <v>2</v>
      </c>
      <c r="AI216" s="50">
        <f t="shared" si="5"/>
        <v>6</v>
      </c>
      <c r="AJ216" s="50">
        <v>1</v>
      </c>
      <c r="AK216" s="51" t="s">
        <v>114</v>
      </c>
      <c r="AL216" s="52">
        <v>66876</v>
      </c>
      <c r="AM216" s="53" t="s">
        <v>146</v>
      </c>
      <c r="AN216" s="42">
        <v>2</v>
      </c>
      <c r="AO216" s="54">
        <f t="shared" si="71"/>
        <v>3</v>
      </c>
      <c r="AP216" s="53">
        <v>2</v>
      </c>
      <c r="AQ216" s="53">
        <f t="shared" si="7"/>
        <v>6</v>
      </c>
      <c r="AR216" s="53"/>
      <c r="AS216" s="55"/>
      <c r="AT216" s="42">
        <v>51.3</v>
      </c>
      <c r="AU216" s="42" t="s">
        <v>146</v>
      </c>
      <c r="AV216" s="44">
        <v>2</v>
      </c>
      <c r="AW216" s="44">
        <f t="shared" si="8"/>
        <v>1</v>
      </c>
      <c r="AX216" s="42">
        <v>1</v>
      </c>
      <c r="AY216" s="42">
        <f t="shared" si="9"/>
        <v>1</v>
      </c>
      <c r="AZ216" s="42" t="s">
        <v>280</v>
      </c>
      <c r="BA216" s="53" t="s">
        <v>673</v>
      </c>
      <c r="BB216" s="57" t="s">
        <v>602</v>
      </c>
      <c r="BC216" s="58" t="s">
        <v>603</v>
      </c>
      <c r="BD216" s="58" t="s">
        <v>604</v>
      </c>
      <c r="BE216" s="59">
        <v>2</v>
      </c>
      <c r="BF216" s="58">
        <v>2</v>
      </c>
      <c r="BG216" s="58">
        <f t="shared" si="10"/>
        <v>0.6020599913279624</v>
      </c>
      <c r="BH216" s="58" t="s">
        <v>605</v>
      </c>
      <c r="BI216" s="58" t="s">
        <v>946</v>
      </c>
      <c r="BJ216" s="60" t="s">
        <v>90</v>
      </c>
      <c r="BK216" s="61">
        <v>1</v>
      </c>
      <c r="BL216" s="62">
        <v>1</v>
      </c>
      <c r="BM216" s="62">
        <f t="shared" si="11"/>
        <v>0</v>
      </c>
      <c r="BN216" s="58" t="s">
        <v>607</v>
      </c>
      <c r="BO216" s="59"/>
      <c r="BP216" s="59">
        <v>34.5</v>
      </c>
      <c r="BQ216" s="63">
        <f t="shared" si="72"/>
        <v>1</v>
      </c>
      <c r="BR216" s="45">
        <v>1</v>
      </c>
      <c r="BS216" s="45">
        <f t="shared" si="13"/>
        <v>0</v>
      </c>
      <c r="BU216" s="46"/>
      <c r="BV216" s="64">
        <v>1.8333333329999999</v>
      </c>
      <c r="BW216" s="54">
        <f t="shared" si="73"/>
        <v>1</v>
      </c>
      <c r="BX216" s="45">
        <v>1</v>
      </c>
      <c r="BY216" s="45">
        <f t="shared" si="74"/>
        <v>0</v>
      </c>
      <c r="BZ216" s="61" t="s">
        <v>927</v>
      </c>
      <c r="CA216" s="46"/>
      <c r="CB216" s="65">
        <v>2937</v>
      </c>
      <c r="CC216" s="45">
        <v>2</v>
      </c>
      <c r="CD216" s="45">
        <v>2</v>
      </c>
      <c r="CE216" s="45">
        <f t="shared" si="16"/>
        <v>0.6020599913279624</v>
      </c>
      <c r="CG216" s="46"/>
      <c r="CH216" s="66" t="s">
        <v>216</v>
      </c>
      <c r="CI216" s="85">
        <v>3</v>
      </c>
      <c r="CJ216" s="68">
        <v>2</v>
      </c>
      <c r="CK216" s="68">
        <f t="shared" si="17"/>
        <v>0.95424250943932487</v>
      </c>
      <c r="CL216" s="68"/>
      <c r="CM216" s="69" t="s">
        <v>144</v>
      </c>
      <c r="CO216" s="70">
        <f t="shared" si="75"/>
        <v>1.8888888888888888</v>
      </c>
      <c r="CQ216" s="45">
        <f t="shared" si="19"/>
        <v>0.23981805467724998</v>
      </c>
      <c r="CR216" s="45">
        <f t="shared" si="20"/>
        <v>1.7370729389807016</v>
      </c>
      <c r="CT216" s="71">
        <f t="shared" si="21"/>
        <v>1.333358323412059</v>
      </c>
    </row>
    <row r="217" spans="1:98" ht="16">
      <c r="A217" s="36">
        <v>215</v>
      </c>
      <c r="B217" s="37"/>
      <c r="C217" s="37"/>
      <c r="D217" s="37"/>
      <c r="E217" s="38" t="s">
        <v>1128</v>
      </c>
      <c r="F217" s="38" t="s">
        <v>360</v>
      </c>
      <c r="G217" s="38" t="s">
        <v>1129</v>
      </c>
      <c r="H217" s="38" t="s">
        <v>152</v>
      </c>
      <c r="I217" s="72">
        <v>3</v>
      </c>
      <c r="J217" s="53" t="s">
        <v>88</v>
      </c>
      <c r="K217" s="42">
        <v>0</v>
      </c>
      <c r="L217" s="42">
        <v>3</v>
      </c>
      <c r="M217" s="42">
        <v>1</v>
      </c>
      <c r="N217" s="42">
        <f t="shared" si="0"/>
        <v>3</v>
      </c>
      <c r="O217" s="214" t="s">
        <v>1130</v>
      </c>
      <c r="P217" s="53" t="s">
        <v>652</v>
      </c>
      <c r="Q217" s="43">
        <v>11.5</v>
      </c>
      <c r="R217" s="44">
        <f t="shared" si="70"/>
        <v>3</v>
      </c>
      <c r="S217" s="45">
        <v>1</v>
      </c>
      <c r="T217" s="45">
        <f t="shared" si="2"/>
        <v>3</v>
      </c>
      <c r="V217" s="46"/>
      <c r="W217" s="58" t="s">
        <v>337</v>
      </c>
      <c r="X217" s="73">
        <v>3.4</v>
      </c>
      <c r="Y217" s="44">
        <f t="shared" si="3"/>
        <v>2</v>
      </c>
      <c r="Z217" s="45">
        <v>1</v>
      </c>
      <c r="AA217" s="45">
        <f t="shared" si="4"/>
        <v>2</v>
      </c>
      <c r="AB217" s="45">
        <v>1</v>
      </c>
      <c r="AD217" s="49" t="s">
        <v>362</v>
      </c>
      <c r="AE217" s="50" t="s">
        <v>88</v>
      </c>
      <c r="AF217" s="50">
        <v>0</v>
      </c>
      <c r="AG217" s="50">
        <v>2</v>
      </c>
      <c r="AH217" s="50">
        <v>2</v>
      </c>
      <c r="AI217" s="50">
        <f t="shared" si="5"/>
        <v>4</v>
      </c>
      <c r="AJ217" s="50">
        <v>1</v>
      </c>
      <c r="AK217" s="51" t="s">
        <v>156</v>
      </c>
      <c r="AL217" s="61">
        <v>517850</v>
      </c>
      <c r="AM217" s="53" t="s">
        <v>115</v>
      </c>
      <c r="AN217" s="42">
        <v>1</v>
      </c>
      <c r="AO217" s="54">
        <f t="shared" si="71"/>
        <v>3</v>
      </c>
      <c r="AP217" s="53">
        <v>2</v>
      </c>
      <c r="AQ217" s="53">
        <f t="shared" si="7"/>
        <v>6</v>
      </c>
      <c r="AR217" s="53"/>
      <c r="AS217" s="55"/>
      <c r="AT217" s="42">
        <v>24.8</v>
      </c>
      <c r="AU217" s="42" t="s">
        <v>115</v>
      </c>
      <c r="AV217" s="44">
        <v>1</v>
      </c>
      <c r="AW217" s="44">
        <f t="shared" si="8"/>
        <v>2</v>
      </c>
      <c r="AX217" s="42">
        <v>1</v>
      </c>
      <c r="AY217" s="42">
        <f t="shared" si="9"/>
        <v>2</v>
      </c>
      <c r="AZ217" s="42">
        <v>91</v>
      </c>
      <c r="BA217" s="53" t="s">
        <v>1131</v>
      </c>
      <c r="BB217" s="57" t="s">
        <v>602</v>
      </c>
      <c r="BC217" s="58" t="s">
        <v>603</v>
      </c>
      <c r="BD217" s="58" t="s">
        <v>609</v>
      </c>
      <c r="BE217" s="59">
        <v>1</v>
      </c>
      <c r="BF217" s="58">
        <v>2</v>
      </c>
      <c r="BG217" s="58">
        <f t="shared" si="10"/>
        <v>0</v>
      </c>
      <c r="BH217" s="58" t="s">
        <v>605</v>
      </c>
      <c r="BI217" s="58" t="s">
        <v>610</v>
      </c>
      <c r="BJ217" s="60" t="s">
        <v>90</v>
      </c>
      <c r="BK217" s="61">
        <v>1</v>
      </c>
      <c r="BL217" s="62">
        <v>1</v>
      </c>
      <c r="BM217" s="62">
        <f t="shared" si="11"/>
        <v>0</v>
      </c>
      <c r="BN217" s="58" t="s">
        <v>607</v>
      </c>
      <c r="BO217" s="59"/>
      <c r="BP217" s="59">
        <v>24</v>
      </c>
      <c r="BQ217" s="63">
        <f t="shared" si="72"/>
        <v>2</v>
      </c>
      <c r="BR217" s="45">
        <v>1</v>
      </c>
      <c r="BS217" s="45">
        <f t="shared" si="13"/>
        <v>0.3010299956639812</v>
      </c>
      <c r="BU217" s="46"/>
      <c r="BV217" s="64">
        <v>2.3333333330000001</v>
      </c>
      <c r="BW217" s="54">
        <f t="shared" si="73"/>
        <v>1</v>
      </c>
      <c r="BX217" s="45">
        <v>1</v>
      </c>
      <c r="BY217" s="45">
        <f t="shared" si="74"/>
        <v>0</v>
      </c>
      <c r="BZ217" s="61" t="s">
        <v>91</v>
      </c>
      <c r="CA217" s="46"/>
      <c r="CB217" s="65">
        <v>2901</v>
      </c>
      <c r="CC217" s="45">
        <v>2</v>
      </c>
      <c r="CD217" s="45">
        <v>2</v>
      </c>
      <c r="CE217" s="45">
        <f t="shared" si="16"/>
        <v>0.6020599913279624</v>
      </c>
      <c r="CG217" s="46"/>
      <c r="CH217" s="66" t="s">
        <v>92</v>
      </c>
      <c r="CI217" s="67">
        <v>3</v>
      </c>
      <c r="CJ217" s="68">
        <v>2</v>
      </c>
      <c r="CK217" s="68">
        <f t="shared" si="17"/>
        <v>0.95424250943932487</v>
      </c>
      <c r="CL217" s="68"/>
      <c r="CM217" s="69" t="s">
        <v>144</v>
      </c>
      <c r="CO217" s="70">
        <f t="shared" si="75"/>
        <v>1.8888888888888888</v>
      </c>
      <c r="CQ217" s="45">
        <f t="shared" si="19"/>
        <v>0.20637027738125205</v>
      </c>
      <c r="CR217" s="45">
        <f t="shared" si="20"/>
        <v>1.6083119076007948</v>
      </c>
      <c r="CT217" s="71">
        <f t="shared" si="21"/>
        <v>1.2667325203702184</v>
      </c>
    </row>
    <row r="218" spans="1:98" ht="16">
      <c r="A218" s="36">
        <v>216</v>
      </c>
      <c r="B218" s="37"/>
      <c r="C218" s="37"/>
      <c r="D218" s="37"/>
      <c r="E218" s="38" t="s">
        <v>1132</v>
      </c>
      <c r="F218" s="38" t="s">
        <v>1133</v>
      </c>
      <c r="G218" s="38" t="s">
        <v>1134</v>
      </c>
      <c r="H218" s="83" t="s">
        <v>355</v>
      </c>
      <c r="I218" s="72">
        <v>3.5</v>
      </c>
      <c r="J218" s="53" t="s">
        <v>88</v>
      </c>
      <c r="K218" s="42">
        <v>0</v>
      </c>
      <c r="L218" s="42">
        <v>3</v>
      </c>
      <c r="M218" s="42">
        <v>1</v>
      </c>
      <c r="N218" s="42">
        <f t="shared" si="0"/>
        <v>3</v>
      </c>
      <c r="O218" s="214" t="s">
        <v>1135</v>
      </c>
      <c r="P218" s="53" t="s">
        <v>652</v>
      </c>
      <c r="Q218" s="43">
        <v>12</v>
      </c>
      <c r="R218" s="44">
        <f t="shared" si="70"/>
        <v>3</v>
      </c>
      <c r="S218" s="45">
        <v>1</v>
      </c>
      <c r="T218" s="45">
        <f t="shared" si="2"/>
        <v>3</v>
      </c>
      <c r="V218" s="46"/>
      <c r="W218" s="58" t="s">
        <v>178</v>
      </c>
      <c r="X218" s="73">
        <v>3.4</v>
      </c>
      <c r="Y218" s="44">
        <f t="shared" si="3"/>
        <v>2</v>
      </c>
      <c r="Z218" s="45">
        <v>1</v>
      </c>
      <c r="AA218" s="45">
        <f t="shared" si="4"/>
        <v>2</v>
      </c>
      <c r="AB218" s="45">
        <v>1</v>
      </c>
      <c r="AD218" s="49" t="s">
        <v>401</v>
      </c>
      <c r="AE218" s="50" t="s">
        <v>115</v>
      </c>
      <c r="AF218" s="50">
        <v>1</v>
      </c>
      <c r="AG218" s="50">
        <v>3</v>
      </c>
      <c r="AH218" s="50">
        <v>2</v>
      </c>
      <c r="AI218" s="50">
        <f t="shared" si="5"/>
        <v>6</v>
      </c>
      <c r="AJ218" s="50">
        <v>1</v>
      </c>
      <c r="AK218" s="51"/>
      <c r="AL218" s="59">
        <v>149485</v>
      </c>
      <c r="AM218" s="53" t="s">
        <v>146</v>
      </c>
      <c r="AN218" s="42">
        <v>2</v>
      </c>
      <c r="AO218" s="54">
        <f t="shared" si="71"/>
        <v>3</v>
      </c>
      <c r="AP218" s="53">
        <v>2</v>
      </c>
      <c r="AQ218" s="53">
        <f t="shared" si="7"/>
        <v>6</v>
      </c>
      <c r="AR218" s="53"/>
      <c r="AS218" s="55"/>
      <c r="AT218" s="42">
        <v>26</v>
      </c>
      <c r="AU218" s="42" t="s">
        <v>115</v>
      </c>
      <c r="AV218" s="44">
        <v>1</v>
      </c>
      <c r="AW218" s="44">
        <f t="shared" si="8"/>
        <v>2</v>
      </c>
      <c r="AX218" s="42">
        <v>1</v>
      </c>
      <c r="AY218" s="42">
        <f t="shared" si="9"/>
        <v>2</v>
      </c>
      <c r="AZ218" s="42">
        <v>71</v>
      </c>
      <c r="BA218" s="53" t="s">
        <v>358</v>
      </c>
      <c r="BB218" s="57" t="s">
        <v>602</v>
      </c>
      <c r="BC218" s="58" t="s">
        <v>603</v>
      </c>
      <c r="BD218" s="58" t="s">
        <v>609</v>
      </c>
      <c r="BE218" s="59">
        <v>1</v>
      </c>
      <c r="BF218" s="58">
        <v>2</v>
      </c>
      <c r="BG218" s="58">
        <f t="shared" si="10"/>
        <v>0</v>
      </c>
      <c r="BH218" s="58" t="s">
        <v>605</v>
      </c>
      <c r="BI218" s="58" t="s">
        <v>610</v>
      </c>
      <c r="BJ218" s="60" t="s">
        <v>90</v>
      </c>
      <c r="BK218" s="61">
        <v>1</v>
      </c>
      <c r="BL218" s="62">
        <v>1</v>
      </c>
      <c r="BM218" s="62">
        <f t="shared" si="11"/>
        <v>0</v>
      </c>
      <c r="BN218" s="58" t="s">
        <v>607</v>
      </c>
      <c r="BO218" s="59"/>
      <c r="BP218" s="92">
        <v>38.5</v>
      </c>
      <c r="BQ218" s="90">
        <f t="shared" si="72"/>
        <v>1</v>
      </c>
      <c r="BR218" s="45">
        <v>1</v>
      </c>
      <c r="BS218" s="45">
        <f t="shared" si="13"/>
        <v>0</v>
      </c>
      <c r="BT218" s="93"/>
      <c r="BU218" s="94"/>
      <c r="BV218" s="64">
        <v>2.75</v>
      </c>
      <c r="BW218" s="54">
        <f t="shared" si="73"/>
        <v>2</v>
      </c>
      <c r="BX218" s="45">
        <v>1</v>
      </c>
      <c r="BY218" s="45">
        <f t="shared" si="74"/>
        <v>0.3010299956639812</v>
      </c>
      <c r="BZ218" s="61" t="s">
        <v>99</v>
      </c>
      <c r="CA218" s="46"/>
      <c r="CB218" s="65">
        <v>2855</v>
      </c>
      <c r="CC218" s="45">
        <v>2</v>
      </c>
      <c r="CD218" s="45">
        <v>2</v>
      </c>
      <c r="CE218" s="45">
        <f t="shared" si="16"/>
        <v>0.6020599913279624</v>
      </c>
      <c r="CG218" s="46"/>
      <c r="CH218" s="66" t="s">
        <v>92</v>
      </c>
      <c r="CI218" s="67">
        <v>3</v>
      </c>
      <c r="CJ218" s="68">
        <v>2</v>
      </c>
      <c r="CK218" s="68">
        <f t="shared" si="17"/>
        <v>0.95424250943932487</v>
      </c>
      <c r="CL218" s="68"/>
      <c r="CM218" s="69"/>
      <c r="CO218" s="70">
        <f t="shared" si="75"/>
        <v>2.1111111111111112</v>
      </c>
      <c r="CQ218" s="45">
        <f t="shared" si="19"/>
        <v>0.20637027738125205</v>
      </c>
      <c r="CR218" s="45">
        <f t="shared" si="20"/>
        <v>1.6083119076007948</v>
      </c>
      <c r="CT218" s="71">
        <f t="shared" si="21"/>
        <v>1.0771104092520141</v>
      </c>
    </row>
    <row r="219" spans="1:98" ht="16">
      <c r="A219" s="36">
        <v>217</v>
      </c>
      <c r="B219" s="37"/>
      <c r="C219" s="37"/>
      <c r="D219" s="37"/>
      <c r="E219" s="38" t="s">
        <v>1136</v>
      </c>
      <c r="F219" s="38" t="s">
        <v>268</v>
      </c>
      <c r="G219" s="38" t="s">
        <v>230</v>
      </c>
      <c r="H219" s="38" t="s">
        <v>184</v>
      </c>
      <c r="I219" s="72">
        <v>5.9</v>
      </c>
      <c r="J219" s="53" t="s">
        <v>115</v>
      </c>
      <c r="K219" s="42">
        <v>1</v>
      </c>
      <c r="L219" s="42">
        <v>2</v>
      </c>
      <c r="M219" s="42">
        <v>1</v>
      </c>
      <c r="N219" s="42">
        <f t="shared" si="0"/>
        <v>2</v>
      </c>
      <c r="O219" s="42" t="s">
        <v>799</v>
      </c>
      <c r="P219" s="53"/>
      <c r="Q219" s="43">
        <v>2.1</v>
      </c>
      <c r="R219" s="44">
        <f t="shared" si="70"/>
        <v>3</v>
      </c>
      <c r="S219" s="45">
        <v>1</v>
      </c>
      <c r="T219" s="45">
        <f t="shared" si="2"/>
        <v>3</v>
      </c>
      <c r="V219" s="46"/>
      <c r="W219" s="58" t="s">
        <v>1137</v>
      </c>
      <c r="X219" s="73">
        <v>3</v>
      </c>
      <c r="Y219" s="44">
        <f t="shared" si="3"/>
        <v>2</v>
      </c>
      <c r="Z219" s="45">
        <v>1</v>
      </c>
      <c r="AA219" s="45">
        <f t="shared" si="4"/>
        <v>2</v>
      </c>
      <c r="AB219" s="45">
        <v>1</v>
      </c>
      <c r="AD219" s="49" t="s">
        <v>163</v>
      </c>
      <c r="AE219" s="50" t="s">
        <v>146</v>
      </c>
      <c r="AF219" s="50">
        <v>2</v>
      </c>
      <c r="AG219" s="50">
        <v>3</v>
      </c>
      <c r="AH219" s="50">
        <v>2</v>
      </c>
      <c r="AI219" s="50">
        <f t="shared" si="5"/>
        <v>6</v>
      </c>
      <c r="AJ219" s="50" t="s">
        <v>645</v>
      </c>
      <c r="AK219" s="51" t="s">
        <v>186</v>
      </c>
      <c r="AL219" s="61">
        <v>53528</v>
      </c>
      <c r="AM219" s="53" t="s">
        <v>115</v>
      </c>
      <c r="AN219" s="42">
        <v>1</v>
      </c>
      <c r="AO219" s="54">
        <f t="shared" si="71"/>
        <v>3</v>
      </c>
      <c r="AP219" s="53">
        <v>2</v>
      </c>
      <c r="AQ219" s="53">
        <f t="shared" si="7"/>
        <v>6</v>
      </c>
      <c r="AR219" s="53"/>
      <c r="AS219" s="55" t="s">
        <v>668</v>
      </c>
      <c r="AT219" s="53">
        <v>36.65</v>
      </c>
      <c r="AU219" s="42" t="s">
        <v>146</v>
      </c>
      <c r="AV219" s="44">
        <v>2</v>
      </c>
      <c r="AW219" s="44">
        <f t="shared" si="8"/>
        <v>1</v>
      </c>
      <c r="AX219" s="42">
        <v>1</v>
      </c>
      <c r="AY219" s="42">
        <f t="shared" si="9"/>
        <v>1</v>
      </c>
      <c r="AZ219" s="42" t="s">
        <v>270</v>
      </c>
      <c r="BA219" s="53" t="s">
        <v>669</v>
      </c>
      <c r="BB219" s="57" t="s">
        <v>642</v>
      </c>
      <c r="BC219" s="58" t="s">
        <v>643</v>
      </c>
      <c r="BD219" s="58" t="s">
        <v>604</v>
      </c>
      <c r="BE219" s="59">
        <v>3</v>
      </c>
      <c r="BF219" s="58">
        <v>2</v>
      </c>
      <c r="BG219" s="58">
        <f t="shared" si="10"/>
        <v>0.95424250943932487</v>
      </c>
      <c r="BH219" s="58" t="s">
        <v>605</v>
      </c>
      <c r="BI219" s="58" t="s">
        <v>940</v>
      </c>
      <c r="BJ219" s="60" t="s">
        <v>90</v>
      </c>
      <c r="BK219" s="61">
        <v>1</v>
      </c>
      <c r="BL219" s="62">
        <v>1</v>
      </c>
      <c r="BM219" s="62">
        <f t="shared" si="11"/>
        <v>0</v>
      </c>
      <c r="BN219" s="58" t="s">
        <v>607</v>
      </c>
      <c r="BO219" s="59"/>
      <c r="BP219" s="59">
        <v>17.5</v>
      </c>
      <c r="BQ219" s="63">
        <f t="shared" si="72"/>
        <v>2</v>
      </c>
      <c r="BR219" s="45">
        <v>1</v>
      </c>
      <c r="BS219" s="45">
        <f t="shared" si="13"/>
        <v>0.3010299956639812</v>
      </c>
      <c r="BU219" s="46"/>
      <c r="BV219" s="64">
        <v>2</v>
      </c>
      <c r="BW219" s="54">
        <f t="shared" si="73"/>
        <v>1</v>
      </c>
      <c r="BX219" s="45">
        <v>1</v>
      </c>
      <c r="BY219" s="45">
        <f t="shared" si="74"/>
        <v>0</v>
      </c>
      <c r="BZ219" s="61">
        <v>46</v>
      </c>
      <c r="CA219" s="46"/>
      <c r="CB219" s="65">
        <v>2854</v>
      </c>
      <c r="CC219" s="45">
        <v>2</v>
      </c>
      <c r="CD219" s="45">
        <v>2</v>
      </c>
      <c r="CE219" s="45">
        <f t="shared" si="16"/>
        <v>0.6020599913279624</v>
      </c>
      <c r="CG219" s="46"/>
      <c r="CH219" s="66" t="s">
        <v>92</v>
      </c>
      <c r="CI219" s="67">
        <v>3</v>
      </c>
      <c r="CJ219" s="68">
        <v>2</v>
      </c>
      <c r="CK219" s="68">
        <f t="shared" si="17"/>
        <v>0.95424250943932487</v>
      </c>
      <c r="CL219" s="68"/>
      <c r="CM219" s="69"/>
      <c r="CO219" s="70">
        <f t="shared" si="75"/>
        <v>2</v>
      </c>
      <c r="CQ219" s="45">
        <f t="shared" si="19"/>
        <v>0.31239722287451038</v>
      </c>
      <c r="CR219" s="45">
        <f t="shared" si="20"/>
        <v>2.0530391109397983</v>
      </c>
      <c r="CT219" s="71">
        <f t="shared" si="21"/>
        <v>1.4522022480250061</v>
      </c>
    </row>
    <row r="220" spans="1:98" ht="16">
      <c r="A220" s="36">
        <v>218</v>
      </c>
      <c r="B220" s="37"/>
      <c r="C220" s="37"/>
      <c r="D220" s="37"/>
      <c r="E220" s="38" t="s">
        <v>1138</v>
      </c>
      <c r="F220" s="38" t="s">
        <v>1139</v>
      </c>
      <c r="G220" s="38" t="s">
        <v>1140</v>
      </c>
      <c r="H220" s="38" t="s">
        <v>1141</v>
      </c>
      <c r="I220" s="72">
        <v>10</v>
      </c>
      <c r="J220" s="53" t="s">
        <v>88</v>
      </c>
      <c r="K220" s="42">
        <v>0</v>
      </c>
      <c r="L220" s="42">
        <v>2</v>
      </c>
      <c r="M220" s="42">
        <v>1</v>
      </c>
      <c r="N220" s="42">
        <f t="shared" si="0"/>
        <v>2</v>
      </c>
      <c r="O220" s="214" t="s">
        <v>1142</v>
      </c>
      <c r="P220" s="53" t="s">
        <v>652</v>
      </c>
      <c r="Q220" s="43">
        <v>27.5</v>
      </c>
      <c r="R220" s="44">
        <f t="shared" si="70"/>
        <v>3</v>
      </c>
      <c r="S220" s="45">
        <v>1</v>
      </c>
      <c r="T220" s="45">
        <f t="shared" si="2"/>
        <v>3</v>
      </c>
      <c r="V220" s="46"/>
      <c r="W220" s="58" t="s">
        <v>1127</v>
      </c>
      <c r="X220" s="73">
        <v>3.4</v>
      </c>
      <c r="Y220" s="44">
        <f t="shared" si="3"/>
        <v>2</v>
      </c>
      <c r="Z220" s="45">
        <v>1</v>
      </c>
      <c r="AA220" s="45">
        <f t="shared" si="4"/>
        <v>2</v>
      </c>
      <c r="AB220" s="45">
        <v>1</v>
      </c>
      <c r="AD220" s="49" t="s">
        <v>165</v>
      </c>
      <c r="AE220" s="50" t="s">
        <v>146</v>
      </c>
      <c r="AF220" s="50">
        <v>2</v>
      </c>
      <c r="AG220" s="50">
        <v>3</v>
      </c>
      <c r="AH220" s="50">
        <v>2</v>
      </c>
      <c r="AI220" s="50">
        <f t="shared" si="5"/>
        <v>6</v>
      </c>
      <c r="AJ220" s="50" t="s">
        <v>633</v>
      </c>
      <c r="AK220" s="51"/>
      <c r="AL220" s="61">
        <v>46894</v>
      </c>
      <c r="AM220" s="53" t="s">
        <v>146</v>
      </c>
      <c r="AN220" s="42">
        <v>2</v>
      </c>
      <c r="AO220" s="54">
        <f t="shared" si="71"/>
        <v>3</v>
      </c>
      <c r="AP220" s="53">
        <v>2</v>
      </c>
      <c r="AQ220" s="53">
        <f t="shared" si="7"/>
        <v>6</v>
      </c>
      <c r="AR220" s="53"/>
      <c r="AS220" s="55"/>
      <c r="AT220" s="42">
        <v>42.3</v>
      </c>
      <c r="AU220" s="42" t="s">
        <v>88</v>
      </c>
      <c r="AV220" s="56">
        <v>0</v>
      </c>
      <c r="AW220" s="44">
        <f t="shared" si="8"/>
        <v>1</v>
      </c>
      <c r="AX220" s="42">
        <v>1</v>
      </c>
      <c r="AY220" s="42">
        <f t="shared" si="9"/>
        <v>1</v>
      </c>
      <c r="AZ220" s="42" t="s">
        <v>1143</v>
      </c>
      <c r="BA220" s="53"/>
      <c r="BB220" s="57" t="s">
        <v>602</v>
      </c>
      <c r="BC220" s="58" t="s">
        <v>603</v>
      </c>
      <c r="BD220" s="58" t="s">
        <v>609</v>
      </c>
      <c r="BE220" s="59">
        <v>1</v>
      </c>
      <c r="BF220" s="58">
        <v>2</v>
      </c>
      <c r="BG220" s="58">
        <f t="shared" si="10"/>
        <v>0</v>
      </c>
      <c r="BH220" s="58" t="s">
        <v>605</v>
      </c>
      <c r="BI220" s="58" t="s">
        <v>610</v>
      </c>
      <c r="BJ220" s="60" t="s">
        <v>90</v>
      </c>
      <c r="BK220" s="61">
        <v>1</v>
      </c>
      <c r="BL220" s="62">
        <v>1</v>
      </c>
      <c r="BM220" s="62">
        <f t="shared" si="11"/>
        <v>0</v>
      </c>
      <c r="BN220" s="58" t="s">
        <v>607</v>
      </c>
      <c r="BO220" s="59"/>
      <c r="BP220" s="59">
        <v>35.5</v>
      </c>
      <c r="BQ220" s="63">
        <f t="shared" si="72"/>
        <v>1</v>
      </c>
      <c r="BR220" s="45">
        <v>1</v>
      </c>
      <c r="BS220" s="45">
        <f t="shared" si="13"/>
        <v>0</v>
      </c>
      <c r="BU220" s="46"/>
      <c r="BV220" s="64">
        <v>2.625</v>
      </c>
      <c r="BW220" s="54">
        <f t="shared" si="73"/>
        <v>2</v>
      </c>
      <c r="BX220" s="45">
        <v>1</v>
      </c>
      <c r="BY220" s="45">
        <f t="shared" si="74"/>
        <v>0.3010299956639812</v>
      </c>
      <c r="BZ220" s="61" t="s">
        <v>99</v>
      </c>
      <c r="CA220" s="46"/>
      <c r="CB220" s="65">
        <v>2852</v>
      </c>
      <c r="CC220" s="45">
        <v>2</v>
      </c>
      <c r="CD220" s="45">
        <v>2</v>
      </c>
      <c r="CE220" s="45">
        <f t="shared" si="16"/>
        <v>0.6020599913279624</v>
      </c>
      <c r="CG220" s="46"/>
      <c r="CH220" s="66" t="s">
        <v>92</v>
      </c>
      <c r="CI220" s="67">
        <v>3</v>
      </c>
      <c r="CJ220" s="68">
        <v>2</v>
      </c>
      <c r="CK220" s="68">
        <f t="shared" si="17"/>
        <v>0.95424250943932487</v>
      </c>
      <c r="CL220" s="68"/>
      <c r="CM220" s="69" t="s">
        <v>144</v>
      </c>
      <c r="CO220" s="70">
        <f t="shared" si="75"/>
        <v>2</v>
      </c>
      <c r="CQ220" s="45">
        <f t="shared" si="19"/>
        <v>0.20637027738125205</v>
      </c>
      <c r="CR220" s="45">
        <f t="shared" si="20"/>
        <v>1.6083119076007948</v>
      </c>
      <c r="CT220" s="71">
        <f t="shared" si="21"/>
        <v>1.1704885206309876</v>
      </c>
    </row>
    <row r="221" spans="1:98" ht="16">
      <c r="A221" s="36">
        <v>219</v>
      </c>
      <c r="B221" s="37"/>
      <c r="C221" s="37"/>
      <c r="D221" s="37"/>
      <c r="E221" s="38" t="s">
        <v>1144</v>
      </c>
      <c r="F221" s="38" t="s">
        <v>395</v>
      </c>
      <c r="G221" s="38" t="s">
        <v>1145</v>
      </c>
      <c r="H221" s="38" t="s">
        <v>83</v>
      </c>
      <c r="I221" s="72">
        <v>7.2</v>
      </c>
      <c r="J221" s="53" t="s">
        <v>115</v>
      </c>
      <c r="K221" s="42">
        <v>1</v>
      </c>
      <c r="L221" s="42">
        <v>2</v>
      </c>
      <c r="M221" s="42">
        <v>1</v>
      </c>
      <c r="N221" s="42">
        <f t="shared" si="0"/>
        <v>2</v>
      </c>
      <c r="O221" s="42" t="s">
        <v>799</v>
      </c>
      <c r="P221" s="53"/>
      <c r="Q221" s="43">
        <v>9</v>
      </c>
      <c r="R221" s="44">
        <f t="shared" si="70"/>
        <v>3</v>
      </c>
      <c r="S221" s="45">
        <v>1</v>
      </c>
      <c r="T221" s="45">
        <f t="shared" si="2"/>
        <v>3</v>
      </c>
      <c r="V221" s="46"/>
      <c r="W221" s="58" t="s">
        <v>422</v>
      </c>
      <c r="X221" s="73">
        <v>2.7</v>
      </c>
      <c r="Y221" s="44">
        <f t="shared" si="3"/>
        <v>2</v>
      </c>
      <c r="Z221" s="45">
        <v>1</v>
      </c>
      <c r="AA221" s="45">
        <f t="shared" si="4"/>
        <v>2</v>
      </c>
      <c r="AB221" s="45">
        <v>1</v>
      </c>
      <c r="AD221" s="49" t="s">
        <v>87</v>
      </c>
      <c r="AE221" s="50" t="s">
        <v>88</v>
      </c>
      <c r="AF221" s="50">
        <v>0</v>
      </c>
      <c r="AG221" s="50">
        <v>3</v>
      </c>
      <c r="AH221" s="50">
        <v>2</v>
      </c>
      <c r="AI221" s="50">
        <f t="shared" si="5"/>
        <v>6</v>
      </c>
      <c r="AJ221" s="50">
        <v>1</v>
      </c>
      <c r="AK221" s="51" t="s">
        <v>89</v>
      </c>
      <c r="AL221" s="61">
        <v>2225</v>
      </c>
      <c r="AM221" s="53" t="s">
        <v>115</v>
      </c>
      <c r="AN221" s="42">
        <v>1</v>
      </c>
      <c r="AO221" s="54">
        <f t="shared" si="71"/>
        <v>2</v>
      </c>
      <c r="AP221" s="53">
        <v>2</v>
      </c>
      <c r="AQ221" s="53">
        <f t="shared" si="7"/>
        <v>4</v>
      </c>
      <c r="AR221" s="53"/>
      <c r="AS221" s="55"/>
      <c r="AT221" s="42">
        <v>18.399999999999999</v>
      </c>
      <c r="AU221" s="42" t="s">
        <v>88</v>
      </c>
      <c r="AV221" s="56">
        <v>0</v>
      </c>
      <c r="AW221" s="44">
        <f t="shared" si="8"/>
        <v>2</v>
      </c>
      <c r="AX221" s="42">
        <v>1</v>
      </c>
      <c r="AY221" s="42">
        <f t="shared" si="9"/>
        <v>2</v>
      </c>
      <c r="AZ221" s="42"/>
      <c r="BA221" s="42"/>
      <c r="BB221" s="57" t="s">
        <v>602</v>
      </c>
      <c r="BC221" s="58" t="s">
        <v>603</v>
      </c>
      <c r="BD221" s="58" t="s">
        <v>609</v>
      </c>
      <c r="BE221" s="59">
        <v>1</v>
      </c>
      <c r="BF221" s="58">
        <v>2</v>
      </c>
      <c r="BG221" s="58">
        <f t="shared" si="10"/>
        <v>0</v>
      </c>
      <c r="BH221" s="58" t="s">
        <v>605</v>
      </c>
      <c r="BI221" s="58" t="s">
        <v>610</v>
      </c>
      <c r="BJ221" s="60" t="s">
        <v>90</v>
      </c>
      <c r="BK221" s="61">
        <v>1</v>
      </c>
      <c r="BL221" s="62">
        <v>1</v>
      </c>
      <c r="BM221" s="62">
        <f t="shared" si="11"/>
        <v>0</v>
      </c>
      <c r="BN221" s="58" t="s">
        <v>607</v>
      </c>
      <c r="BO221" s="59"/>
      <c r="BP221" s="59">
        <v>6.5</v>
      </c>
      <c r="BQ221" s="63">
        <f t="shared" si="72"/>
        <v>3</v>
      </c>
      <c r="BR221" s="45">
        <v>1</v>
      </c>
      <c r="BS221" s="45">
        <f t="shared" si="13"/>
        <v>0.47712125471966244</v>
      </c>
      <c r="BU221" s="46"/>
      <c r="BV221" s="64">
        <v>1.5</v>
      </c>
      <c r="BW221" s="54">
        <f t="shared" si="73"/>
        <v>1</v>
      </c>
      <c r="BX221" s="45">
        <v>1</v>
      </c>
      <c r="BY221" s="45">
        <f t="shared" si="74"/>
        <v>0</v>
      </c>
      <c r="BZ221" s="61" t="s">
        <v>1101</v>
      </c>
      <c r="CA221" s="46"/>
      <c r="CB221" s="65">
        <v>2840</v>
      </c>
      <c r="CC221" s="45">
        <v>2</v>
      </c>
      <c r="CD221" s="45">
        <v>2</v>
      </c>
      <c r="CE221" s="45">
        <f t="shared" si="16"/>
        <v>0.6020599913279624</v>
      </c>
      <c r="CG221" s="46"/>
      <c r="CH221" s="66" t="s">
        <v>92</v>
      </c>
      <c r="CI221" s="67">
        <v>3</v>
      </c>
      <c r="CJ221" s="68">
        <v>2</v>
      </c>
      <c r="CK221" s="68">
        <f t="shared" si="17"/>
        <v>0.95424250943932487</v>
      </c>
      <c r="CL221" s="78"/>
      <c r="CM221" s="79" t="s">
        <v>144</v>
      </c>
      <c r="CO221" s="70">
        <f t="shared" si="75"/>
        <v>1.8888888888888888</v>
      </c>
      <c r="CQ221" s="45">
        <f t="shared" si="19"/>
        <v>0.22593597283188332</v>
      </c>
      <c r="CR221" s="45">
        <f t="shared" si="20"/>
        <v>1.682426006079768</v>
      </c>
      <c r="CT221" s="71">
        <f t="shared" si="21"/>
        <v>1.3039452269971126</v>
      </c>
    </row>
    <row r="222" spans="1:98" ht="16">
      <c r="A222" s="36">
        <v>220</v>
      </c>
      <c r="B222" s="37"/>
      <c r="C222" s="37"/>
      <c r="D222" s="37"/>
      <c r="E222" s="38" t="s">
        <v>1146</v>
      </c>
      <c r="F222" s="38" t="s">
        <v>158</v>
      </c>
      <c r="G222" s="38" t="s">
        <v>1147</v>
      </c>
      <c r="H222" s="38" t="s">
        <v>160</v>
      </c>
      <c r="I222" s="72">
        <v>6.5</v>
      </c>
      <c r="J222" s="53" t="s">
        <v>88</v>
      </c>
      <c r="K222" s="42">
        <v>0</v>
      </c>
      <c r="L222" s="42">
        <v>2</v>
      </c>
      <c r="M222" s="42">
        <v>1</v>
      </c>
      <c r="N222" s="42">
        <f t="shared" si="0"/>
        <v>2</v>
      </c>
      <c r="O222" s="53"/>
      <c r="P222" s="53"/>
      <c r="Q222" s="43">
        <v>8</v>
      </c>
      <c r="R222" s="44">
        <f t="shared" si="70"/>
        <v>3</v>
      </c>
      <c r="S222" s="45">
        <v>1</v>
      </c>
      <c r="T222" s="45">
        <f t="shared" si="2"/>
        <v>3</v>
      </c>
      <c r="V222" s="46"/>
      <c r="W222" s="58" t="s">
        <v>1148</v>
      </c>
      <c r="X222" s="73">
        <v>2.9</v>
      </c>
      <c r="Y222" s="44">
        <f t="shared" si="3"/>
        <v>2</v>
      </c>
      <c r="Z222" s="45">
        <v>1</v>
      </c>
      <c r="AA222" s="45">
        <f t="shared" si="4"/>
        <v>2</v>
      </c>
      <c r="AB222" s="45">
        <v>1</v>
      </c>
      <c r="AD222" s="49" t="s">
        <v>475</v>
      </c>
      <c r="AE222" s="50" t="s">
        <v>88</v>
      </c>
      <c r="AF222" s="50">
        <v>0</v>
      </c>
      <c r="AG222" s="50">
        <v>3</v>
      </c>
      <c r="AH222" s="50">
        <v>2</v>
      </c>
      <c r="AI222" s="50">
        <f t="shared" si="5"/>
        <v>6</v>
      </c>
      <c r="AJ222" s="50">
        <v>1</v>
      </c>
      <c r="AK222" s="51"/>
      <c r="AL222" s="61">
        <v>32850</v>
      </c>
      <c r="AM222" s="53" t="s">
        <v>88</v>
      </c>
      <c r="AN222" s="42">
        <v>0</v>
      </c>
      <c r="AO222" s="54">
        <f t="shared" si="71"/>
        <v>3</v>
      </c>
      <c r="AP222" s="53">
        <v>2</v>
      </c>
      <c r="AQ222" s="53">
        <f t="shared" si="7"/>
        <v>6</v>
      </c>
      <c r="AR222" s="53"/>
      <c r="AS222" s="55"/>
      <c r="AT222" s="42">
        <v>34</v>
      </c>
      <c r="AU222" s="42" t="s">
        <v>88</v>
      </c>
      <c r="AV222" s="56">
        <v>0</v>
      </c>
      <c r="AW222" s="44">
        <f t="shared" si="8"/>
        <v>1</v>
      </c>
      <c r="AX222" s="42">
        <v>1</v>
      </c>
      <c r="AY222" s="42">
        <f t="shared" si="9"/>
        <v>1</v>
      </c>
      <c r="AZ222" s="42"/>
      <c r="BA222" s="42"/>
      <c r="BB222" s="57" t="s">
        <v>602</v>
      </c>
      <c r="BC222" s="58" t="s">
        <v>603</v>
      </c>
      <c r="BD222" s="58" t="s">
        <v>609</v>
      </c>
      <c r="BE222" s="59">
        <v>1</v>
      </c>
      <c r="BF222" s="58">
        <v>2</v>
      </c>
      <c r="BG222" s="58">
        <f t="shared" si="10"/>
        <v>0</v>
      </c>
      <c r="BH222" s="58" t="s">
        <v>605</v>
      </c>
      <c r="BI222" s="58" t="s">
        <v>610</v>
      </c>
      <c r="BJ222" s="81" t="s">
        <v>90</v>
      </c>
      <c r="BK222" s="61">
        <v>1</v>
      </c>
      <c r="BL222" s="62">
        <v>1</v>
      </c>
      <c r="BM222" s="62">
        <f t="shared" si="11"/>
        <v>0</v>
      </c>
      <c r="BN222" s="58" t="s">
        <v>607</v>
      </c>
      <c r="BO222" s="86"/>
      <c r="BP222" s="86">
        <v>38</v>
      </c>
      <c r="BQ222" s="63">
        <f t="shared" si="72"/>
        <v>1</v>
      </c>
      <c r="BR222" s="45">
        <v>1</v>
      </c>
      <c r="BS222" s="45">
        <f t="shared" si="13"/>
        <v>0</v>
      </c>
      <c r="BU222" s="46"/>
      <c r="BV222" s="64">
        <v>2</v>
      </c>
      <c r="BW222" s="54">
        <f t="shared" si="73"/>
        <v>1</v>
      </c>
      <c r="BX222" s="45">
        <v>1</v>
      </c>
      <c r="BY222" s="45">
        <f t="shared" si="74"/>
        <v>0</v>
      </c>
      <c r="BZ222" s="61" t="s">
        <v>91</v>
      </c>
      <c r="CA222" s="46"/>
      <c r="CB222" s="65">
        <v>2825</v>
      </c>
      <c r="CC222" s="45">
        <v>2</v>
      </c>
      <c r="CD222" s="45">
        <v>2</v>
      </c>
      <c r="CE222" s="45">
        <f t="shared" si="16"/>
        <v>0.6020599913279624</v>
      </c>
      <c r="CG222" s="46"/>
      <c r="CH222" s="66" t="s">
        <v>92</v>
      </c>
      <c r="CI222" s="67">
        <v>3</v>
      </c>
      <c r="CJ222" s="68">
        <v>2</v>
      </c>
      <c r="CK222" s="68">
        <f t="shared" si="17"/>
        <v>0.95424250943932487</v>
      </c>
      <c r="CL222" s="68"/>
      <c r="CM222" s="69"/>
      <c r="CO222" s="70">
        <f t="shared" si="75"/>
        <v>2</v>
      </c>
      <c r="CQ222" s="45">
        <f t="shared" si="19"/>
        <v>0.17292250008525414</v>
      </c>
      <c r="CR222" s="45">
        <f t="shared" si="20"/>
        <v>1.4890953247181091</v>
      </c>
      <c r="CT222" s="71">
        <f t="shared" si="21"/>
        <v>1.11319999850032</v>
      </c>
    </row>
    <row r="223" spans="1:98" ht="16">
      <c r="A223" s="36">
        <v>221</v>
      </c>
      <c r="B223" s="37"/>
      <c r="C223" s="37"/>
      <c r="D223" s="37"/>
      <c r="E223" s="38" t="s">
        <v>1149</v>
      </c>
      <c r="F223" s="38" t="s">
        <v>1077</v>
      </c>
      <c r="G223" s="38" t="s">
        <v>534</v>
      </c>
      <c r="H223" s="38" t="s">
        <v>83</v>
      </c>
      <c r="I223" s="72">
        <v>6.3</v>
      </c>
      <c r="J223" s="53" t="s">
        <v>146</v>
      </c>
      <c r="K223" s="42">
        <v>2</v>
      </c>
      <c r="L223" s="42">
        <v>2</v>
      </c>
      <c r="M223" s="42">
        <v>1</v>
      </c>
      <c r="N223" s="42">
        <f t="shared" si="0"/>
        <v>2</v>
      </c>
      <c r="O223" s="42" t="s">
        <v>799</v>
      </c>
      <c r="P223" s="53"/>
      <c r="Q223" s="43">
        <v>11</v>
      </c>
      <c r="R223" s="44">
        <f t="shared" si="70"/>
        <v>3</v>
      </c>
      <c r="S223" s="45">
        <v>1</v>
      </c>
      <c r="T223" s="45">
        <f t="shared" si="2"/>
        <v>3</v>
      </c>
      <c r="V223" s="46"/>
      <c r="W223" s="58" t="s">
        <v>178</v>
      </c>
      <c r="X223" s="73">
        <v>3.4</v>
      </c>
      <c r="Y223" s="44">
        <f t="shared" si="3"/>
        <v>2</v>
      </c>
      <c r="Z223" s="45">
        <v>1</v>
      </c>
      <c r="AA223" s="45">
        <f t="shared" si="4"/>
        <v>2</v>
      </c>
      <c r="AB223" s="45">
        <v>1</v>
      </c>
      <c r="AD223" s="49" t="s">
        <v>87</v>
      </c>
      <c r="AE223" s="50" t="s">
        <v>88</v>
      </c>
      <c r="AF223" s="50">
        <v>0</v>
      </c>
      <c r="AG223" s="50">
        <v>3</v>
      </c>
      <c r="AH223" s="50">
        <v>2</v>
      </c>
      <c r="AI223" s="50">
        <f t="shared" si="5"/>
        <v>6</v>
      </c>
      <c r="AJ223" s="50">
        <v>1</v>
      </c>
      <c r="AK223" s="51" t="s">
        <v>89</v>
      </c>
      <c r="AL223" s="52">
        <v>57661</v>
      </c>
      <c r="AM223" s="53" t="s">
        <v>146</v>
      </c>
      <c r="AN223" s="42">
        <v>2</v>
      </c>
      <c r="AO223" s="54">
        <f t="shared" si="71"/>
        <v>3</v>
      </c>
      <c r="AP223" s="53">
        <v>2</v>
      </c>
      <c r="AQ223" s="53">
        <f t="shared" si="7"/>
        <v>6</v>
      </c>
      <c r="AR223" s="53"/>
      <c r="AS223" s="55"/>
      <c r="AT223" s="42">
        <v>20</v>
      </c>
      <c r="AU223" s="42" t="s">
        <v>88</v>
      </c>
      <c r="AV223" s="56">
        <v>0</v>
      </c>
      <c r="AW223" s="44">
        <f t="shared" si="8"/>
        <v>2</v>
      </c>
      <c r="AX223" s="42">
        <v>1</v>
      </c>
      <c r="AY223" s="42">
        <f t="shared" si="9"/>
        <v>2</v>
      </c>
      <c r="AZ223" s="42"/>
      <c r="BA223" s="42"/>
      <c r="BB223" s="57" t="s">
        <v>602</v>
      </c>
      <c r="BC223" s="58" t="s">
        <v>603</v>
      </c>
      <c r="BD223" s="58" t="s">
        <v>609</v>
      </c>
      <c r="BE223" s="59">
        <v>1</v>
      </c>
      <c r="BF223" s="58">
        <v>2</v>
      </c>
      <c r="BG223" s="58">
        <f t="shared" si="10"/>
        <v>0</v>
      </c>
      <c r="BH223" s="58" t="s">
        <v>605</v>
      </c>
      <c r="BI223" s="58" t="s">
        <v>1009</v>
      </c>
      <c r="BJ223" s="60" t="s">
        <v>90</v>
      </c>
      <c r="BK223" s="61">
        <v>1</v>
      </c>
      <c r="BL223" s="62">
        <v>1</v>
      </c>
      <c r="BM223" s="62">
        <f t="shared" si="11"/>
        <v>0</v>
      </c>
      <c r="BN223" s="58" t="s">
        <v>607</v>
      </c>
      <c r="BO223" s="59"/>
      <c r="BP223" s="59">
        <v>8.5</v>
      </c>
      <c r="BQ223" s="63">
        <f t="shared" si="72"/>
        <v>3</v>
      </c>
      <c r="BR223" s="45">
        <v>1</v>
      </c>
      <c r="BS223" s="45">
        <f t="shared" si="13"/>
        <v>0.47712125471966244</v>
      </c>
      <c r="BU223" s="46"/>
      <c r="BV223" s="64">
        <v>1</v>
      </c>
      <c r="BW223" s="54">
        <f t="shared" si="73"/>
        <v>1</v>
      </c>
      <c r="BX223" s="45">
        <v>1</v>
      </c>
      <c r="BY223" s="45">
        <f t="shared" si="74"/>
        <v>0</v>
      </c>
      <c r="BZ223" s="61">
        <v>45</v>
      </c>
      <c r="CA223" s="46"/>
      <c r="CB223" s="65">
        <v>2816</v>
      </c>
      <c r="CC223" s="45">
        <v>2</v>
      </c>
      <c r="CD223" s="45">
        <v>2</v>
      </c>
      <c r="CE223" s="45">
        <f t="shared" si="16"/>
        <v>0.6020599913279624</v>
      </c>
      <c r="CG223" s="46"/>
      <c r="CH223" s="66" t="s">
        <v>106</v>
      </c>
      <c r="CI223" s="67">
        <v>3</v>
      </c>
      <c r="CJ223" s="68">
        <v>2</v>
      </c>
      <c r="CK223" s="68">
        <f t="shared" si="17"/>
        <v>0.95424250943932487</v>
      </c>
      <c r="CL223" s="78"/>
      <c r="CM223" s="79" t="s">
        <v>144</v>
      </c>
      <c r="CO223" s="70">
        <f t="shared" si="75"/>
        <v>2.1111111111111112</v>
      </c>
      <c r="CQ223" s="45">
        <f t="shared" si="19"/>
        <v>0.22593597283188332</v>
      </c>
      <c r="CR223" s="45">
        <f t="shared" si="20"/>
        <v>1.682426006079768</v>
      </c>
      <c r="CT223" s="71">
        <f t="shared" si="21"/>
        <v>1.120637635707505</v>
      </c>
    </row>
    <row r="224" spans="1:98" ht="16">
      <c r="A224" s="36">
        <v>222</v>
      </c>
      <c r="B224" s="37"/>
      <c r="C224" s="37"/>
      <c r="D224" s="37"/>
      <c r="E224" s="38" t="s">
        <v>1150</v>
      </c>
      <c r="F224" s="38" t="s">
        <v>1151</v>
      </c>
      <c r="G224" s="38" t="s">
        <v>793</v>
      </c>
      <c r="H224" s="38" t="s">
        <v>1152</v>
      </c>
      <c r="I224" s="72">
        <v>9</v>
      </c>
      <c r="J224" s="53" t="s">
        <v>88</v>
      </c>
      <c r="K224" s="42">
        <v>0</v>
      </c>
      <c r="L224" s="42">
        <v>2</v>
      </c>
      <c r="M224" s="42">
        <v>1</v>
      </c>
      <c r="N224" s="42">
        <f t="shared" si="0"/>
        <v>2</v>
      </c>
      <c r="O224" s="53"/>
      <c r="P224" s="53"/>
      <c r="Q224" s="43">
        <v>20</v>
      </c>
      <c r="R224" s="44">
        <f t="shared" si="70"/>
        <v>3</v>
      </c>
      <c r="S224" s="45">
        <v>1</v>
      </c>
      <c r="T224" s="45">
        <f t="shared" si="2"/>
        <v>3</v>
      </c>
      <c r="V224" s="46"/>
      <c r="W224" s="58" t="s">
        <v>311</v>
      </c>
      <c r="X224" s="73">
        <v>4</v>
      </c>
      <c r="Y224" s="44">
        <f t="shared" si="3"/>
        <v>1</v>
      </c>
      <c r="Z224" s="45">
        <v>1</v>
      </c>
      <c r="AA224" s="45">
        <f t="shared" si="4"/>
        <v>1</v>
      </c>
      <c r="AB224" s="45">
        <v>1</v>
      </c>
      <c r="AD224" s="49" t="s">
        <v>1153</v>
      </c>
      <c r="AE224" s="50" t="s">
        <v>88</v>
      </c>
      <c r="AF224" s="50">
        <v>0</v>
      </c>
      <c r="AG224" s="50">
        <v>3</v>
      </c>
      <c r="AH224" s="50">
        <v>2</v>
      </c>
      <c r="AI224" s="50">
        <f t="shared" si="5"/>
        <v>6</v>
      </c>
      <c r="AJ224" s="50">
        <v>1</v>
      </c>
      <c r="AK224" s="51" t="s">
        <v>114</v>
      </c>
      <c r="AL224" s="61">
        <v>700</v>
      </c>
      <c r="AM224" s="53" t="s">
        <v>88</v>
      </c>
      <c r="AN224" s="42">
        <v>0</v>
      </c>
      <c r="AO224" s="54">
        <f t="shared" si="71"/>
        <v>1</v>
      </c>
      <c r="AP224" s="53">
        <v>2</v>
      </c>
      <c r="AQ224" s="53">
        <f t="shared" si="7"/>
        <v>2</v>
      </c>
      <c r="AR224" s="53"/>
      <c r="AS224" s="55"/>
      <c r="AT224" s="53">
        <v>61</v>
      </c>
      <c r="AU224" s="75" t="s">
        <v>1154</v>
      </c>
      <c r="AV224" s="44">
        <v>1.5</v>
      </c>
      <c r="AW224" s="44">
        <f t="shared" si="8"/>
        <v>1</v>
      </c>
      <c r="AX224" s="42">
        <v>1</v>
      </c>
      <c r="AY224" s="42">
        <f t="shared" si="9"/>
        <v>1</v>
      </c>
      <c r="AZ224" s="42" t="s">
        <v>227</v>
      </c>
      <c r="BA224" s="53" t="s">
        <v>1155</v>
      </c>
      <c r="BB224" s="57" t="s">
        <v>602</v>
      </c>
      <c r="BC224" s="58" t="s">
        <v>603</v>
      </c>
      <c r="BD224" s="58" t="s">
        <v>609</v>
      </c>
      <c r="BE224" s="59">
        <v>1</v>
      </c>
      <c r="BF224" s="58">
        <v>2</v>
      </c>
      <c r="BG224" s="58">
        <f t="shared" si="10"/>
        <v>0</v>
      </c>
      <c r="BH224" s="58" t="s">
        <v>605</v>
      </c>
      <c r="BI224" s="58" t="s">
        <v>610</v>
      </c>
      <c r="BJ224" s="60" t="s">
        <v>90</v>
      </c>
      <c r="BK224" s="61">
        <v>1</v>
      </c>
      <c r="BL224" s="62">
        <v>1</v>
      </c>
      <c r="BM224" s="62">
        <f t="shared" si="11"/>
        <v>0</v>
      </c>
      <c r="BN224" s="58" t="s">
        <v>607</v>
      </c>
      <c r="BO224" s="59"/>
      <c r="BP224" s="59">
        <v>25.25</v>
      </c>
      <c r="BQ224" s="63">
        <f t="shared" si="72"/>
        <v>2</v>
      </c>
      <c r="BR224" s="45">
        <v>1</v>
      </c>
      <c r="BS224" s="45">
        <f t="shared" si="13"/>
        <v>0.3010299956639812</v>
      </c>
      <c r="BU224" s="46"/>
      <c r="BV224" s="64">
        <v>1.25</v>
      </c>
      <c r="BW224" s="54">
        <f t="shared" si="73"/>
        <v>1</v>
      </c>
      <c r="BX224" s="45">
        <v>1</v>
      </c>
      <c r="BY224" s="45">
        <f t="shared" si="74"/>
        <v>0</v>
      </c>
      <c r="BZ224" s="61" t="s">
        <v>99</v>
      </c>
      <c r="CA224" s="46"/>
      <c r="CB224" s="65">
        <v>2807</v>
      </c>
      <c r="CC224" s="45">
        <v>2</v>
      </c>
      <c r="CD224" s="45">
        <v>2</v>
      </c>
      <c r="CE224" s="45">
        <f t="shared" si="16"/>
        <v>0.6020599913279624</v>
      </c>
      <c r="CG224" s="46"/>
      <c r="CH224" s="66" t="s">
        <v>92</v>
      </c>
      <c r="CI224" s="67">
        <v>3</v>
      </c>
      <c r="CJ224" s="68">
        <v>2</v>
      </c>
      <c r="CK224" s="68">
        <f t="shared" si="17"/>
        <v>0.95424250943932487</v>
      </c>
      <c r="CL224" s="68"/>
      <c r="CM224" s="69"/>
      <c r="CO224" s="70">
        <f t="shared" si="75"/>
        <v>1.4444444444444444</v>
      </c>
      <c r="CQ224" s="45">
        <f t="shared" si="19"/>
        <v>0.20637027738125205</v>
      </c>
      <c r="CR224" s="45">
        <f t="shared" si="20"/>
        <v>1.6083119076007948</v>
      </c>
      <c r="CT224" s="71">
        <f t="shared" si="21"/>
        <v>1.6702683806348819</v>
      </c>
    </row>
    <row r="225" spans="1:98" ht="16">
      <c r="A225" s="36">
        <v>223</v>
      </c>
      <c r="B225" s="37"/>
      <c r="C225" s="37"/>
      <c r="D225" s="37"/>
      <c r="E225" s="38" t="s">
        <v>1156</v>
      </c>
      <c r="F225" s="38" t="s">
        <v>365</v>
      </c>
      <c r="G225" s="38" t="s">
        <v>930</v>
      </c>
      <c r="H225" s="38" t="s">
        <v>83</v>
      </c>
      <c r="I225" s="72">
        <v>6.3</v>
      </c>
      <c r="J225" s="53" t="s">
        <v>146</v>
      </c>
      <c r="K225" s="42">
        <v>2</v>
      </c>
      <c r="L225" s="42">
        <v>2</v>
      </c>
      <c r="M225" s="42">
        <v>1</v>
      </c>
      <c r="N225" s="42">
        <f t="shared" si="0"/>
        <v>2</v>
      </c>
      <c r="O225" s="42" t="s">
        <v>799</v>
      </c>
      <c r="P225" s="53"/>
      <c r="Q225" s="43">
        <v>13</v>
      </c>
      <c r="R225" s="44">
        <f t="shared" si="70"/>
        <v>3</v>
      </c>
      <c r="S225" s="45">
        <v>1</v>
      </c>
      <c r="T225" s="45">
        <f t="shared" si="2"/>
        <v>3</v>
      </c>
      <c r="V225" s="46"/>
      <c r="W225" s="58" t="s">
        <v>258</v>
      </c>
      <c r="X225" s="73">
        <v>2.7</v>
      </c>
      <c r="Y225" s="44">
        <f t="shared" si="3"/>
        <v>2</v>
      </c>
      <c r="Z225" s="45">
        <v>1</v>
      </c>
      <c r="AA225" s="45">
        <f t="shared" si="4"/>
        <v>2</v>
      </c>
      <c r="AB225" s="45">
        <v>1</v>
      </c>
      <c r="AD225" s="49" t="s">
        <v>87</v>
      </c>
      <c r="AE225" s="50" t="s">
        <v>88</v>
      </c>
      <c r="AF225" s="50">
        <v>0</v>
      </c>
      <c r="AG225" s="50">
        <v>3</v>
      </c>
      <c r="AH225" s="50">
        <v>2</v>
      </c>
      <c r="AI225" s="50">
        <f t="shared" si="5"/>
        <v>6</v>
      </c>
      <c r="AJ225" s="50">
        <v>1</v>
      </c>
      <c r="AK225" s="51" t="s">
        <v>89</v>
      </c>
      <c r="AL225" s="61">
        <v>1001</v>
      </c>
      <c r="AM225" s="53" t="s">
        <v>88</v>
      </c>
      <c r="AN225" s="42">
        <v>0</v>
      </c>
      <c r="AO225" s="54">
        <f t="shared" si="71"/>
        <v>2</v>
      </c>
      <c r="AP225" s="53">
        <v>2</v>
      </c>
      <c r="AQ225" s="53">
        <f t="shared" si="7"/>
        <v>4</v>
      </c>
      <c r="AR225" s="53"/>
      <c r="AS225" s="55" t="s">
        <v>1157</v>
      </c>
      <c r="AT225" s="42">
        <v>16.5</v>
      </c>
      <c r="AU225" s="42" t="s">
        <v>88</v>
      </c>
      <c r="AV225" s="56">
        <v>0</v>
      </c>
      <c r="AW225" s="44">
        <f t="shared" si="8"/>
        <v>2</v>
      </c>
      <c r="AX225" s="42">
        <v>1</v>
      </c>
      <c r="AY225" s="42">
        <f t="shared" si="9"/>
        <v>2</v>
      </c>
      <c r="AZ225" s="42"/>
      <c r="BA225" s="42"/>
      <c r="BB225" s="57" t="s">
        <v>602</v>
      </c>
      <c r="BC225" s="58" t="s">
        <v>603</v>
      </c>
      <c r="BD225" s="58" t="s">
        <v>604</v>
      </c>
      <c r="BE225" s="59">
        <v>2</v>
      </c>
      <c r="BF225" s="58">
        <v>2</v>
      </c>
      <c r="BG225" s="58">
        <f t="shared" si="10"/>
        <v>0.6020599913279624</v>
      </c>
      <c r="BH225" s="58" t="s">
        <v>605</v>
      </c>
      <c r="BI225" s="58" t="s">
        <v>1158</v>
      </c>
      <c r="BJ225" s="60" t="s">
        <v>90</v>
      </c>
      <c r="BK225" s="61">
        <v>1</v>
      </c>
      <c r="BL225" s="62">
        <v>1</v>
      </c>
      <c r="BM225" s="62">
        <f t="shared" si="11"/>
        <v>0</v>
      </c>
      <c r="BN225" s="58" t="s">
        <v>607</v>
      </c>
      <c r="BO225" s="59"/>
      <c r="BP225" s="59">
        <v>25</v>
      </c>
      <c r="BQ225" s="63">
        <f t="shared" si="72"/>
        <v>2</v>
      </c>
      <c r="BR225" s="45">
        <v>1</v>
      </c>
      <c r="BS225" s="45">
        <f t="shared" si="13"/>
        <v>0.3010299956639812</v>
      </c>
      <c r="BU225" s="46"/>
      <c r="BV225" s="64">
        <v>1.5</v>
      </c>
      <c r="BW225" s="54">
        <f t="shared" si="73"/>
        <v>1</v>
      </c>
      <c r="BX225" s="45">
        <v>1</v>
      </c>
      <c r="BY225" s="45">
        <f t="shared" si="74"/>
        <v>0</v>
      </c>
      <c r="BZ225" s="61" t="s">
        <v>273</v>
      </c>
      <c r="CA225" s="46"/>
      <c r="CB225" s="65">
        <v>2800</v>
      </c>
      <c r="CC225" s="45">
        <v>2</v>
      </c>
      <c r="CD225" s="45">
        <v>2</v>
      </c>
      <c r="CE225" s="45">
        <f t="shared" si="16"/>
        <v>0.6020599913279624</v>
      </c>
      <c r="CG225" s="46"/>
      <c r="CH225" s="66">
        <v>2</v>
      </c>
      <c r="CI225" s="67">
        <v>3</v>
      </c>
      <c r="CJ225" s="68">
        <v>2</v>
      </c>
      <c r="CK225" s="68">
        <f t="shared" si="17"/>
        <v>0.95424250943932487</v>
      </c>
      <c r="CL225" s="68"/>
      <c r="CM225" s="69"/>
      <c r="CO225" s="70">
        <f t="shared" si="75"/>
        <v>1.8888888888888888</v>
      </c>
      <c r="CQ225" s="45">
        <f t="shared" si="19"/>
        <v>0.27326583197324783</v>
      </c>
      <c r="CR225" s="45">
        <f t="shared" si="20"/>
        <v>1.8761425449123872</v>
      </c>
      <c r="CT225" s="71">
        <f t="shared" si="21"/>
        <v>1.4149889258365671</v>
      </c>
    </row>
    <row r="226" spans="1:98" ht="16">
      <c r="A226" s="36">
        <v>224</v>
      </c>
      <c r="B226" s="37"/>
      <c r="C226" s="37"/>
      <c r="D226" s="37"/>
      <c r="E226" s="38" t="s">
        <v>1159</v>
      </c>
      <c r="F226" s="38" t="s">
        <v>1160</v>
      </c>
      <c r="G226" s="38" t="s">
        <v>1161</v>
      </c>
      <c r="H226" s="38" t="s">
        <v>83</v>
      </c>
      <c r="I226" s="72">
        <v>6.3</v>
      </c>
      <c r="J226" s="53" t="s">
        <v>146</v>
      </c>
      <c r="K226" s="42">
        <v>2</v>
      </c>
      <c r="L226" s="42">
        <v>2</v>
      </c>
      <c r="M226" s="42">
        <v>1</v>
      </c>
      <c r="N226" s="42">
        <f t="shared" si="0"/>
        <v>2</v>
      </c>
      <c r="O226" s="42" t="s">
        <v>799</v>
      </c>
      <c r="P226" s="53"/>
      <c r="Q226" s="43">
        <v>8.5</v>
      </c>
      <c r="R226" s="44">
        <f t="shared" si="70"/>
        <v>3</v>
      </c>
      <c r="S226" s="45">
        <v>1</v>
      </c>
      <c r="T226" s="45">
        <f t="shared" si="2"/>
        <v>3</v>
      </c>
      <c r="V226" s="46"/>
      <c r="W226" s="58" t="s">
        <v>1162</v>
      </c>
      <c r="X226" s="73">
        <v>2.8</v>
      </c>
      <c r="Y226" s="44">
        <f t="shared" si="3"/>
        <v>2</v>
      </c>
      <c r="Z226" s="45">
        <v>1</v>
      </c>
      <c r="AA226" s="45">
        <f t="shared" si="4"/>
        <v>2</v>
      </c>
      <c r="AB226" s="45">
        <v>1</v>
      </c>
      <c r="AD226" s="49" t="s">
        <v>87</v>
      </c>
      <c r="AE226" s="50" t="s">
        <v>88</v>
      </c>
      <c r="AF226" s="50">
        <v>0</v>
      </c>
      <c r="AG226" s="50">
        <v>3</v>
      </c>
      <c r="AH226" s="50">
        <v>2</v>
      </c>
      <c r="AI226" s="50">
        <f t="shared" si="5"/>
        <v>6</v>
      </c>
      <c r="AJ226" s="50">
        <v>1</v>
      </c>
      <c r="AK226" s="51" t="s">
        <v>89</v>
      </c>
      <c r="AL226" s="52">
        <v>57661</v>
      </c>
      <c r="AM226" s="53" t="s">
        <v>146</v>
      </c>
      <c r="AN226" s="42">
        <v>2</v>
      </c>
      <c r="AO226" s="54">
        <f t="shared" si="71"/>
        <v>3</v>
      </c>
      <c r="AP226" s="53">
        <v>2</v>
      </c>
      <c r="AQ226" s="53">
        <f t="shared" si="7"/>
        <v>6</v>
      </c>
      <c r="AR226" s="53"/>
      <c r="AS226" s="55"/>
      <c r="AT226" s="42">
        <v>18</v>
      </c>
      <c r="AU226" s="42" t="s">
        <v>115</v>
      </c>
      <c r="AV226" s="44">
        <v>1</v>
      </c>
      <c r="AW226" s="44">
        <f t="shared" si="8"/>
        <v>2</v>
      </c>
      <c r="AX226" s="42">
        <v>1</v>
      </c>
      <c r="AY226" s="42">
        <f t="shared" si="9"/>
        <v>2</v>
      </c>
      <c r="AZ226" s="42">
        <v>62</v>
      </c>
      <c r="BA226" s="53" t="s">
        <v>1163</v>
      </c>
      <c r="BB226" s="57" t="s">
        <v>602</v>
      </c>
      <c r="BC226" s="58" t="s">
        <v>603</v>
      </c>
      <c r="BD226" s="58" t="s">
        <v>609</v>
      </c>
      <c r="BE226" s="59">
        <v>1</v>
      </c>
      <c r="BF226" s="58">
        <v>2</v>
      </c>
      <c r="BG226" s="58">
        <f t="shared" si="10"/>
        <v>0</v>
      </c>
      <c r="BH226" s="58" t="s">
        <v>605</v>
      </c>
      <c r="BI226" s="58" t="s">
        <v>610</v>
      </c>
      <c r="BJ226" s="60" t="s">
        <v>90</v>
      </c>
      <c r="BK226" s="61">
        <v>1</v>
      </c>
      <c r="BL226" s="62">
        <v>1</v>
      </c>
      <c r="BM226" s="62">
        <f t="shared" si="11"/>
        <v>0</v>
      </c>
      <c r="BN226" s="58" t="s">
        <v>607</v>
      </c>
      <c r="BO226" s="59"/>
      <c r="BP226" s="59">
        <v>18.5</v>
      </c>
      <c r="BQ226" s="63">
        <f t="shared" si="72"/>
        <v>2</v>
      </c>
      <c r="BR226" s="45">
        <v>1</v>
      </c>
      <c r="BS226" s="45">
        <f t="shared" si="13"/>
        <v>0.3010299956639812</v>
      </c>
      <c r="BU226" s="46"/>
      <c r="BV226" s="64">
        <v>1.5</v>
      </c>
      <c r="BW226" s="54">
        <f t="shared" si="73"/>
        <v>1</v>
      </c>
      <c r="BX226" s="45">
        <v>1</v>
      </c>
      <c r="BY226" s="45">
        <f t="shared" si="74"/>
        <v>0</v>
      </c>
      <c r="BZ226" s="61" t="s">
        <v>273</v>
      </c>
      <c r="CA226" s="46"/>
      <c r="CB226" s="65">
        <v>2790</v>
      </c>
      <c r="CC226" s="45">
        <v>2</v>
      </c>
      <c r="CD226" s="45">
        <v>2</v>
      </c>
      <c r="CE226" s="45">
        <f t="shared" si="16"/>
        <v>0.6020599913279624</v>
      </c>
      <c r="CG226" s="46"/>
      <c r="CH226" s="66" t="s">
        <v>250</v>
      </c>
      <c r="CI226" s="67">
        <v>3</v>
      </c>
      <c r="CJ226" s="68">
        <v>2</v>
      </c>
      <c r="CK226" s="68">
        <f t="shared" si="17"/>
        <v>0.95424250943932487</v>
      </c>
      <c r="CL226" s="68"/>
      <c r="CM226" s="69"/>
      <c r="CO226" s="70">
        <f t="shared" si="75"/>
        <v>2.1111111111111112</v>
      </c>
      <c r="CQ226" s="45">
        <f t="shared" si="19"/>
        <v>0.20637027738125205</v>
      </c>
      <c r="CR226" s="45">
        <f t="shared" si="20"/>
        <v>1.6083119076007948</v>
      </c>
      <c r="CT226" s="71">
        <f t="shared" si="21"/>
        <v>1.0771104092520141</v>
      </c>
    </row>
    <row r="227" spans="1:98" ht="16" hidden="1">
      <c r="A227" s="36">
        <v>225</v>
      </c>
      <c r="B227" s="37"/>
      <c r="C227" s="37" t="s">
        <v>144</v>
      </c>
      <c r="D227" s="37" t="s">
        <v>686</v>
      </c>
      <c r="E227" s="38" t="s">
        <v>1164</v>
      </c>
      <c r="F227" s="38" t="s">
        <v>463</v>
      </c>
      <c r="G227" s="38" t="s">
        <v>688</v>
      </c>
      <c r="H227" s="38" t="s">
        <v>184</v>
      </c>
      <c r="I227" s="87"/>
      <c r="J227" s="53"/>
      <c r="K227" s="53"/>
      <c r="L227" s="53"/>
      <c r="M227" s="42">
        <v>1</v>
      </c>
      <c r="N227" s="42">
        <f t="shared" si="0"/>
        <v>0</v>
      </c>
      <c r="O227" s="53"/>
      <c r="P227" s="53"/>
      <c r="Q227" s="43"/>
      <c r="R227" s="44" t="str">
        <f>IF(Q227="","***",IF(Q227&lt;5,3,IF(Q227&lt;15,2,1)))</f>
        <v>***</v>
      </c>
      <c r="S227" s="45">
        <v>1</v>
      </c>
      <c r="T227" s="45" t="e">
        <f t="shared" si="2"/>
        <v>#VALUE!</v>
      </c>
      <c r="V227" s="46"/>
      <c r="W227" s="58" t="s">
        <v>253</v>
      </c>
      <c r="X227" s="73">
        <v>3.2</v>
      </c>
      <c r="Y227" s="44">
        <f t="shared" si="3"/>
        <v>2</v>
      </c>
      <c r="Z227" s="45">
        <v>1</v>
      </c>
      <c r="AA227" s="45">
        <f t="shared" si="4"/>
        <v>2</v>
      </c>
      <c r="AB227" s="45">
        <v>1</v>
      </c>
      <c r="AD227" s="49" t="s">
        <v>163</v>
      </c>
      <c r="AE227" s="50" t="s">
        <v>146</v>
      </c>
      <c r="AF227" s="50">
        <v>2</v>
      </c>
      <c r="AG227" s="50">
        <v>3</v>
      </c>
      <c r="AH227" s="50">
        <v>2</v>
      </c>
      <c r="AI227" s="50">
        <f t="shared" si="5"/>
        <v>6</v>
      </c>
      <c r="AJ227" s="50" t="s">
        <v>645</v>
      </c>
      <c r="AK227" s="51" t="s">
        <v>186</v>
      </c>
      <c r="AL227" s="61"/>
      <c r="AM227" s="53"/>
      <c r="AN227" s="53"/>
      <c r="AO227" s="53"/>
      <c r="AP227" s="53">
        <v>2</v>
      </c>
      <c r="AQ227" s="53">
        <f t="shared" si="7"/>
        <v>0</v>
      </c>
      <c r="AR227" s="53"/>
      <c r="AS227" s="55"/>
      <c r="AT227" s="89"/>
      <c r="AU227" s="89"/>
      <c r="AV227" s="44"/>
      <c r="AW227" s="44" t="str">
        <f t="shared" si="8"/>
        <v>***</v>
      </c>
      <c r="AX227" s="42">
        <v>1</v>
      </c>
      <c r="AY227" s="42" t="e">
        <f t="shared" si="9"/>
        <v>#VALUE!</v>
      </c>
      <c r="AZ227" s="89"/>
      <c r="BA227" s="89"/>
      <c r="BB227" s="57"/>
      <c r="BC227" s="58"/>
      <c r="BD227" s="58"/>
      <c r="BE227" s="58"/>
      <c r="BF227" s="58">
        <v>2</v>
      </c>
      <c r="BG227" s="58" t="e">
        <f t="shared" si="10"/>
        <v>#NUM!</v>
      </c>
      <c r="BH227" s="58" t="s">
        <v>605</v>
      </c>
      <c r="BI227" s="58"/>
      <c r="BJ227" s="60" t="s">
        <v>90</v>
      </c>
      <c r="BK227" s="61">
        <v>1</v>
      </c>
      <c r="BL227" s="62">
        <v>1</v>
      </c>
      <c r="BM227" s="62">
        <f t="shared" si="11"/>
        <v>0</v>
      </c>
      <c r="BN227" s="58" t="s">
        <v>607</v>
      </c>
      <c r="BO227" s="59"/>
      <c r="BP227" s="59"/>
      <c r="BQ227" s="90"/>
      <c r="BR227" s="45">
        <v>1</v>
      </c>
      <c r="BS227" s="45" t="e">
        <f t="shared" si="13"/>
        <v>#NUM!</v>
      </c>
      <c r="BU227" s="46"/>
      <c r="BV227" s="64"/>
      <c r="BW227" s="45"/>
      <c r="BX227" s="45">
        <v>1</v>
      </c>
      <c r="BY227" s="45" t="e">
        <f>BX227*LOG(BV227)</f>
        <v>#NUM!</v>
      </c>
      <c r="BZ227" s="61"/>
      <c r="CA227" s="46"/>
      <c r="CB227" s="65">
        <v>2785</v>
      </c>
      <c r="CC227" s="45">
        <v>2</v>
      </c>
      <c r="CD227" s="45">
        <v>2</v>
      </c>
      <c r="CE227" s="45">
        <f t="shared" si="16"/>
        <v>0.6020599913279624</v>
      </c>
      <c r="CG227" s="46"/>
      <c r="CH227" s="66" t="s">
        <v>92</v>
      </c>
      <c r="CI227" s="67">
        <v>3</v>
      </c>
      <c r="CJ227" s="68">
        <v>1</v>
      </c>
      <c r="CK227" s="68">
        <f t="shared" si="17"/>
        <v>0.47712125471966244</v>
      </c>
      <c r="CL227" s="68"/>
      <c r="CM227" s="69"/>
      <c r="CO227" s="70" t="e">
        <f>(SUM(N227,T227,AA227,AI227,AQ227,AY227)/SUM(M227,S227,Z227,AH227,AP227,AX227,BF227))</f>
        <v>#VALUE!</v>
      </c>
      <c r="CQ227" s="45" t="e">
        <f t="shared" si="19"/>
        <v>#NUM!</v>
      </c>
      <c r="CR227" s="45" t="e">
        <f t="shared" si="20"/>
        <v>#NUM!</v>
      </c>
      <c r="CT227" s="71" t="e">
        <f t="shared" si="21"/>
        <v>#VALUE!</v>
      </c>
    </row>
    <row r="228" spans="1:98" ht="16">
      <c r="A228" s="36">
        <v>226</v>
      </c>
      <c r="B228" s="37"/>
      <c r="C228" s="37"/>
      <c r="D228" s="37"/>
      <c r="E228" s="38" t="s">
        <v>1165</v>
      </c>
      <c r="F228" s="38" t="s">
        <v>1166</v>
      </c>
      <c r="G228" s="38" t="s">
        <v>1167</v>
      </c>
      <c r="H228" s="38" t="s">
        <v>277</v>
      </c>
      <c r="I228" s="72">
        <v>7.5</v>
      </c>
      <c r="J228" s="53" t="s">
        <v>88</v>
      </c>
      <c r="K228" s="42">
        <v>0</v>
      </c>
      <c r="L228" s="42">
        <v>2</v>
      </c>
      <c r="M228" s="42">
        <v>1</v>
      </c>
      <c r="N228" s="42">
        <f t="shared" si="0"/>
        <v>2</v>
      </c>
      <c r="O228" s="53"/>
      <c r="P228" s="53"/>
      <c r="Q228" s="43">
        <v>30</v>
      </c>
      <c r="R228" s="44">
        <f t="shared" ref="R228:R233" si="76">IF(Q228="","***",IF(Q228&lt;30,3,IF(Q228&gt;60,1,2)))</f>
        <v>2</v>
      </c>
      <c r="S228" s="45">
        <v>1</v>
      </c>
      <c r="T228" s="45">
        <f t="shared" si="2"/>
        <v>2</v>
      </c>
      <c r="V228" s="46"/>
      <c r="W228" s="58" t="s">
        <v>988</v>
      </c>
      <c r="X228" s="73">
        <v>3.4</v>
      </c>
      <c r="Y228" s="44">
        <f t="shared" si="3"/>
        <v>2</v>
      </c>
      <c r="Z228" s="45">
        <v>1</v>
      </c>
      <c r="AA228" s="45">
        <f t="shared" si="4"/>
        <v>2</v>
      </c>
      <c r="AB228" s="45">
        <v>1</v>
      </c>
      <c r="AD228" s="49" t="s">
        <v>1168</v>
      </c>
      <c r="AE228" s="50" t="s">
        <v>88</v>
      </c>
      <c r="AF228" s="50">
        <v>0</v>
      </c>
      <c r="AG228" s="50">
        <v>3</v>
      </c>
      <c r="AH228" s="50">
        <v>2</v>
      </c>
      <c r="AI228" s="50">
        <f t="shared" si="5"/>
        <v>6</v>
      </c>
      <c r="AJ228" s="50">
        <v>1</v>
      </c>
      <c r="AK228" s="51" t="s">
        <v>114</v>
      </c>
      <c r="AL228" s="52">
        <v>100000</v>
      </c>
      <c r="AM228" s="53" t="s">
        <v>88</v>
      </c>
      <c r="AN228" s="42">
        <v>0</v>
      </c>
      <c r="AO228" s="54">
        <f t="shared" ref="AO228:AO233" si="77">IF(AL228="","***",IF(AL228&gt;15000,3,IF(AL228&lt;1000,1,2)))</f>
        <v>3</v>
      </c>
      <c r="AP228" s="53">
        <v>2</v>
      </c>
      <c r="AQ228" s="53">
        <f t="shared" si="7"/>
        <v>6</v>
      </c>
      <c r="AR228" s="53"/>
      <c r="AS228" s="55" t="s">
        <v>1169</v>
      </c>
      <c r="AT228" s="42">
        <v>51.3</v>
      </c>
      <c r="AU228" s="42" t="s">
        <v>88</v>
      </c>
      <c r="AV228" s="56">
        <v>0</v>
      </c>
      <c r="AW228" s="44">
        <f t="shared" si="8"/>
        <v>1</v>
      </c>
      <c r="AX228" s="42">
        <v>1</v>
      </c>
      <c r="AY228" s="42">
        <f t="shared" si="9"/>
        <v>1</v>
      </c>
      <c r="AZ228" s="42"/>
      <c r="BA228" s="42"/>
      <c r="BB228" s="57" t="s">
        <v>602</v>
      </c>
      <c r="BC228" s="58" t="s">
        <v>603</v>
      </c>
      <c r="BD228" s="58" t="s">
        <v>604</v>
      </c>
      <c r="BE228" s="59">
        <v>2</v>
      </c>
      <c r="BF228" s="58">
        <v>2</v>
      </c>
      <c r="BG228" s="58">
        <f t="shared" si="10"/>
        <v>0.6020599913279624</v>
      </c>
      <c r="BH228" s="58" t="s">
        <v>605</v>
      </c>
      <c r="BI228" s="58" t="s">
        <v>946</v>
      </c>
      <c r="BJ228" s="60" t="s">
        <v>90</v>
      </c>
      <c r="BK228" s="61">
        <v>1</v>
      </c>
      <c r="BL228" s="62">
        <v>1</v>
      </c>
      <c r="BM228" s="62">
        <f t="shared" si="11"/>
        <v>0</v>
      </c>
      <c r="BN228" s="58" t="s">
        <v>607</v>
      </c>
      <c r="BO228" s="59"/>
      <c r="BP228" s="59">
        <v>25.75</v>
      </c>
      <c r="BQ228" s="63">
        <f t="shared" ref="BQ228:BQ233" si="78">IF(BP228&lt;10,3,IF(BP228&lt;30,2,1))</f>
        <v>2</v>
      </c>
      <c r="BR228" s="45">
        <v>1</v>
      </c>
      <c r="BS228" s="45">
        <f t="shared" si="13"/>
        <v>0.3010299956639812</v>
      </c>
      <c r="BU228" s="46"/>
      <c r="BV228" s="64">
        <v>2</v>
      </c>
      <c r="BW228" s="54">
        <f t="shared" ref="BW228:BW233" si="79">IF(BV228&lt;2.5,1,IF(BV228&gt;3.5,3,2))</f>
        <v>1</v>
      </c>
      <c r="BX228" s="45">
        <v>1</v>
      </c>
      <c r="BY228" s="45">
        <f t="shared" ref="BY228:BY233" si="80">BX228*LOG(BW228)</f>
        <v>0</v>
      </c>
      <c r="BZ228" s="61" t="s">
        <v>504</v>
      </c>
      <c r="CA228" s="46"/>
      <c r="CB228" s="65">
        <v>2714</v>
      </c>
      <c r="CC228" s="45">
        <v>2</v>
      </c>
      <c r="CD228" s="45">
        <v>2</v>
      </c>
      <c r="CE228" s="45">
        <f t="shared" si="16"/>
        <v>0.6020599913279624</v>
      </c>
      <c r="CG228" s="46"/>
      <c r="CH228" s="66" t="s">
        <v>106</v>
      </c>
      <c r="CI228" s="67">
        <v>3</v>
      </c>
      <c r="CJ228" s="68">
        <v>2</v>
      </c>
      <c r="CK228" s="68">
        <f t="shared" si="17"/>
        <v>0.95424250943932487</v>
      </c>
      <c r="CL228" s="68"/>
      <c r="CM228" s="69"/>
      <c r="CO228" s="70">
        <f t="shared" ref="CO228:CO233" si="81">(SUM(T228,AA228,AI228,AQ228,AY228)/SUM(S228,Z228,AH228,AP228,AX228,BF228))</f>
        <v>1.8888888888888888</v>
      </c>
      <c r="CQ228" s="45">
        <f t="shared" si="19"/>
        <v>0.27326583197324783</v>
      </c>
      <c r="CR228" s="45">
        <f t="shared" si="20"/>
        <v>1.8761425449123872</v>
      </c>
      <c r="CT228" s="71">
        <f t="shared" si="21"/>
        <v>1.4149889258365671</v>
      </c>
    </row>
    <row r="229" spans="1:98" ht="16">
      <c r="A229" s="36">
        <v>227</v>
      </c>
      <c r="B229" s="37"/>
      <c r="C229" s="37"/>
      <c r="D229" s="37"/>
      <c r="E229" s="38" t="s">
        <v>1170</v>
      </c>
      <c r="F229" s="38" t="s">
        <v>349</v>
      </c>
      <c r="G229" s="38" t="s">
        <v>1171</v>
      </c>
      <c r="H229" s="38" t="s">
        <v>318</v>
      </c>
      <c r="I229" s="72">
        <v>11.3</v>
      </c>
      <c r="J229" s="53" t="s">
        <v>146</v>
      </c>
      <c r="K229" s="42">
        <v>2</v>
      </c>
      <c r="L229" s="42">
        <v>2</v>
      </c>
      <c r="M229" s="42">
        <v>1</v>
      </c>
      <c r="N229" s="42">
        <f t="shared" si="0"/>
        <v>2</v>
      </c>
      <c r="O229" s="53" t="s">
        <v>799</v>
      </c>
      <c r="P229" s="53"/>
      <c r="Q229" s="43">
        <v>35</v>
      </c>
      <c r="R229" s="44">
        <f t="shared" si="76"/>
        <v>2</v>
      </c>
      <c r="S229" s="45">
        <v>1</v>
      </c>
      <c r="T229" s="45">
        <f t="shared" si="2"/>
        <v>2</v>
      </c>
      <c r="V229" s="46"/>
      <c r="W229" s="58" t="s">
        <v>1172</v>
      </c>
      <c r="X229" s="73">
        <v>3.7</v>
      </c>
      <c r="Y229" s="44">
        <f t="shared" si="3"/>
        <v>1</v>
      </c>
      <c r="Z229" s="45">
        <v>1</v>
      </c>
      <c r="AA229" s="45">
        <f t="shared" si="4"/>
        <v>1</v>
      </c>
      <c r="AB229" s="45">
        <v>1</v>
      </c>
      <c r="AD229" s="49" t="s">
        <v>163</v>
      </c>
      <c r="AE229" s="50" t="s">
        <v>146</v>
      </c>
      <c r="AF229" s="50">
        <v>2</v>
      </c>
      <c r="AG229" s="50">
        <v>3</v>
      </c>
      <c r="AH229" s="50">
        <v>2</v>
      </c>
      <c r="AI229" s="50">
        <f t="shared" si="5"/>
        <v>6</v>
      </c>
      <c r="AJ229" s="50" t="s">
        <v>645</v>
      </c>
      <c r="AK229" s="51"/>
      <c r="AL229" s="61">
        <v>48710</v>
      </c>
      <c r="AM229" s="53" t="s">
        <v>115</v>
      </c>
      <c r="AN229" s="42">
        <v>1</v>
      </c>
      <c r="AO229" s="54">
        <f t="shared" si="77"/>
        <v>3</v>
      </c>
      <c r="AP229" s="53">
        <v>2</v>
      </c>
      <c r="AQ229" s="53">
        <f t="shared" si="7"/>
        <v>6</v>
      </c>
      <c r="AR229" s="53"/>
      <c r="AS229" s="55" t="s">
        <v>884</v>
      </c>
      <c r="AT229" s="53">
        <v>26.8</v>
      </c>
      <c r="AU229" s="42" t="s">
        <v>115</v>
      </c>
      <c r="AV229" s="44">
        <v>1</v>
      </c>
      <c r="AW229" s="44">
        <f t="shared" si="8"/>
        <v>2</v>
      </c>
      <c r="AX229" s="42">
        <v>1</v>
      </c>
      <c r="AY229" s="42">
        <f t="shared" si="9"/>
        <v>2</v>
      </c>
      <c r="AZ229" s="42"/>
      <c r="BA229" s="53" t="s">
        <v>885</v>
      </c>
      <c r="BB229" s="57" t="s">
        <v>602</v>
      </c>
      <c r="BC229" s="58" t="s">
        <v>603</v>
      </c>
      <c r="BD229" s="58" t="s">
        <v>609</v>
      </c>
      <c r="BE229" s="59">
        <v>1</v>
      </c>
      <c r="BF229" s="58">
        <v>2</v>
      </c>
      <c r="BG229" s="58">
        <f t="shared" si="10"/>
        <v>0</v>
      </c>
      <c r="BH229" s="58" t="s">
        <v>605</v>
      </c>
      <c r="BI229" s="58" t="s">
        <v>610</v>
      </c>
      <c r="BJ229" s="60" t="s">
        <v>90</v>
      </c>
      <c r="BK229" s="61">
        <v>1</v>
      </c>
      <c r="BL229" s="62">
        <v>1</v>
      </c>
      <c r="BM229" s="62">
        <f t="shared" si="11"/>
        <v>0</v>
      </c>
      <c r="BN229" s="58" t="s">
        <v>607</v>
      </c>
      <c r="BO229" s="59"/>
      <c r="BP229" s="59">
        <v>152</v>
      </c>
      <c r="BQ229" s="63">
        <f t="shared" si="78"/>
        <v>1</v>
      </c>
      <c r="BR229" s="45">
        <v>1</v>
      </c>
      <c r="BS229" s="45">
        <f t="shared" si="13"/>
        <v>0</v>
      </c>
      <c r="BU229" s="46"/>
      <c r="BV229" s="64">
        <v>3</v>
      </c>
      <c r="BW229" s="54">
        <f t="shared" si="79"/>
        <v>2</v>
      </c>
      <c r="BX229" s="45">
        <v>1</v>
      </c>
      <c r="BY229" s="45">
        <f t="shared" si="80"/>
        <v>0.3010299956639812</v>
      </c>
      <c r="BZ229" s="61">
        <v>46</v>
      </c>
      <c r="CA229" s="46"/>
      <c r="CB229" s="65">
        <v>2686</v>
      </c>
      <c r="CC229" s="45">
        <v>2</v>
      </c>
      <c r="CD229" s="45">
        <v>2</v>
      </c>
      <c r="CE229" s="45">
        <f t="shared" si="16"/>
        <v>0.6020599913279624</v>
      </c>
      <c r="CG229" s="46"/>
      <c r="CH229" s="66" t="s">
        <v>92</v>
      </c>
      <c r="CI229" s="67">
        <v>3</v>
      </c>
      <c r="CJ229" s="68">
        <v>2</v>
      </c>
      <c r="CK229" s="68">
        <f t="shared" si="17"/>
        <v>0.95424250943932487</v>
      </c>
      <c r="CL229" s="68"/>
      <c r="CM229" s="69" t="s">
        <v>144</v>
      </c>
      <c r="CO229" s="70">
        <f t="shared" si="81"/>
        <v>1.8888888888888888</v>
      </c>
      <c r="CQ229" s="45">
        <f t="shared" si="19"/>
        <v>0.20637027738125205</v>
      </c>
      <c r="CR229" s="45">
        <f t="shared" si="20"/>
        <v>1.6083119076007948</v>
      </c>
      <c r="CT229" s="71">
        <f t="shared" si="21"/>
        <v>1.2667325203702184</v>
      </c>
    </row>
    <row r="230" spans="1:98" ht="16">
      <c r="A230" s="36">
        <v>228</v>
      </c>
      <c r="B230" s="37"/>
      <c r="C230" s="37"/>
      <c r="D230" s="37"/>
      <c r="E230" s="38" t="s">
        <v>1173</v>
      </c>
      <c r="F230" s="38" t="s">
        <v>124</v>
      </c>
      <c r="G230" s="38" t="s">
        <v>1174</v>
      </c>
      <c r="H230" s="38" t="s">
        <v>83</v>
      </c>
      <c r="I230" s="72">
        <v>3.5</v>
      </c>
      <c r="J230" s="53" t="s">
        <v>88</v>
      </c>
      <c r="K230" s="42">
        <v>0</v>
      </c>
      <c r="L230" s="42">
        <v>3</v>
      </c>
      <c r="M230" s="42">
        <v>1</v>
      </c>
      <c r="N230" s="42">
        <f t="shared" si="0"/>
        <v>3</v>
      </c>
      <c r="O230" s="53"/>
      <c r="P230" s="53"/>
      <c r="Q230" s="43">
        <v>12</v>
      </c>
      <c r="R230" s="44">
        <f t="shared" si="76"/>
        <v>3</v>
      </c>
      <c r="S230" s="45">
        <v>1</v>
      </c>
      <c r="T230" s="45">
        <f t="shared" si="2"/>
        <v>3</v>
      </c>
      <c r="V230" s="46"/>
      <c r="W230" s="58" t="s">
        <v>1175</v>
      </c>
      <c r="X230" s="73">
        <v>2.2999999999999998</v>
      </c>
      <c r="Y230" s="44">
        <f t="shared" si="3"/>
        <v>3</v>
      </c>
      <c r="Z230" s="45">
        <v>1</v>
      </c>
      <c r="AA230" s="45">
        <f t="shared" si="4"/>
        <v>3</v>
      </c>
      <c r="AB230" s="45">
        <v>1</v>
      </c>
      <c r="AD230" s="49" t="s">
        <v>1176</v>
      </c>
      <c r="AE230" s="50" t="s">
        <v>88</v>
      </c>
      <c r="AF230" s="50">
        <v>0</v>
      </c>
      <c r="AG230" s="50">
        <v>3</v>
      </c>
      <c r="AH230" s="50">
        <v>2</v>
      </c>
      <c r="AI230" s="50">
        <f t="shared" si="5"/>
        <v>6</v>
      </c>
      <c r="AJ230" s="50">
        <v>1</v>
      </c>
      <c r="AK230" s="51" t="s">
        <v>89</v>
      </c>
      <c r="AL230" s="61">
        <v>7200</v>
      </c>
      <c r="AM230" s="53" t="s">
        <v>88</v>
      </c>
      <c r="AN230" s="42">
        <v>0</v>
      </c>
      <c r="AO230" s="54">
        <f t="shared" si="77"/>
        <v>2</v>
      </c>
      <c r="AP230" s="53">
        <v>2</v>
      </c>
      <c r="AQ230" s="53">
        <f t="shared" si="7"/>
        <v>4</v>
      </c>
      <c r="AR230" s="53"/>
      <c r="AS230" s="55"/>
      <c r="AT230" s="42">
        <v>12.4</v>
      </c>
      <c r="AU230" s="42" t="s">
        <v>88</v>
      </c>
      <c r="AV230" s="56">
        <v>0</v>
      </c>
      <c r="AW230" s="44">
        <f t="shared" si="8"/>
        <v>3</v>
      </c>
      <c r="AX230" s="42">
        <v>1</v>
      </c>
      <c r="AY230" s="42">
        <f t="shared" si="9"/>
        <v>3</v>
      </c>
      <c r="AZ230" s="42"/>
      <c r="BA230" s="42"/>
      <c r="BB230" s="57" t="s">
        <v>602</v>
      </c>
      <c r="BC230" s="58" t="s">
        <v>603</v>
      </c>
      <c r="BD230" s="58" t="s">
        <v>604</v>
      </c>
      <c r="BE230" s="59">
        <v>2</v>
      </c>
      <c r="BF230" s="58">
        <v>2</v>
      </c>
      <c r="BG230" s="58">
        <f t="shared" si="10"/>
        <v>0.6020599913279624</v>
      </c>
      <c r="BH230" s="58" t="s">
        <v>605</v>
      </c>
      <c r="BI230" s="58" t="s">
        <v>774</v>
      </c>
      <c r="BJ230" s="60" t="s">
        <v>90</v>
      </c>
      <c r="BK230" s="61">
        <v>1</v>
      </c>
      <c r="BL230" s="62">
        <v>1</v>
      </c>
      <c r="BM230" s="62">
        <f t="shared" si="11"/>
        <v>0</v>
      </c>
      <c r="BN230" s="58" t="s">
        <v>607</v>
      </c>
      <c r="BO230" s="59"/>
      <c r="BP230" s="59">
        <v>10</v>
      </c>
      <c r="BQ230" s="63">
        <f t="shared" si="78"/>
        <v>2</v>
      </c>
      <c r="BR230" s="45">
        <v>1</v>
      </c>
      <c r="BS230" s="45">
        <f t="shared" si="13"/>
        <v>0.3010299956639812</v>
      </c>
      <c r="BU230" s="46"/>
      <c r="BV230" s="64">
        <v>1.5</v>
      </c>
      <c r="BW230" s="54">
        <f t="shared" si="79"/>
        <v>1</v>
      </c>
      <c r="BX230" s="45">
        <v>1</v>
      </c>
      <c r="BY230" s="45">
        <f t="shared" si="80"/>
        <v>0</v>
      </c>
      <c r="BZ230" s="61" t="s">
        <v>99</v>
      </c>
      <c r="CA230" s="46"/>
      <c r="CB230" s="65">
        <v>2678</v>
      </c>
      <c r="CC230" s="45">
        <v>2</v>
      </c>
      <c r="CD230" s="45">
        <v>2</v>
      </c>
      <c r="CE230" s="45">
        <f t="shared" si="16"/>
        <v>0.6020599913279624</v>
      </c>
      <c r="CG230" s="46"/>
      <c r="CH230" s="66" t="s">
        <v>106</v>
      </c>
      <c r="CI230" s="67">
        <v>3</v>
      </c>
      <c r="CJ230" s="68">
        <v>2</v>
      </c>
      <c r="CK230" s="68">
        <f t="shared" si="17"/>
        <v>0.95424250943932487</v>
      </c>
      <c r="CL230" s="68"/>
      <c r="CM230" s="69"/>
      <c r="CO230" s="70">
        <f t="shared" si="81"/>
        <v>2.1111111111111112</v>
      </c>
      <c r="CQ230" s="45">
        <f t="shared" si="19"/>
        <v>0.27326583197324783</v>
      </c>
      <c r="CR230" s="45">
        <f t="shared" si="20"/>
        <v>1.8761425449123872</v>
      </c>
      <c r="CT230" s="71">
        <f t="shared" si="21"/>
        <v>1.2480982396412863</v>
      </c>
    </row>
    <row r="231" spans="1:98" ht="16">
      <c r="A231" s="36">
        <v>229</v>
      </c>
      <c r="B231" s="37"/>
      <c r="C231" s="37"/>
      <c r="D231" s="37"/>
      <c r="E231" s="38" t="s">
        <v>1177</v>
      </c>
      <c r="F231" s="38" t="s">
        <v>429</v>
      </c>
      <c r="G231" s="38" t="s">
        <v>1178</v>
      </c>
      <c r="H231" s="38" t="s">
        <v>152</v>
      </c>
      <c r="I231" s="72">
        <v>8.5</v>
      </c>
      <c r="J231" s="53" t="s">
        <v>88</v>
      </c>
      <c r="K231" s="42">
        <v>0</v>
      </c>
      <c r="L231" s="42">
        <v>2</v>
      </c>
      <c r="M231" s="42">
        <v>1</v>
      </c>
      <c r="N231" s="42">
        <f t="shared" si="0"/>
        <v>2</v>
      </c>
      <c r="O231" s="53"/>
      <c r="P231" s="53"/>
      <c r="Q231" s="43">
        <v>10</v>
      </c>
      <c r="R231" s="44">
        <f t="shared" si="76"/>
        <v>3</v>
      </c>
      <c r="S231" s="45">
        <v>1</v>
      </c>
      <c r="T231" s="45">
        <f t="shared" si="2"/>
        <v>3</v>
      </c>
      <c r="V231" s="46"/>
      <c r="W231" s="58" t="s">
        <v>178</v>
      </c>
      <c r="X231" s="73">
        <v>3.4</v>
      </c>
      <c r="Y231" s="44">
        <f t="shared" si="3"/>
        <v>2</v>
      </c>
      <c r="Z231" s="45">
        <v>1</v>
      </c>
      <c r="AA231" s="45">
        <f t="shared" si="4"/>
        <v>2</v>
      </c>
      <c r="AB231" s="45">
        <v>1</v>
      </c>
      <c r="AD231" s="49" t="s">
        <v>362</v>
      </c>
      <c r="AE231" s="50" t="s">
        <v>88</v>
      </c>
      <c r="AF231" s="50">
        <v>0</v>
      </c>
      <c r="AG231" s="50">
        <v>2</v>
      </c>
      <c r="AH231" s="50">
        <v>2</v>
      </c>
      <c r="AI231" s="50">
        <f t="shared" si="5"/>
        <v>4</v>
      </c>
      <c r="AJ231" s="50">
        <v>1</v>
      </c>
      <c r="AK231" s="51" t="s">
        <v>156</v>
      </c>
      <c r="AL231" s="61">
        <v>539520</v>
      </c>
      <c r="AM231" s="53" t="s">
        <v>146</v>
      </c>
      <c r="AN231" s="42">
        <v>2</v>
      </c>
      <c r="AO231" s="54">
        <f t="shared" si="77"/>
        <v>3</v>
      </c>
      <c r="AP231" s="53">
        <v>2</v>
      </c>
      <c r="AQ231" s="53">
        <f t="shared" si="7"/>
        <v>6</v>
      </c>
      <c r="AR231" s="53"/>
      <c r="AS231" s="55"/>
      <c r="AT231" s="53">
        <v>26.425000000000001</v>
      </c>
      <c r="AU231" s="42" t="s">
        <v>115</v>
      </c>
      <c r="AV231" s="44">
        <v>1</v>
      </c>
      <c r="AW231" s="44">
        <f t="shared" si="8"/>
        <v>2</v>
      </c>
      <c r="AX231" s="42">
        <v>1</v>
      </c>
      <c r="AY231" s="42">
        <f t="shared" si="9"/>
        <v>2</v>
      </c>
      <c r="AZ231" s="42" t="s">
        <v>340</v>
      </c>
      <c r="BA231" s="77" t="s">
        <v>540</v>
      </c>
      <c r="BB231" s="57" t="s">
        <v>622</v>
      </c>
      <c r="BC231" s="58" t="s">
        <v>622</v>
      </c>
      <c r="BD231" s="58" t="s">
        <v>623</v>
      </c>
      <c r="BE231" s="59">
        <v>3</v>
      </c>
      <c r="BF231" s="58">
        <v>2</v>
      </c>
      <c r="BG231" s="58">
        <f t="shared" si="10"/>
        <v>0.95424250943932487</v>
      </c>
      <c r="BH231" s="58" t="s">
        <v>605</v>
      </c>
      <c r="BI231" s="58" t="s">
        <v>775</v>
      </c>
      <c r="BJ231" s="60" t="s">
        <v>90</v>
      </c>
      <c r="BK231" s="61">
        <v>1</v>
      </c>
      <c r="BL231" s="62">
        <v>1</v>
      </c>
      <c r="BM231" s="62">
        <f t="shared" si="11"/>
        <v>0</v>
      </c>
      <c r="BN231" s="58" t="s">
        <v>607</v>
      </c>
      <c r="BO231" s="59"/>
      <c r="BP231" s="59">
        <v>95.5</v>
      </c>
      <c r="BQ231" s="63">
        <f t="shared" si="78"/>
        <v>1</v>
      </c>
      <c r="BR231" s="45">
        <v>1</v>
      </c>
      <c r="BS231" s="45">
        <f t="shared" si="13"/>
        <v>0</v>
      </c>
      <c r="BU231" s="46"/>
      <c r="BV231" s="64">
        <v>1.6666666670000001</v>
      </c>
      <c r="BW231" s="54">
        <f t="shared" si="79"/>
        <v>1</v>
      </c>
      <c r="BX231" s="45">
        <v>1</v>
      </c>
      <c r="BY231" s="45">
        <f t="shared" si="80"/>
        <v>0</v>
      </c>
      <c r="BZ231" s="61" t="s">
        <v>381</v>
      </c>
      <c r="CA231" s="46"/>
      <c r="CB231" s="65">
        <v>2640</v>
      </c>
      <c r="CC231" s="45">
        <v>2</v>
      </c>
      <c r="CD231" s="45">
        <v>2</v>
      </c>
      <c r="CE231" s="45">
        <f t="shared" si="16"/>
        <v>0.6020599913279624</v>
      </c>
      <c r="CG231" s="46"/>
      <c r="CH231" s="66" t="s">
        <v>137</v>
      </c>
      <c r="CI231" s="67">
        <v>2</v>
      </c>
      <c r="CJ231" s="68">
        <v>2</v>
      </c>
      <c r="CK231" s="68">
        <f t="shared" si="17"/>
        <v>0.6020599913279624</v>
      </c>
      <c r="CL231" s="68"/>
      <c r="CM231" s="69"/>
      <c r="CO231" s="70">
        <f t="shared" si="81"/>
        <v>1.8888888888888888</v>
      </c>
      <c r="CQ231" s="45">
        <f t="shared" si="19"/>
        <v>0.23981805467724998</v>
      </c>
      <c r="CR231" s="45">
        <f t="shared" si="20"/>
        <v>1.7370729389807016</v>
      </c>
      <c r="CT231" s="71">
        <f t="shared" si="21"/>
        <v>1.333358323412059</v>
      </c>
    </row>
    <row r="232" spans="1:98" ht="16">
      <c r="A232" s="36">
        <v>230</v>
      </c>
      <c r="B232" s="37"/>
      <c r="C232" s="37"/>
      <c r="D232" s="37"/>
      <c r="E232" s="38" t="s">
        <v>1179</v>
      </c>
      <c r="F232" s="38" t="s">
        <v>1180</v>
      </c>
      <c r="G232" s="38" t="s">
        <v>1181</v>
      </c>
      <c r="H232" s="38" t="s">
        <v>170</v>
      </c>
      <c r="I232" s="72">
        <v>5.3</v>
      </c>
      <c r="J232" s="53" t="s">
        <v>146</v>
      </c>
      <c r="K232" s="42">
        <v>2</v>
      </c>
      <c r="L232" s="42">
        <v>2</v>
      </c>
      <c r="M232" s="42">
        <v>1</v>
      </c>
      <c r="N232" s="42">
        <f t="shared" si="0"/>
        <v>2</v>
      </c>
      <c r="O232" s="42" t="s">
        <v>799</v>
      </c>
      <c r="P232" s="53"/>
      <c r="Q232" s="43">
        <v>14.5</v>
      </c>
      <c r="R232" s="44">
        <f t="shared" si="76"/>
        <v>3</v>
      </c>
      <c r="S232" s="45">
        <v>1</v>
      </c>
      <c r="T232" s="45">
        <f t="shared" si="2"/>
        <v>3</v>
      </c>
      <c r="V232" s="46"/>
      <c r="W232" s="58" t="s">
        <v>213</v>
      </c>
      <c r="X232" s="73">
        <v>2</v>
      </c>
      <c r="Y232" s="44">
        <f t="shared" si="3"/>
        <v>3</v>
      </c>
      <c r="Z232" s="45">
        <v>1</v>
      </c>
      <c r="AA232" s="45">
        <f t="shared" si="4"/>
        <v>3</v>
      </c>
      <c r="AB232" s="45">
        <v>1</v>
      </c>
      <c r="AD232" s="49" t="s">
        <v>172</v>
      </c>
      <c r="AE232" s="50" t="s">
        <v>88</v>
      </c>
      <c r="AF232" s="50">
        <v>0</v>
      </c>
      <c r="AG232" s="50">
        <v>3</v>
      </c>
      <c r="AH232" s="50">
        <v>2</v>
      </c>
      <c r="AI232" s="50">
        <f t="shared" si="5"/>
        <v>6</v>
      </c>
      <c r="AJ232" s="50">
        <v>1</v>
      </c>
      <c r="AK232" s="51" t="s">
        <v>114</v>
      </c>
      <c r="AL232" s="61">
        <v>28937</v>
      </c>
      <c r="AM232" s="53" t="s">
        <v>146</v>
      </c>
      <c r="AN232" s="42">
        <v>2</v>
      </c>
      <c r="AO232" s="54">
        <f t="shared" si="77"/>
        <v>3</v>
      </c>
      <c r="AP232" s="53">
        <v>2</v>
      </c>
      <c r="AQ232" s="53">
        <f t="shared" si="7"/>
        <v>6</v>
      </c>
      <c r="AR232" s="53"/>
      <c r="AS232" s="55"/>
      <c r="AT232" s="53">
        <v>44</v>
      </c>
      <c r="AU232" s="42" t="s">
        <v>146</v>
      </c>
      <c r="AV232" s="44">
        <v>2</v>
      </c>
      <c r="AW232" s="44">
        <f t="shared" si="8"/>
        <v>1</v>
      </c>
      <c r="AX232" s="42">
        <v>1</v>
      </c>
      <c r="AY232" s="42">
        <f t="shared" si="9"/>
        <v>1</v>
      </c>
      <c r="AZ232" s="42" t="s">
        <v>173</v>
      </c>
      <c r="BA232" s="53" t="s">
        <v>632</v>
      </c>
      <c r="BB232" s="57" t="s">
        <v>602</v>
      </c>
      <c r="BC232" s="58" t="s">
        <v>603</v>
      </c>
      <c r="BD232" s="58" t="s">
        <v>604</v>
      </c>
      <c r="BE232" s="59">
        <v>2</v>
      </c>
      <c r="BF232" s="58">
        <v>2</v>
      </c>
      <c r="BG232" s="58">
        <f t="shared" si="10"/>
        <v>0.6020599913279624</v>
      </c>
      <c r="BH232" s="58" t="s">
        <v>605</v>
      </c>
      <c r="BI232" s="58" t="s">
        <v>946</v>
      </c>
      <c r="BJ232" s="60" t="s">
        <v>90</v>
      </c>
      <c r="BK232" s="61">
        <v>1</v>
      </c>
      <c r="BL232" s="62">
        <v>1</v>
      </c>
      <c r="BM232" s="62">
        <f t="shared" si="11"/>
        <v>0</v>
      </c>
      <c r="BN232" s="58" t="s">
        <v>607</v>
      </c>
      <c r="BO232" s="59"/>
      <c r="BP232" s="59">
        <v>7</v>
      </c>
      <c r="BQ232" s="63">
        <f t="shared" si="78"/>
        <v>3</v>
      </c>
      <c r="BR232" s="45">
        <v>1</v>
      </c>
      <c r="BS232" s="45">
        <f t="shared" si="13"/>
        <v>0.47712125471966244</v>
      </c>
      <c r="BU232" s="46"/>
      <c r="BV232" s="64">
        <v>2</v>
      </c>
      <c r="BW232" s="54">
        <f t="shared" si="79"/>
        <v>1</v>
      </c>
      <c r="BX232" s="45">
        <v>1</v>
      </c>
      <c r="BY232" s="45">
        <f t="shared" si="80"/>
        <v>0</v>
      </c>
      <c r="BZ232" s="61" t="s">
        <v>99</v>
      </c>
      <c r="CA232" s="46"/>
      <c r="CB232" s="65">
        <v>2605</v>
      </c>
      <c r="CC232" s="45">
        <v>2</v>
      </c>
      <c r="CD232" s="45">
        <v>2</v>
      </c>
      <c r="CE232" s="45">
        <f t="shared" si="16"/>
        <v>0.6020599913279624</v>
      </c>
      <c r="CG232" s="46"/>
      <c r="CH232" s="66" t="s">
        <v>92</v>
      </c>
      <c r="CI232" s="67">
        <v>3</v>
      </c>
      <c r="CJ232" s="68">
        <v>2</v>
      </c>
      <c r="CK232" s="68">
        <f t="shared" si="17"/>
        <v>0.95424250943932487</v>
      </c>
      <c r="CL232" s="68"/>
      <c r="CM232" s="69"/>
      <c r="CO232" s="70">
        <f t="shared" si="81"/>
        <v>2.1111111111111112</v>
      </c>
      <c r="CQ232" s="45">
        <f t="shared" si="19"/>
        <v>0.29283152742387908</v>
      </c>
      <c r="CR232" s="45">
        <f t="shared" si="20"/>
        <v>1.9625987930301132</v>
      </c>
      <c r="CT232" s="71">
        <f t="shared" si="21"/>
        <v>1.3102365790700372</v>
      </c>
    </row>
    <row r="233" spans="1:98" ht="16">
      <c r="A233" s="36">
        <v>231</v>
      </c>
      <c r="B233" s="37"/>
      <c r="C233" s="37"/>
      <c r="D233" s="37"/>
      <c r="E233" s="38" t="s">
        <v>1182</v>
      </c>
      <c r="F233" s="38" t="s">
        <v>477</v>
      </c>
      <c r="G233" s="38" t="s">
        <v>1183</v>
      </c>
      <c r="H233" s="38" t="s">
        <v>152</v>
      </c>
      <c r="I233" s="72">
        <v>6.5</v>
      </c>
      <c r="J233" s="53" t="s">
        <v>88</v>
      </c>
      <c r="K233" s="42">
        <v>0</v>
      </c>
      <c r="L233" s="42">
        <v>2</v>
      </c>
      <c r="M233" s="42">
        <v>1</v>
      </c>
      <c r="N233" s="42">
        <f t="shared" si="0"/>
        <v>2</v>
      </c>
      <c r="O233" s="53"/>
      <c r="P233" s="53"/>
      <c r="Q233" s="43">
        <v>7.75</v>
      </c>
      <c r="R233" s="44">
        <f t="shared" si="76"/>
        <v>3</v>
      </c>
      <c r="S233" s="45">
        <v>1</v>
      </c>
      <c r="T233" s="45">
        <f t="shared" si="2"/>
        <v>3</v>
      </c>
      <c r="V233" s="46"/>
      <c r="W233" s="58" t="s">
        <v>185</v>
      </c>
      <c r="X233" s="73">
        <v>3.4</v>
      </c>
      <c r="Y233" s="44">
        <f t="shared" si="3"/>
        <v>2</v>
      </c>
      <c r="Z233" s="45">
        <v>1</v>
      </c>
      <c r="AA233" s="45">
        <f t="shared" si="4"/>
        <v>2</v>
      </c>
      <c r="AB233" s="45">
        <v>1</v>
      </c>
      <c r="AD233" s="49" t="s">
        <v>155</v>
      </c>
      <c r="AE233" s="50" t="s">
        <v>88</v>
      </c>
      <c r="AF233" s="50">
        <v>0</v>
      </c>
      <c r="AG233" s="50">
        <v>2</v>
      </c>
      <c r="AH233" s="50">
        <v>2</v>
      </c>
      <c r="AI233" s="50">
        <f t="shared" si="5"/>
        <v>4</v>
      </c>
      <c r="AJ233" s="50">
        <v>1</v>
      </c>
      <c r="AK233" s="51" t="s">
        <v>156</v>
      </c>
      <c r="AL233" s="61">
        <v>539520</v>
      </c>
      <c r="AM233" s="53" t="s">
        <v>146</v>
      </c>
      <c r="AN233" s="42">
        <v>2</v>
      </c>
      <c r="AO233" s="54">
        <f t="shared" si="77"/>
        <v>3</v>
      </c>
      <c r="AP233" s="53">
        <v>2</v>
      </c>
      <c r="AQ233" s="53">
        <f t="shared" si="7"/>
        <v>6</v>
      </c>
      <c r="AR233" s="53"/>
      <c r="AS233" s="55"/>
      <c r="AT233" s="53">
        <v>26.425000000000001</v>
      </c>
      <c r="AU233" s="42" t="s">
        <v>146</v>
      </c>
      <c r="AV233" s="44">
        <v>2</v>
      </c>
      <c r="AW233" s="44">
        <f t="shared" si="8"/>
        <v>2</v>
      </c>
      <c r="AX233" s="42">
        <v>1</v>
      </c>
      <c r="AY233" s="42">
        <f t="shared" si="9"/>
        <v>2</v>
      </c>
      <c r="AZ233" s="42" t="s">
        <v>479</v>
      </c>
      <c r="BA233" s="53" t="s">
        <v>702</v>
      </c>
      <c r="BB233" s="57" t="s">
        <v>622</v>
      </c>
      <c r="BC233" s="58" t="s">
        <v>622</v>
      </c>
      <c r="BD233" s="58" t="s">
        <v>623</v>
      </c>
      <c r="BE233" s="59">
        <v>3</v>
      </c>
      <c r="BF233" s="58">
        <v>2</v>
      </c>
      <c r="BG233" s="58">
        <f t="shared" si="10"/>
        <v>0.95424250943932487</v>
      </c>
      <c r="BH233" s="58" t="s">
        <v>605</v>
      </c>
      <c r="BI233" s="58" t="s">
        <v>624</v>
      </c>
      <c r="BJ233" s="60" t="s">
        <v>90</v>
      </c>
      <c r="BK233" s="61">
        <v>1</v>
      </c>
      <c r="BL233" s="62">
        <v>1</v>
      </c>
      <c r="BM233" s="62">
        <f t="shared" si="11"/>
        <v>0</v>
      </c>
      <c r="BN233" s="58" t="s">
        <v>607</v>
      </c>
      <c r="BO233" s="59"/>
      <c r="BP233" s="59">
        <v>20.5</v>
      </c>
      <c r="BQ233" s="63">
        <f t="shared" si="78"/>
        <v>2</v>
      </c>
      <c r="BR233" s="45">
        <v>1</v>
      </c>
      <c r="BS233" s="45">
        <f t="shared" si="13"/>
        <v>0.3010299956639812</v>
      </c>
      <c r="BU233" s="46"/>
      <c r="BV233" s="64">
        <v>1.875</v>
      </c>
      <c r="BW233" s="54">
        <f t="shared" si="79"/>
        <v>1</v>
      </c>
      <c r="BX233" s="45">
        <v>1</v>
      </c>
      <c r="BY233" s="45">
        <f t="shared" si="80"/>
        <v>0</v>
      </c>
      <c r="BZ233" s="61" t="s">
        <v>99</v>
      </c>
      <c r="CA233" s="46"/>
      <c r="CB233" s="65">
        <v>2520</v>
      </c>
      <c r="CC233" s="45">
        <v>2</v>
      </c>
      <c r="CD233" s="45">
        <v>2</v>
      </c>
      <c r="CE233" s="45">
        <f t="shared" si="16"/>
        <v>0.6020599913279624</v>
      </c>
      <c r="CG233" s="46"/>
      <c r="CH233" s="66" t="s">
        <v>92</v>
      </c>
      <c r="CI233" s="67">
        <v>3</v>
      </c>
      <c r="CJ233" s="68">
        <v>2</v>
      </c>
      <c r="CK233" s="68">
        <f t="shared" si="17"/>
        <v>0.95424250943932487</v>
      </c>
      <c r="CL233" s="68"/>
      <c r="CM233" s="69" t="s">
        <v>144</v>
      </c>
      <c r="CO233" s="70">
        <f t="shared" si="81"/>
        <v>1.8888888888888888</v>
      </c>
      <c r="CQ233" s="45">
        <f t="shared" si="19"/>
        <v>0.31239722287451038</v>
      </c>
      <c r="CR233" s="45">
        <f t="shared" si="20"/>
        <v>2.0530391109397983</v>
      </c>
      <c r="CT233" s="71">
        <f t="shared" si="21"/>
        <v>1.5308361344061125</v>
      </c>
    </row>
    <row r="234" spans="1:98" ht="16" hidden="1">
      <c r="A234" s="36">
        <v>232</v>
      </c>
      <c r="B234" s="37"/>
      <c r="C234" s="37" t="s">
        <v>144</v>
      </c>
      <c r="D234" s="37" t="s">
        <v>686</v>
      </c>
      <c r="E234" s="38" t="s">
        <v>1184</v>
      </c>
      <c r="F234" s="38" t="s">
        <v>124</v>
      </c>
      <c r="G234" s="38" t="s">
        <v>688</v>
      </c>
      <c r="H234" s="38" t="s">
        <v>83</v>
      </c>
      <c r="I234" s="87"/>
      <c r="J234" s="53"/>
      <c r="K234" s="53"/>
      <c r="L234" s="53"/>
      <c r="M234" s="42">
        <v>1</v>
      </c>
      <c r="N234" s="42">
        <f t="shared" si="0"/>
        <v>0</v>
      </c>
      <c r="O234" s="53"/>
      <c r="P234" s="53"/>
      <c r="Q234" s="43"/>
      <c r="R234" s="44" t="str">
        <f>IF(Q234="","***",IF(Q234&lt;5,3,IF(Q234&lt;15,2,1)))</f>
        <v>***</v>
      </c>
      <c r="S234" s="45">
        <v>1</v>
      </c>
      <c r="T234" s="45" t="e">
        <f t="shared" si="2"/>
        <v>#VALUE!</v>
      </c>
      <c r="V234" s="46"/>
      <c r="W234" s="58"/>
      <c r="X234" s="88"/>
      <c r="Y234" s="44" t="str">
        <f t="shared" si="3"/>
        <v>***</v>
      </c>
      <c r="Z234" s="45">
        <v>1</v>
      </c>
      <c r="AA234" s="45" t="e">
        <f t="shared" si="4"/>
        <v>#VALUE!</v>
      </c>
      <c r="AB234" s="45">
        <v>1</v>
      </c>
      <c r="AD234" s="49" t="s">
        <v>89</v>
      </c>
      <c r="AE234" s="50" t="s">
        <v>146</v>
      </c>
      <c r="AF234" s="50">
        <v>2</v>
      </c>
      <c r="AG234" s="50">
        <v>3</v>
      </c>
      <c r="AH234" s="50">
        <v>2</v>
      </c>
      <c r="AI234" s="50">
        <f t="shared" si="5"/>
        <v>6</v>
      </c>
      <c r="AJ234" s="50" t="s">
        <v>755</v>
      </c>
      <c r="AK234" s="51" t="s">
        <v>89</v>
      </c>
      <c r="AL234" s="61"/>
      <c r="AM234" s="53"/>
      <c r="AN234" s="42"/>
      <c r="AO234" s="42"/>
      <c r="AP234" s="53">
        <v>2</v>
      </c>
      <c r="AQ234" s="53">
        <f t="shared" si="7"/>
        <v>0</v>
      </c>
      <c r="AR234" s="53"/>
      <c r="AS234" s="55"/>
      <c r="AT234" s="89"/>
      <c r="AU234" s="89"/>
      <c r="AV234" s="44"/>
      <c r="AW234" s="44" t="str">
        <f t="shared" si="8"/>
        <v>***</v>
      </c>
      <c r="AX234" s="42">
        <v>1</v>
      </c>
      <c r="AY234" s="42" t="e">
        <f t="shared" si="9"/>
        <v>#VALUE!</v>
      </c>
      <c r="AZ234" s="89"/>
      <c r="BA234" s="89"/>
      <c r="BB234" s="57"/>
      <c r="BC234" s="58"/>
      <c r="BD234" s="58"/>
      <c r="BE234" s="58"/>
      <c r="BF234" s="58">
        <v>2</v>
      </c>
      <c r="BG234" s="58" t="e">
        <f t="shared" si="10"/>
        <v>#NUM!</v>
      </c>
      <c r="BH234" s="58" t="s">
        <v>605</v>
      </c>
      <c r="BI234" s="58"/>
      <c r="BJ234" s="60" t="s">
        <v>90</v>
      </c>
      <c r="BK234" s="61">
        <v>1</v>
      </c>
      <c r="BL234" s="62">
        <v>1</v>
      </c>
      <c r="BM234" s="62">
        <f t="shared" si="11"/>
        <v>0</v>
      </c>
      <c r="BN234" s="58" t="s">
        <v>607</v>
      </c>
      <c r="BO234" s="59"/>
      <c r="BP234" s="59"/>
      <c r="BQ234" s="90"/>
      <c r="BR234" s="45">
        <v>1</v>
      </c>
      <c r="BS234" s="45" t="e">
        <f t="shared" si="13"/>
        <v>#NUM!</v>
      </c>
      <c r="BU234" s="46"/>
      <c r="BV234" s="64"/>
      <c r="BW234" s="45"/>
      <c r="BX234" s="45">
        <v>1</v>
      </c>
      <c r="BY234" s="45" t="e">
        <f>BX234*LOG(BV234)</f>
        <v>#NUM!</v>
      </c>
      <c r="BZ234" s="61"/>
      <c r="CA234" s="46"/>
      <c r="CB234" s="65">
        <v>2511</v>
      </c>
      <c r="CC234" s="45">
        <v>2</v>
      </c>
      <c r="CD234" s="45">
        <v>2</v>
      </c>
      <c r="CE234" s="45">
        <f t="shared" si="16"/>
        <v>0.6020599913279624</v>
      </c>
      <c r="CG234" s="46"/>
      <c r="CH234" s="66" t="s">
        <v>106</v>
      </c>
      <c r="CI234" s="67">
        <v>3</v>
      </c>
      <c r="CJ234" s="68">
        <v>1</v>
      </c>
      <c r="CK234" s="68">
        <f t="shared" si="17"/>
        <v>0.47712125471966244</v>
      </c>
      <c r="CL234" s="68"/>
      <c r="CM234" s="69"/>
      <c r="CO234" s="70" t="e">
        <f>(SUM(N234,T234,AA234,AI234,AQ234,AY234)/SUM(M234,S234,Z234,AH234,AP234,AX234,BF234))</f>
        <v>#VALUE!</v>
      </c>
      <c r="CQ234" s="45" t="e">
        <f t="shared" si="19"/>
        <v>#NUM!</v>
      </c>
      <c r="CR234" s="45" t="e">
        <f t="shared" si="20"/>
        <v>#NUM!</v>
      </c>
      <c r="CT234" s="71" t="e">
        <f t="shared" si="21"/>
        <v>#VALUE!</v>
      </c>
    </row>
    <row r="235" spans="1:98" ht="16">
      <c r="A235" s="36">
        <v>233</v>
      </c>
      <c r="B235" s="37"/>
      <c r="C235" s="37"/>
      <c r="D235" s="37"/>
      <c r="E235" s="38" t="s">
        <v>1185</v>
      </c>
      <c r="F235" s="38" t="s">
        <v>483</v>
      </c>
      <c r="G235" s="38" t="s">
        <v>1186</v>
      </c>
      <c r="H235" s="38" t="s">
        <v>286</v>
      </c>
      <c r="I235" s="72">
        <v>4</v>
      </c>
      <c r="J235" s="53" t="s">
        <v>88</v>
      </c>
      <c r="K235" s="42">
        <v>0</v>
      </c>
      <c r="L235" s="42">
        <v>3</v>
      </c>
      <c r="M235" s="42">
        <v>1</v>
      </c>
      <c r="N235" s="42">
        <f t="shared" si="0"/>
        <v>3</v>
      </c>
      <c r="O235" s="53"/>
      <c r="P235" s="53"/>
      <c r="Q235" s="43">
        <v>18</v>
      </c>
      <c r="R235" s="44">
        <f>IF(Q235="","***",IF(Q235&lt;30,3,IF(Q235&gt;60,1,2)))</f>
        <v>3</v>
      </c>
      <c r="S235" s="45">
        <v>1</v>
      </c>
      <c r="T235" s="45">
        <f t="shared" si="2"/>
        <v>3</v>
      </c>
      <c r="V235" s="46"/>
      <c r="W235" s="58" t="s">
        <v>1187</v>
      </c>
      <c r="X235" s="73">
        <v>3.4</v>
      </c>
      <c r="Y235" s="44">
        <f t="shared" si="3"/>
        <v>2</v>
      </c>
      <c r="Z235" s="45">
        <v>1</v>
      </c>
      <c r="AA235" s="45">
        <f t="shared" si="4"/>
        <v>2</v>
      </c>
      <c r="AB235" s="45">
        <v>1</v>
      </c>
      <c r="AD235" s="49" t="s">
        <v>288</v>
      </c>
      <c r="AE235" s="50" t="s">
        <v>88</v>
      </c>
      <c r="AF235" s="50">
        <v>0</v>
      </c>
      <c r="AG235" s="50">
        <v>3</v>
      </c>
      <c r="AH235" s="50">
        <v>2</v>
      </c>
      <c r="AI235" s="50">
        <f t="shared" si="5"/>
        <v>6</v>
      </c>
      <c r="AJ235" s="50">
        <v>1</v>
      </c>
      <c r="AK235" s="51" t="s">
        <v>135</v>
      </c>
      <c r="AL235" s="52">
        <v>16914</v>
      </c>
      <c r="AM235" s="53" t="s">
        <v>88</v>
      </c>
      <c r="AN235" s="42">
        <v>0</v>
      </c>
      <c r="AO235" s="54">
        <f>IF(AL235="","***",IF(AL235&gt;15000,3,IF(AL235&lt;1000,1,2)))</f>
        <v>3</v>
      </c>
      <c r="AP235" s="53">
        <v>2</v>
      </c>
      <c r="AQ235" s="53">
        <f t="shared" si="7"/>
        <v>6</v>
      </c>
      <c r="AR235" s="53"/>
      <c r="AS235" s="55"/>
      <c r="AT235" s="42">
        <v>43</v>
      </c>
      <c r="AU235" s="42" t="s">
        <v>88</v>
      </c>
      <c r="AV235" s="56">
        <v>0</v>
      </c>
      <c r="AW235" s="44">
        <f t="shared" si="8"/>
        <v>1</v>
      </c>
      <c r="AX235" s="42">
        <v>1</v>
      </c>
      <c r="AY235" s="42">
        <f t="shared" si="9"/>
        <v>1</v>
      </c>
      <c r="AZ235" s="42"/>
      <c r="BA235" s="42"/>
      <c r="BB235" s="57" t="s">
        <v>602</v>
      </c>
      <c r="BC235" s="58" t="s">
        <v>603</v>
      </c>
      <c r="BD235" s="58" t="s">
        <v>609</v>
      </c>
      <c r="BE235" s="59">
        <v>1</v>
      </c>
      <c r="BF235" s="58">
        <v>2</v>
      </c>
      <c r="BG235" s="58">
        <f t="shared" si="10"/>
        <v>0</v>
      </c>
      <c r="BH235" s="58" t="s">
        <v>605</v>
      </c>
      <c r="BI235" s="58" t="s">
        <v>610</v>
      </c>
      <c r="BJ235" s="81" t="s">
        <v>90</v>
      </c>
      <c r="BK235" s="61">
        <v>1</v>
      </c>
      <c r="BL235" s="62">
        <v>1</v>
      </c>
      <c r="BM235" s="62">
        <f t="shared" si="11"/>
        <v>0</v>
      </c>
      <c r="BN235" s="58" t="s">
        <v>607</v>
      </c>
      <c r="BO235" s="86"/>
      <c r="BP235" s="86">
        <v>10.5</v>
      </c>
      <c r="BQ235" s="63">
        <f t="shared" ref="BQ235:BQ243" si="82">IF(BP235&lt;10,3,IF(BP235&lt;30,2,1))</f>
        <v>2</v>
      </c>
      <c r="BR235" s="45">
        <v>1</v>
      </c>
      <c r="BS235" s="45">
        <f t="shared" si="13"/>
        <v>0.3010299956639812</v>
      </c>
      <c r="BU235" s="46"/>
      <c r="BV235" s="64">
        <v>2</v>
      </c>
      <c r="BW235" s="54">
        <f>IF(BV235&lt;2.5,1,IF(BV235&gt;3.5,3,2))</f>
        <v>1</v>
      </c>
      <c r="BX235" s="45">
        <v>1</v>
      </c>
      <c r="BY235" s="45">
        <f>BX235*LOG(BW235)</f>
        <v>0</v>
      </c>
      <c r="BZ235" s="61">
        <v>10</v>
      </c>
      <c r="CA235" s="46"/>
      <c r="CB235" s="65">
        <v>2500</v>
      </c>
      <c r="CC235" s="45">
        <v>2</v>
      </c>
      <c r="CD235" s="45">
        <v>2</v>
      </c>
      <c r="CE235" s="45">
        <f t="shared" si="16"/>
        <v>0.6020599913279624</v>
      </c>
      <c r="CG235" s="46"/>
      <c r="CH235" s="66" t="s">
        <v>92</v>
      </c>
      <c r="CI235" s="67">
        <v>3</v>
      </c>
      <c r="CJ235" s="68">
        <v>2</v>
      </c>
      <c r="CK235" s="68">
        <f t="shared" si="17"/>
        <v>0.95424250943932487</v>
      </c>
      <c r="CL235" s="68"/>
      <c r="CM235" s="69"/>
      <c r="CO235" s="70">
        <f>(SUM(T235,AA235,AI235,AQ235,AY235)/SUM(S235,Z235,AH235,AP235,AX235,BF235))</f>
        <v>2</v>
      </c>
      <c r="CQ235" s="45">
        <f t="shared" si="19"/>
        <v>0.20637027738125205</v>
      </c>
      <c r="CR235" s="45">
        <f t="shared" si="20"/>
        <v>1.6083119076007948</v>
      </c>
      <c r="CT235" s="71">
        <f t="shared" si="21"/>
        <v>1.1704885206309876</v>
      </c>
    </row>
    <row r="236" spans="1:98" ht="16">
      <c r="A236" s="36">
        <v>234</v>
      </c>
      <c r="B236" s="37"/>
      <c r="C236" s="37"/>
      <c r="D236" s="37"/>
      <c r="E236" s="38" t="s">
        <v>1188</v>
      </c>
      <c r="F236" s="38" t="s">
        <v>1189</v>
      </c>
      <c r="G236" s="38" t="s">
        <v>1190</v>
      </c>
      <c r="H236" s="38" t="s">
        <v>847</v>
      </c>
      <c r="I236" s="72">
        <v>8</v>
      </c>
      <c r="J236" s="53" t="s">
        <v>88</v>
      </c>
      <c r="K236" s="42">
        <v>0</v>
      </c>
      <c r="L236" s="42">
        <v>2</v>
      </c>
      <c r="M236" s="42">
        <v>1</v>
      </c>
      <c r="N236" s="42">
        <f t="shared" si="0"/>
        <v>2</v>
      </c>
      <c r="O236" s="214" t="s">
        <v>1191</v>
      </c>
      <c r="P236" s="53" t="s">
        <v>652</v>
      </c>
      <c r="Q236" s="43">
        <v>12</v>
      </c>
      <c r="R236" s="44">
        <f>IF(Q236="","***",IF(Q236&lt;30,3,IF(Q236&gt;60,1,2)))</f>
        <v>3</v>
      </c>
      <c r="S236" s="45">
        <v>1</v>
      </c>
      <c r="T236" s="45">
        <f t="shared" si="2"/>
        <v>3</v>
      </c>
      <c r="V236" s="46"/>
      <c r="W236" s="58" t="s">
        <v>772</v>
      </c>
      <c r="X236" s="73">
        <v>3.3</v>
      </c>
      <c r="Y236" s="44">
        <f t="shared" si="3"/>
        <v>2</v>
      </c>
      <c r="Z236" s="45">
        <v>1</v>
      </c>
      <c r="AA236" s="45">
        <f t="shared" si="4"/>
        <v>2</v>
      </c>
      <c r="AB236" s="45">
        <v>1</v>
      </c>
      <c r="AD236" s="49" t="s">
        <v>1192</v>
      </c>
      <c r="AE236" s="50" t="s">
        <v>88</v>
      </c>
      <c r="AF236" s="50">
        <v>0</v>
      </c>
      <c r="AG236" s="50">
        <v>3</v>
      </c>
      <c r="AH236" s="50">
        <v>2</v>
      </c>
      <c r="AI236" s="50">
        <f t="shared" si="5"/>
        <v>6</v>
      </c>
      <c r="AJ236" s="50">
        <v>1</v>
      </c>
      <c r="AK236" s="51" t="s">
        <v>114</v>
      </c>
      <c r="AL236" s="61">
        <v>175</v>
      </c>
      <c r="AM236" s="53" t="s">
        <v>88</v>
      </c>
      <c r="AN236" s="42">
        <v>0</v>
      </c>
      <c r="AO236" s="54">
        <f>IF(AL236="","***",IF(AL236&gt;15000,3,IF(AL236&lt;1000,1,2)))</f>
        <v>1</v>
      </c>
      <c r="AP236" s="53">
        <v>2</v>
      </c>
      <c r="AQ236" s="53">
        <f t="shared" si="7"/>
        <v>2</v>
      </c>
      <c r="AR236" s="53"/>
      <c r="AS236" s="55"/>
      <c r="AT236" s="42">
        <v>28</v>
      </c>
      <c r="AU236" s="42" t="s">
        <v>146</v>
      </c>
      <c r="AV236" s="44">
        <v>2</v>
      </c>
      <c r="AW236" s="44">
        <f t="shared" si="8"/>
        <v>2</v>
      </c>
      <c r="AX236" s="42">
        <v>1</v>
      </c>
      <c r="AY236" s="42">
        <f t="shared" si="9"/>
        <v>2</v>
      </c>
      <c r="AZ236" s="42" t="s">
        <v>1193</v>
      </c>
      <c r="BA236" s="53" t="s">
        <v>1194</v>
      </c>
      <c r="BB236" s="57" t="s">
        <v>602</v>
      </c>
      <c r="BC236" s="58" t="s">
        <v>603</v>
      </c>
      <c r="BD236" s="58" t="s">
        <v>604</v>
      </c>
      <c r="BE236" s="59">
        <v>2</v>
      </c>
      <c r="BF236" s="58">
        <v>2</v>
      </c>
      <c r="BG236" s="58">
        <f t="shared" si="10"/>
        <v>0.6020599913279624</v>
      </c>
      <c r="BH236" s="58" t="s">
        <v>605</v>
      </c>
      <c r="BI236" s="58" t="s">
        <v>606</v>
      </c>
      <c r="BJ236" s="60" t="s">
        <v>90</v>
      </c>
      <c r="BK236" s="61">
        <v>1</v>
      </c>
      <c r="BL236" s="62">
        <v>1</v>
      </c>
      <c r="BM236" s="62">
        <f t="shared" si="11"/>
        <v>0</v>
      </c>
      <c r="BN236" s="58" t="s">
        <v>607</v>
      </c>
      <c r="BO236" s="59"/>
      <c r="BP236" s="59">
        <v>16.5</v>
      </c>
      <c r="BQ236" s="63">
        <f t="shared" si="82"/>
        <v>2</v>
      </c>
      <c r="BR236" s="45">
        <v>1</v>
      </c>
      <c r="BS236" s="45">
        <f t="shared" si="13"/>
        <v>0.3010299956639812</v>
      </c>
      <c r="BU236" s="46"/>
      <c r="BV236" s="64">
        <v>4</v>
      </c>
      <c r="BW236" s="54">
        <f>IF(BV236&lt;2.5,1,IF(BV236&gt;3.5,3,2))</f>
        <v>3</v>
      </c>
      <c r="BX236" s="45">
        <v>1</v>
      </c>
      <c r="BY236" s="45">
        <f>BX236*LOG(BW236)</f>
        <v>0.47712125471966244</v>
      </c>
      <c r="BZ236" s="61" t="s">
        <v>381</v>
      </c>
      <c r="CA236" s="46"/>
      <c r="CB236" s="65">
        <v>2481</v>
      </c>
      <c r="CC236" s="45">
        <v>2</v>
      </c>
      <c r="CD236" s="45">
        <v>2</v>
      </c>
      <c r="CE236" s="45">
        <f t="shared" si="16"/>
        <v>0.6020599913279624</v>
      </c>
      <c r="CG236" s="46"/>
      <c r="CH236" s="66" t="s">
        <v>92</v>
      </c>
      <c r="CI236" s="67">
        <v>3</v>
      </c>
      <c r="CJ236" s="68">
        <v>2</v>
      </c>
      <c r="CK236" s="68">
        <f t="shared" si="17"/>
        <v>0.95424250943932487</v>
      </c>
      <c r="CL236" s="68"/>
      <c r="CM236" s="69"/>
      <c r="CO236" s="70">
        <f>(SUM(T236,AA236,AI236,AQ236,AY236)/SUM(S236,Z236,AH236,AP236,AX236,BF236))</f>
        <v>1.6666666666666667</v>
      </c>
      <c r="CQ236" s="45">
        <f t="shared" si="19"/>
        <v>0.32627930471987704</v>
      </c>
      <c r="CR236" s="45">
        <f t="shared" si="20"/>
        <v>2.1197239399504597</v>
      </c>
      <c r="CT236" s="71">
        <f t="shared" si="21"/>
        <v>1.7411374097054944</v>
      </c>
    </row>
    <row r="237" spans="1:98" ht="16">
      <c r="A237" s="36">
        <v>235</v>
      </c>
      <c r="B237" s="37"/>
      <c r="C237" s="37"/>
      <c r="D237" s="37"/>
      <c r="E237" s="38" t="s">
        <v>1195</v>
      </c>
      <c r="F237" s="38" t="s">
        <v>1139</v>
      </c>
      <c r="G237" s="38" t="s">
        <v>1196</v>
      </c>
      <c r="H237" s="38" t="s">
        <v>1141</v>
      </c>
      <c r="I237" s="72">
        <v>7.5</v>
      </c>
      <c r="J237" s="53" t="s">
        <v>88</v>
      </c>
      <c r="K237" s="42">
        <v>0</v>
      </c>
      <c r="L237" s="42">
        <v>2</v>
      </c>
      <c r="M237" s="42">
        <v>1</v>
      </c>
      <c r="N237" s="42">
        <f t="shared" si="0"/>
        <v>2</v>
      </c>
      <c r="O237" s="53"/>
      <c r="P237" s="53"/>
      <c r="Q237" s="43">
        <v>50</v>
      </c>
      <c r="R237" s="44">
        <f>IF(Q237="","***",IF(Q237&lt;30,3,IF(Q237&gt;60,1,2)))</f>
        <v>2</v>
      </c>
      <c r="S237" s="45">
        <v>1</v>
      </c>
      <c r="T237" s="45">
        <f t="shared" si="2"/>
        <v>2</v>
      </c>
      <c r="V237" s="46"/>
      <c r="W237" s="58" t="s">
        <v>1197</v>
      </c>
      <c r="X237" s="73">
        <v>4.2</v>
      </c>
      <c r="Y237" s="44">
        <f t="shared" si="3"/>
        <v>1</v>
      </c>
      <c r="Z237" s="45">
        <v>1</v>
      </c>
      <c r="AA237" s="45">
        <f t="shared" si="4"/>
        <v>1</v>
      </c>
      <c r="AB237" s="45">
        <v>1</v>
      </c>
      <c r="AD237" s="49" t="s">
        <v>165</v>
      </c>
      <c r="AE237" s="50" t="s">
        <v>146</v>
      </c>
      <c r="AF237" s="50">
        <v>2</v>
      </c>
      <c r="AG237" s="50">
        <v>3</v>
      </c>
      <c r="AH237" s="50">
        <v>2</v>
      </c>
      <c r="AI237" s="50">
        <f t="shared" si="5"/>
        <v>6</v>
      </c>
      <c r="AJ237" s="50" t="s">
        <v>633</v>
      </c>
      <c r="AK237" s="51"/>
      <c r="AL237" s="61">
        <v>46894</v>
      </c>
      <c r="AM237" s="53" t="s">
        <v>146</v>
      </c>
      <c r="AN237" s="42">
        <v>2</v>
      </c>
      <c r="AO237" s="54">
        <f>IF(AL237="","***",IF(AL237&gt;15000,3,IF(AL237&lt;1000,1,2)))</f>
        <v>3</v>
      </c>
      <c r="AP237" s="53">
        <v>2</v>
      </c>
      <c r="AQ237" s="53">
        <f t="shared" si="7"/>
        <v>6</v>
      </c>
      <c r="AR237" s="53"/>
      <c r="AS237" s="55"/>
      <c r="AT237" s="42">
        <v>45</v>
      </c>
      <c r="AU237" s="42" t="s">
        <v>115</v>
      </c>
      <c r="AV237" s="44">
        <v>1</v>
      </c>
      <c r="AW237" s="44">
        <f t="shared" si="8"/>
        <v>1</v>
      </c>
      <c r="AX237" s="42">
        <v>1</v>
      </c>
      <c r="AY237" s="42">
        <f t="shared" si="9"/>
        <v>1</v>
      </c>
      <c r="AZ237" s="42" t="s">
        <v>1198</v>
      </c>
      <c r="BA237" s="53" t="s">
        <v>1199</v>
      </c>
      <c r="BB237" s="57" t="s">
        <v>602</v>
      </c>
      <c r="BC237" s="58" t="s">
        <v>603</v>
      </c>
      <c r="BD237" s="58" t="s">
        <v>609</v>
      </c>
      <c r="BE237" s="59">
        <v>1</v>
      </c>
      <c r="BF237" s="58">
        <v>2</v>
      </c>
      <c r="BG237" s="58">
        <f t="shared" si="10"/>
        <v>0</v>
      </c>
      <c r="BH237" s="58" t="s">
        <v>605</v>
      </c>
      <c r="BI237" s="58" t="s">
        <v>610</v>
      </c>
      <c r="BJ237" s="60" t="s">
        <v>90</v>
      </c>
      <c r="BK237" s="61">
        <v>1</v>
      </c>
      <c r="BL237" s="62">
        <v>1</v>
      </c>
      <c r="BM237" s="62">
        <f t="shared" si="11"/>
        <v>0</v>
      </c>
      <c r="BN237" s="58" t="s">
        <v>607</v>
      </c>
      <c r="BO237" s="86"/>
      <c r="BP237" s="86">
        <v>57</v>
      </c>
      <c r="BQ237" s="63">
        <f t="shared" si="82"/>
        <v>1</v>
      </c>
      <c r="BR237" s="45">
        <v>1</v>
      </c>
      <c r="BS237" s="45">
        <f t="shared" si="13"/>
        <v>0</v>
      </c>
      <c r="BU237" s="46"/>
      <c r="BV237" s="64">
        <v>2.625</v>
      </c>
      <c r="BW237" s="54">
        <f>IF(BV237&lt;2.5,1,IF(BV237&gt;3.5,3,2))</f>
        <v>2</v>
      </c>
      <c r="BX237" s="45">
        <v>1</v>
      </c>
      <c r="BY237" s="45">
        <f>BX237*LOG(BW237)</f>
        <v>0.3010299956639812</v>
      </c>
      <c r="BZ237" s="61" t="s">
        <v>99</v>
      </c>
      <c r="CA237" s="46"/>
      <c r="CB237" s="65">
        <v>2474</v>
      </c>
      <c r="CC237" s="45">
        <v>2</v>
      </c>
      <c r="CD237" s="45">
        <v>2</v>
      </c>
      <c r="CE237" s="45">
        <f t="shared" si="16"/>
        <v>0.6020599913279624</v>
      </c>
      <c r="CG237" s="46"/>
      <c r="CH237" s="66" t="s">
        <v>106</v>
      </c>
      <c r="CI237" s="67">
        <v>3</v>
      </c>
      <c r="CJ237" s="68">
        <v>2</v>
      </c>
      <c r="CK237" s="68">
        <f t="shared" si="17"/>
        <v>0.95424250943932487</v>
      </c>
      <c r="CL237" s="68"/>
      <c r="CM237" s="69" t="s">
        <v>144</v>
      </c>
      <c r="CO237" s="70">
        <f>(SUM(T237,AA237,AI237,AQ237,AY237)/SUM(S237,Z237,AH237,AP237,AX237,BF237))</f>
        <v>1.7777777777777777</v>
      </c>
      <c r="CQ237" s="45">
        <f t="shared" si="19"/>
        <v>0.20637027738125205</v>
      </c>
      <c r="CR237" s="45">
        <f t="shared" si="20"/>
        <v>1.6083119076007948</v>
      </c>
      <c r="CT237" s="71">
        <f t="shared" si="21"/>
        <v>1.3652364401167827</v>
      </c>
    </row>
    <row r="238" spans="1:98" ht="16" hidden="1">
      <c r="A238" s="36">
        <v>236</v>
      </c>
      <c r="B238" s="37"/>
      <c r="C238" s="37" t="s">
        <v>144</v>
      </c>
      <c r="D238" s="37" t="s">
        <v>1200</v>
      </c>
      <c r="E238" s="38" t="s">
        <v>1108</v>
      </c>
      <c r="F238" s="38" t="s">
        <v>1016</v>
      </c>
      <c r="G238" s="38" t="s">
        <v>1109</v>
      </c>
      <c r="H238" s="38" t="s">
        <v>160</v>
      </c>
      <c r="I238" s="72">
        <v>12.5</v>
      </c>
      <c r="J238" s="53"/>
      <c r="K238" s="53"/>
      <c r="L238" s="53"/>
      <c r="M238" s="42">
        <v>1</v>
      </c>
      <c r="N238" s="42">
        <f t="shared" si="0"/>
        <v>0</v>
      </c>
      <c r="O238" s="53"/>
      <c r="P238" s="75" t="s">
        <v>1201</v>
      </c>
      <c r="Q238" s="43">
        <v>18</v>
      </c>
      <c r="R238" s="44">
        <f>IF(Q238="","***",IF(Q238&lt;5,3,IF(Q238&lt;15,2,1)))</f>
        <v>1</v>
      </c>
      <c r="S238" s="45">
        <v>1</v>
      </c>
      <c r="T238" s="45">
        <f t="shared" si="2"/>
        <v>1</v>
      </c>
      <c r="V238" s="46"/>
      <c r="W238" s="58" t="s">
        <v>178</v>
      </c>
      <c r="X238" s="73">
        <v>3.4</v>
      </c>
      <c r="Y238" s="44">
        <f t="shared" si="3"/>
        <v>2</v>
      </c>
      <c r="Z238" s="45">
        <v>1</v>
      </c>
      <c r="AA238" s="45">
        <f t="shared" si="4"/>
        <v>2</v>
      </c>
      <c r="AB238" s="45">
        <v>1</v>
      </c>
      <c r="AD238" s="49" t="s">
        <v>163</v>
      </c>
      <c r="AE238" s="50" t="s">
        <v>146</v>
      </c>
      <c r="AF238" s="50">
        <v>2</v>
      </c>
      <c r="AG238" s="50">
        <v>3</v>
      </c>
      <c r="AH238" s="50">
        <v>2</v>
      </c>
      <c r="AI238" s="50">
        <f t="shared" si="5"/>
        <v>6</v>
      </c>
      <c r="AJ238" s="50">
        <v>1</v>
      </c>
      <c r="AK238" s="51" t="s">
        <v>165</v>
      </c>
      <c r="AL238" s="61">
        <v>54750</v>
      </c>
      <c r="AM238" s="53" t="s">
        <v>88</v>
      </c>
      <c r="AN238" s="42">
        <v>0</v>
      </c>
      <c r="AO238" s="42">
        <v>3</v>
      </c>
      <c r="AP238" s="53">
        <v>2</v>
      </c>
      <c r="AQ238" s="53">
        <f t="shared" si="7"/>
        <v>6</v>
      </c>
      <c r="AR238" s="53"/>
      <c r="AS238" s="55"/>
      <c r="AT238" s="42">
        <v>25</v>
      </c>
      <c r="AU238" s="42" t="s">
        <v>88</v>
      </c>
      <c r="AV238" s="56">
        <v>0</v>
      </c>
      <c r="AW238" s="44">
        <f t="shared" si="8"/>
        <v>2</v>
      </c>
      <c r="AX238" s="42">
        <v>1</v>
      </c>
      <c r="AY238" s="42">
        <f t="shared" si="9"/>
        <v>2</v>
      </c>
      <c r="AZ238" s="42"/>
      <c r="BA238" s="42"/>
      <c r="BB238" s="57" t="s">
        <v>602</v>
      </c>
      <c r="BC238" s="58" t="s">
        <v>603</v>
      </c>
      <c r="BD238" s="58" t="s">
        <v>604</v>
      </c>
      <c r="BE238" s="59">
        <v>2</v>
      </c>
      <c r="BF238" s="58">
        <v>2</v>
      </c>
      <c r="BG238" s="58">
        <f t="shared" si="10"/>
        <v>0.6020599913279624</v>
      </c>
      <c r="BH238" s="58" t="s">
        <v>605</v>
      </c>
      <c r="BI238" s="58" t="s">
        <v>946</v>
      </c>
      <c r="BJ238" s="81" t="s">
        <v>166</v>
      </c>
      <c r="BK238" s="61">
        <v>3</v>
      </c>
      <c r="BL238" s="62">
        <v>1</v>
      </c>
      <c r="BM238" s="62">
        <f t="shared" si="11"/>
        <v>0.47712125471966244</v>
      </c>
      <c r="BN238" s="58" t="s">
        <v>607</v>
      </c>
      <c r="BO238" s="59"/>
      <c r="BP238" s="59">
        <v>50</v>
      </c>
      <c r="BQ238" s="63">
        <f t="shared" si="82"/>
        <v>1</v>
      </c>
      <c r="BR238" s="45">
        <v>1</v>
      </c>
      <c r="BS238" s="45">
        <f t="shared" si="13"/>
        <v>0</v>
      </c>
      <c r="BU238" s="46"/>
      <c r="BV238" s="64">
        <v>2.5</v>
      </c>
      <c r="BW238" s="45"/>
      <c r="BX238" s="45">
        <v>1</v>
      </c>
      <c r="BY238" s="45">
        <f>BX238*LOG(BV238)</f>
        <v>0.3979400086720376</v>
      </c>
      <c r="BZ238" s="61" t="s">
        <v>91</v>
      </c>
      <c r="CA238" s="46"/>
      <c r="CB238" s="65">
        <v>2451</v>
      </c>
      <c r="CC238" s="45">
        <v>2</v>
      </c>
      <c r="CD238" s="45">
        <v>2</v>
      </c>
      <c r="CE238" s="45">
        <f t="shared" si="16"/>
        <v>0.6020599913279624</v>
      </c>
      <c r="CG238" s="46"/>
      <c r="CH238" s="66" t="s">
        <v>106</v>
      </c>
      <c r="CI238" s="67">
        <v>3</v>
      </c>
      <c r="CJ238" s="68">
        <v>1</v>
      </c>
      <c r="CK238" s="68">
        <f t="shared" si="17"/>
        <v>0.47712125471966244</v>
      </c>
      <c r="CL238" s="68"/>
      <c r="CM238" s="69"/>
      <c r="CO238" s="70">
        <f>(SUM(N238,T238,AA238,AI238,AQ238,AY238)/SUM(M238,S238,Z238,AH238,AP238,AX238,BF238))</f>
        <v>1.7</v>
      </c>
      <c r="CQ238" s="45">
        <f t="shared" si="19"/>
        <v>0.31953781259591096</v>
      </c>
      <c r="CR238" s="45">
        <f t="shared" si="20"/>
        <v>2.087073830676065</v>
      </c>
      <c r="CT238" s="71">
        <f t="shared" si="21"/>
        <v>1.6946178074541569</v>
      </c>
    </row>
    <row r="239" spans="1:98" ht="16">
      <c r="A239" s="36">
        <v>237</v>
      </c>
      <c r="B239" s="37"/>
      <c r="C239" s="37"/>
      <c r="D239" s="37"/>
      <c r="E239" s="38" t="s">
        <v>1202</v>
      </c>
      <c r="F239" s="38" t="s">
        <v>483</v>
      </c>
      <c r="G239" s="38" t="s">
        <v>1203</v>
      </c>
      <c r="H239" s="38" t="s">
        <v>286</v>
      </c>
      <c r="I239" s="72">
        <v>7.5</v>
      </c>
      <c r="J239" s="53" t="s">
        <v>88</v>
      </c>
      <c r="K239" s="42">
        <v>0</v>
      </c>
      <c r="L239" s="42">
        <v>2</v>
      </c>
      <c r="M239" s="42">
        <v>1</v>
      </c>
      <c r="N239" s="42">
        <f t="shared" si="0"/>
        <v>2</v>
      </c>
      <c r="O239" s="53"/>
      <c r="P239" s="53"/>
      <c r="Q239" s="43">
        <v>26.5</v>
      </c>
      <c r="R239" s="44">
        <f>IF(Q239="","***",IF(Q239&lt;30,3,IF(Q239&gt;60,1,2)))</f>
        <v>3</v>
      </c>
      <c r="S239" s="45">
        <v>1</v>
      </c>
      <c r="T239" s="45">
        <f t="shared" si="2"/>
        <v>3</v>
      </c>
      <c r="V239" s="46"/>
      <c r="W239" s="58" t="s">
        <v>1204</v>
      </c>
      <c r="X239" s="73">
        <v>3</v>
      </c>
      <c r="Y239" s="44">
        <f t="shared" si="3"/>
        <v>2</v>
      </c>
      <c r="Z239" s="45">
        <v>1</v>
      </c>
      <c r="AA239" s="45">
        <f t="shared" si="4"/>
        <v>2</v>
      </c>
      <c r="AB239" s="45">
        <v>1</v>
      </c>
      <c r="AD239" s="49" t="s">
        <v>288</v>
      </c>
      <c r="AE239" s="50" t="s">
        <v>88</v>
      </c>
      <c r="AF239" s="50">
        <v>0</v>
      </c>
      <c r="AG239" s="50">
        <v>3</v>
      </c>
      <c r="AH239" s="50">
        <v>2</v>
      </c>
      <c r="AI239" s="50">
        <f t="shared" si="5"/>
        <v>6</v>
      </c>
      <c r="AJ239" s="50">
        <v>1</v>
      </c>
      <c r="AK239" s="51" t="s">
        <v>135</v>
      </c>
      <c r="AL239" s="52">
        <v>10969</v>
      </c>
      <c r="AM239" s="53" t="s">
        <v>115</v>
      </c>
      <c r="AN239" s="42">
        <v>1</v>
      </c>
      <c r="AO239" s="54">
        <f>IF(AL239="","***",IF(AL239&gt;15000,3,IF(AL239&lt;1000,1,2)))</f>
        <v>2</v>
      </c>
      <c r="AP239" s="53">
        <v>2</v>
      </c>
      <c r="AQ239" s="53">
        <f t="shared" si="7"/>
        <v>4</v>
      </c>
      <c r="AR239" s="53"/>
      <c r="AS239" s="55"/>
      <c r="AT239" s="42">
        <v>38.5</v>
      </c>
      <c r="AU239" s="42" t="s">
        <v>88</v>
      </c>
      <c r="AV239" s="56">
        <v>0</v>
      </c>
      <c r="AW239" s="44">
        <f t="shared" si="8"/>
        <v>1</v>
      </c>
      <c r="AX239" s="42">
        <v>1</v>
      </c>
      <c r="AY239" s="42">
        <f t="shared" si="9"/>
        <v>1</v>
      </c>
      <c r="AZ239" s="42"/>
      <c r="BA239" s="42"/>
      <c r="BB239" s="57" t="s">
        <v>602</v>
      </c>
      <c r="BC239" s="58" t="s">
        <v>603</v>
      </c>
      <c r="BD239" s="58" t="s">
        <v>604</v>
      </c>
      <c r="BE239" s="59">
        <v>2</v>
      </c>
      <c r="BF239" s="58">
        <v>2</v>
      </c>
      <c r="BG239" s="58">
        <f t="shared" si="10"/>
        <v>0.6020599913279624</v>
      </c>
      <c r="BH239" s="58" t="s">
        <v>605</v>
      </c>
      <c r="BI239" s="58" t="s">
        <v>946</v>
      </c>
      <c r="BJ239" s="81" t="s">
        <v>166</v>
      </c>
      <c r="BK239" s="61">
        <v>3</v>
      </c>
      <c r="BL239" s="62">
        <v>1</v>
      </c>
      <c r="BM239" s="62">
        <f t="shared" si="11"/>
        <v>0.47712125471966244</v>
      </c>
      <c r="BN239" s="58" t="s">
        <v>607</v>
      </c>
      <c r="BO239" s="86"/>
      <c r="BP239" s="86">
        <v>15.25</v>
      </c>
      <c r="BQ239" s="63">
        <f t="shared" si="82"/>
        <v>2</v>
      </c>
      <c r="BR239" s="45">
        <v>1</v>
      </c>
      <c r="BS239" s="45">
        <f t="shared" si="13"/>
        <v>0.3010299956639812</v>
      </c>
      <c r="BU239" s="46"/>
      <c r="BV239" s="64">
        <v>2</v>
      </c>
      <c r="BW239" s="54">
        <f>IF(BV239&lt;2.5,1,IF(BV239&gt;3.5,3,2))</f>
        <v>1</v>
      </c>
      <c r="BX239" s="45">
        <v>1</v>
      </c>
      <c r="BY239" s="45">
        <f>BX239*LOG(BW239)</f>
        <v>0</v>
      </c>
      <c r="BZ239" s="61" t="s">
        <v>91</v>
      </c>
      <c r="CA239" s="46"/>
      <c r="CB239" s="65">
        <v>2439</v>
      </c>
      <c r="CC239" s="45">
        <v>2</v>
      </c>
      <c r="CD239" s="45">
        <v>2</v>
      </c>
      <c r="CE239" s="45">
        <f t="shared" si="16"/>
        <v>0.6020599913279624</v>
      </c>
      <c r="CG239" s="46"/>
      <c r="CH239" s="66" t="s">
        <v>92</v>
      </c>
      <c r="CI239" s="67">
        <v>3</v>
      </c>
      <c r="CJ239" s="68">
        <v>2</v>
      </c>
      <c r="CK239" s="68">
        <f t="shared" si="17"/>
        <v>0.95424250943932487</v>
      </c>
      <c r="CL239" s="68"/>
      <c r="CM239" s="69"/>
      <c r="CO239" s="70">
        <f>(SUM(T239,AA239,AI239,AQ239,AY239)/SUM(S239,Z239,AH239,AP239,AX239,BF239))</f>
        <v>1.7777777777777777</v>
      </c>
      <c r="CQ239" s="45">
        <f t="shared" si="19"/>
        <v>0.32627930471987704</v>
      </c>
      <c r="CR239" s="45">
        <f t="shared" si="20"/>
        <v>2.1197239399504597</v>
      </c>
      <c r="CT239" s="71">
        <f t="shared" si="21"/>
        <v>1.6575912832155</v>
      </c>
    </row>
    <row r="240" spans="1:98" ht="16">
      <c r="A240" s="36">
        <v>238</v>
      </c>
      <c r="B240" s="37"/>
      <c r="C240" s="37"/>
      <c r="D240" s="37"/>
      <c r="E240" s="38" t="s">
        <v>1205</v>
      </c>
      <c r="F240" s="38" t="s">
        <v>237</v>
      </c>
      <c r="G240" s="38" t="s">
        <v>1206</v>
      </c>
      <c r="H240" s="38" t="s">
        <v>177</v>
      </c>
      <c r="I240" s="72">
        <v>18.329999999999998</v>
      </c>
      <c r="J240" s="53" t="s">
        <v>88</v>
      </c>
      <c r="K240" s="42">
        <v>0</v>
      </c>
      <c r="L240" s="42">
        <v>1</v>
      </c>
      <c r="M240" s="42">
        <v>1</v>
      </c>
      <c r="N240" s="42">
        <f t="shared" si="0"/>
        <v>1</v>
      </c>
      <c r="O240" s="53"/>
      <c r="P240" s="53"/>
      <c r="Q240" s="43">
        <v>33.5</v>
      </c>
      <c r="R240" s="44">
        <f>IF(Q240="","***",IF(Q240&lt;30,3,IF(Q240&gt;60,1,2)))</f>
        <v>2</v>
      </c>
      <c r="S240" s="45">
        <v>1</v>
      </c>
      <c r="T240" s="45">
        <f t="shared" si="2"/>
        <v>2</v>
      </c>
      <c r="V240" s="46"/>
      <c r="W240" s="58" t="s">
        <v>1207</v>
      </c>
      <c r="X240" s="73">
        <v>2.2000000000000002</v>
      </c>
      <c r="Y240" s="44">
        <f t="shared" si="3"/>
        <v>3</v>
      </c>
      <c r="Z240" s="45">
        <v>1</v>
      </c>
      <c r="AA240" s="45">
        <f t="shared" si="4"/>
        <v>3</v>
      </c>
      <c r="AB240" s="45">
        <v>1</v>
      </c>
      <c r="AD240" s="49" t="s">
        <v>163</v>
      </c>
      <c r="AE240" s="50" t="s">
        <v>146</v>
      </c>
      <c r="AF240" s="50">
        <v>2</v>
      </c>
      <c r="AG240" s="50">
        <v>3</v>
      </c>
      <c r="AH240" s="50">
        <v>2</v>
      </c>
      <c r="AI240" s="50">
        <f t="shared" si="5"/>
        <v>6</v>
      </c>
      <c r="AJ240" s="50" t="s">
        <v>645</v>
      </c>
      <c r="AK240" s="51" t="s">
        <v>240</v>
      </c>
      <c r="AL240" s="80">
        <v>38487</v>
      </c>
      <c r="AM240" s="53" t="s">
        <v>146</v>
      </c>
      <c r="AN240" s="42">
        <v>2</v>
      </c>
      <c r="AO240" s="54">
        <f>IF(AL240="","***",IF(AL240&gt;15000,3,IF(AL240&lt;1000,1,2)))</f>
        <v>3</v>
      </c>
      <c r="AP240" s="53">
        <v>2</v>
      </c>
      <c r="AQ240" s="53">
        <f t="shared" si="7"/>
        <v>6</v>
      </c>
      <c r="AR240" s="53"/>
      <c r="AS240" s="55"/>
      <c r="AT240" s="42">
        <v>51.6</v>
      </c>
      <c r="AU240" s="42" t="s">
        <v>88</v>
      </c>
      <c r="AV240" s="56">
        <v>0</v>
      </c>
      <c r="AW240" s="44">
        <f t="shared" si="8"/>
        <v>1</v>
      </c>
      <c r="AX240" s="42">
        <v>1</v>
      </c>
      <c r="AY240" s="42">
        <f t="shared" si="9"/>
        <v>1</v>
      </c>
      <c r="AZ240" s="42"/>
      <c r="BA240" s="42"/>
      <c r="BB240" s="57" t="s">
        <v>602</v>
      </c>
      <c r="BC240" s="58" t="s">
        <v>603</v>
      </c>
      <c r="BD240" s="58" t="s">
        <v>604</v>
      </c>
      <c r="BE240" s="59">
        <v>2</v>
      </c>
      <c r="BF240" s="58">
        <v>2</v>
      </c>
      <c r="BG240" s="58">
        <f t="shared" si="10"/>
        <v>0.6020599913279624</v>
      </c>
      <c r="BH240" s="58" t="s">
        <v>605</v>
      </c>
      <c r="BI240" s="58" t="s">
        <v>1208</v>
      </c>
      <c r="BJ240" s="81" t="s">
        <v>90</v>
      </c>
      <c r="BK240" s="61">
        <v>1</v>
      </c>
      <c r="BL240" s="62">
        <v>1</v>
      </c>
      <c r="BM240" s="62">
        <f t="shared" si="11"/>
        <v>0</v>
      </c>
      <c r="BN240" s="58" t="s">
        <v>607</v>
      </c>
      <c r="BO240" s="59"/>
      <c r="BP240" s="59">
        <v>30.5</v>
      </c>
      <c r="BQ240" s="63">
        <f t="shared" si="82"/>
        <v>1</v>
      </c>
      <c r="BR240" s="45">
        <v>1</v>
      </c>
      <c r="BS240" s="45">
        <f t="shared" si="13"/>
        <v>0</v>
      </c>
      <c r="BU240" s="46"/>
      <c r="BV240" s="64">
        <v>1.875</v>
      </c>
      <c r="BW240" s="54">
        <f>IF(BV240&lt;2.5,1,IF(BV240&gt;3.5,3,2))</f>
        <v>1</v>
      </c>
      <c r="BX240" s="45">
        <v>1</v>
      </c>
      <c r="BY240" s="45">
        <f>BX240*LOG(BW240)</f>
        <v>0</v>
      </c>
      <c r="BZ240" s="61" t="s">
        <v>99</v>
      </c>
      <c r="CA240" s="46"/>
      <c r="CB240" s="65">
        <v>2434</v>
      </c>
      <c r="CC240" s="45">
        <v>2</v>
      </c>
      <c r="CD240" s="45">
        <v>2</v>
      </c>
      <c r="CE240" s="45">
        <f t="shared" si="16"/>
        <v>0.6020599913279624</v>
      </c>
      <c r="CG240" s="46"/>
      <c r="CH240" s="66">
        <v>2</v>
      </c>
      <c r="CI240" s="67">
        <v>3</v>
      </c>
      <c r="CJ240" s="68">
        <v>2</v>
      </c>
      <c r="CK240" s="68">
        <f t="shared" si="17"/>
        <v>0.95424250943932487</v>
      </c>
      <c r="CL240" s="68"/>
      <c r="CM240" s="69"/>
      <c r="CO240" s="70">
        <f>(SUM(T240,AA240,AI240,AQ240,AY240)/SUM(S240,Z240,AH240,AP240,AX240,BF240))</f>
        <v>2</v>
      </c>
      <c r="CQ240" s="45">
        <f t="shared" si="19"/>
        <v>0.23981805467724998</v>
      </c>
      <c r="CR240" s="45">
        <f t="shared" si="20"/>
        <v>1.7370729389807016</v>
      </c>
      <c r="CT240" s="71">
        <f t="shared" si="21"/>
        <v>1.2422868096287785</v>
      </c>
    </row>
    <row r="241" spans="1:98" ht="16">
      <c r="A241" s="36">
        <v>239</v>
      </c>
      <c r="B241" s="37"/>
      <c r="C241" s="37"/>
      <c r="D241" s="37"/>
      <c r="E241" s="38" t="s">
        <v>1209</v>
      </c>
      <c r="F241" s="38" t="s">
        <v>395</v>
      </c>
      <c r="G241" s="38" t="s">
        <v>1210</v>
      </c>
      <c r="H241" s="38" t="s">
        <v>83</v>
      </c>
      <c r="I241" s="72">
        <v>7.2</v>
      </c>
      <c r="J241" s="53" t="s">
        <v>115</v>
      </c>
      <c r="K241" s="42">
        <v>1</v>
      </c>
      <c r="L241" s="42">
        <v>2</v>
      </c>
      <c r="M241" s="42">
        <v>1</v>
      </c>
      <c r="N241" s="42">
        <f t="shared" si="0"/>
        <v>2</v>
      </c>
      <c r="O241" s="53"/>
      <c r="P241" s="53" t="s">
        <v>769</v>
      </c>
      <c r="Q241" s="43">
        <v>10.33333333</v>
      </c>
      <c r="R241" s="44">
        <f>IF(Q241="","***",IF(Q241&lt;30,3,IF(Q241&gt;60,1,2)))</f>
        <v>3</v>
      </c>
      <c r="S241" s="45">
        <v>1</v>
      </c>
      <c r="T241" s="45">
        <f t="shared" si="2"/>
        <v>3</v>
      </c>
      <c r="V241" s="46"/>
      <c r="W241" s="58" t="s">
        <v>195</v>
      </c>
      <c r="X241" s="73">
        <v>2.7</v>
      </c>
      <c r="Y241" s="44">
        <f t="shared" si="3"/>
        <v>2</v>
      </c>
      <c r="Z241" s="45">
        <v>1</v>
      </c>
      <c r="AA241" s="45">
        <f t="shared" si="4"/>
        <v>2</v>
      </c>
      <c r="AB241" s="45">
        <v>1</v>
      </c>
      <c r="AD241" s="49" t="s">
        <v>87</v>
      </c>
      <c r="AE241" s="50" t="s">
        <v>88</v>
      </c>
      <c r="AF241" s="50">
        <v>0</v>
      </c>
      <c r="AG241" s="50">
        <v>3</v>
      </c>
      <c r="AH241" s="50">
        <v>2</v>
      </c>
      <c r="AI241" s="50">
        <f t="shared" si="5"/>
        <v>6</v>
      </c>
      <c r="AJ241" s="50">
        <v>1</v>
      </c>
      <c r="AK241" s="51" t="s">
        <v>89</v>
      </c>
      <c r="AL241" s="61">
        <v>2225</v>
      </c>
      <c r="AM241" s="53" t="s">
        <v>115</v>
      </c>
      <c r="AN241" s="42">
        <v>1</v>
      </c>
      <c r="AO241" s="54">
        <f>IF(AL241="","***",IF(AL241&gt;15000,3,IF(AL241&lt;1000,1,2)))</f>
        <v>2</v>
      </c>
      <c r="AP241" s="53">
        <v>2</v>
      </c>
      <c r="AQ241" s="53">
        <f t="shared" si="7"/>
        <v>4</v>
      </c>
      <c r="AR241" s="53"/>
      <c r="AS241" s="55"/>
      <c r="AT241" s="42">
        <v>16</v>
      </c>
      <c r="AU241" s="42" t="s">
        <v>88</v>
      </c>
      <c r="AV241" s="56">
        <v>0</v>
      </c>
      <c r="AW241" s="44">
        <f t="shared" si="8"/>
        <v>2</v>
      </c>
      <c r="AX241" s="42">
        <v>1</v>
      </c>
      <c r="AY241" s="42">
        <f t="shared" si="9"/>
        <v>2</v>
      </c>
      <c r="AZ241" s="42"/>
      <c r="BA241" s="42"/>
      <c r="BB241" s="57" t="s">
        <v>602</v>
      </c>
      <c r="BC241" s="58" t="s">
        <v>603</v>
      </c>
      <c r="BD241" s="58" t="s">
        <v>609</v>
      </c>
      <c r="BE241" s="59">
        <v>1</v>
      </c>
      <c r="BF241" s="58">
        <v>2</v>
      </c>
      <c r="BG241" s="58">
        <f t="shared" si="10"/>
        <v>0</v>
      </c>
      <c r="BH241" s="58" t="s">
        <v>605</v>
      </c>
      <c r="BI241" s="58" t="s">
        <v>610</v>
      </c>
      <c r="BJ241" s="60" t="s">
        <v>90</v>
      </c>
      <c r="BK241" s="61">
        <v>1</v>
      </c>
      <c r="BL241" s="62">
        <v>1</v>
      </c>
      <c r="BM241" s="62">
        <f t="shared" si="11"/>
        <v>0</v>
      </c>
      <c r="BN241" s="58" t="s">
        <v>607</v>
      </c>
      <c r="BO241" s="59"/>
      <c r="BP241" s="59">
        <v>7</v>
      </c>
      <c r="BQ241" s="63">
        <f t="shared" si="82"/>
        <v>3</v>
      </c>
      <c r="BR241" s="45">
        <v>1</v>
      </c>
      <c r="BS241" s="45">
        <f t="shared" si="13"/>
        <v>0.47712125471966244</v>
      </c>
      <c r="BU241" s="46"/>
      <c r="BV241" s="64">
        <v>2</v>
      </c>
      <c r="BW241" s="54">
        <f>IF(BV241&lt;2.5,1,IF(BV241&gt;3.5,3,2))</f>
        <v>1</v>
      </c>
      <c r="BX241" s="45">
        <v>1</v>
      </c>
      <c r="BY241" s="45">
        <f>BX241*LOG(BW241)</f>
        <v>0</v>
      </c>
      <c r="BZ241" s="61" t="s">
        <v>273</v>
      </c>
      <c r="CA241" s="46"/>
      <c r="CB241" s="65">
        <v>2379</v>
      </c>
      <c r="CC241" s="45">
        <v>2</v>
      </c>
      <c r="CD241" s="45">
        <v>2</v>
      </c>
      <c r="CE241" s="45">
        <f t="shared" si="16"/>
        <v>0.6020599913279624</v>
      </c>
      <c r="CG241" s="46"/>
      <c r="CH241" s="66" t="s">
        <v>92</v>
      </c>
      <c r="CI241" s="67">
        <v>3</v>
      </c>
      <c r="CJ241" s="68">
        <v>2</v>
      </c>
      <c r="CK241" s="68">
        <f t="shared" si="17"/>
        <v>0.95424250943932487</v>
      </c>
      <c r="CL241" s="78"/>
      <c r="CM241" s="79" t="s">
        <v>144</v>
      </c>
      <c r="CO241" s="70">
        <f>(SUM(T241,AA241,AI241,AQ241,AY241)/SUM(S241,Z241,AH241,AP241,AX241,BF241))</f>
        <v>1.8888888888888888</v>
      </c>
      <c r="CQ241" s="45">
        <f t="shared" si="19"/>
        <v>0.22593597283188332</v>
      </c>
      <c r="CR241" s="45">
        <f t="shared" si="20"/>
        <v>1.682426006079768</v>
      </c>
      <c r="CT241" s="71">
        <f t="shared" si="21"/>
        <v>1.3039452269971126</v>
      </c>
    </row>
    <row r="242" spans="1:98" ht="16">
      <c r="A242" s="36">
        <v>240</v>
      </c>
      <c r="B242" s="37"/>
      <c r="C242" s="37"/>
      <c r="D242" s="37"/>
      <c r="E242" s="38" t="s">
        <v>1211</v>
      </c>
      <c r="F242" s="38" t="s">
        <v>343</v>
      </c>
      <c r="G242" s="38" t="s">
        <v>1212</v>
      </c>
      <c r="H242" s="38" t="s">
        <v>152</v>
      </c>
      <c r="I242" s="72">
        <v>12</v>
      </c>
      <c r="J242" s="53" t="s">
        <v>88</v>
      </c>
      <c r="K242" s="42">
        <v>0</v>
      </c>
      <c r="L242" s="42">
        <v>2</v>
      </c>
      <c r="M242" s="42">
        <v>1</v>
      </c>
      <c r="N242" s="42">
        <f t="shared" si="0"/>
        <v>2</v>
      </c>
      <c r="O242" s="214" t="s">
        <v>1125</v>
      </c>
      <c r="P242" s="53" t="s">
        <v>652</v>
      </c>
      <c r="Q242" s="43">
        <v>60</v>
      </c>
      <c r="R242" s="44">
        <f>IF(Q242="","***",IF(Q242&lt;30,3,IF(Q242&gt;60,1,2)))</f>
        <v>2</v>
      </c>
      <c r="S242" s="45">
        <v>1</v>
      </c>
      <c r="T242" s="45">
        <f t="shared" si="2"/>
        <v>2</v>
      </c>
      <c r="V242" s="46"/>
      <c r="W242" s="58" t="s">
        <v>1213</v>
      </c>
      <c r="X242" s="73">
        <v>3.3</v>
      </c>
      <c r="Y242" s="44">
        <f t="shared" si="3"/>
        <v>2</v>
      </c>
      <c r="Z242" s="45">
        <v>1</v>
      </c>
      <c r="AA242" s="45">
        <f t="shared" si="4"/>
        <v>2</v>
      </c>
      <c r="AB242" s="45">
        <v>1</v>
      </c>
      <c r="AD242" s="49" t="s">
        <v>346</v>
      </c>
      <c r="AE242" s="50" t="s">
        <v>88</v>
      </c>
      <c r="AF242" s="50">
        <v>0</v>
      </c>
      <c r="AG242" s="50">
        <v>2</v>
      </c>
      <c r="AH242" s="50">
        <v>2</v>
      </c>
      <c r="AI242" s="50">
        <f t="shared" si="5"/>
        <v>4</v>
      </c>
      <c r="AJ242" s="50">
        <v>1</v>
      </c>
      <c r="AK242" s="51" t="s">
        <v>156</v>
      </c>
      <c r="AL242" s="61">
        <v>539520</v>
      </c>
      <c r="AM242" s="53" t="s">
        <v>146</v>
      </c>
      <c r="AN242" s="42">
        <v>2</v>
      </c>
      <c r="AO242" s="54">
        <f>IF(AL242="","***",IF(AL242&gt;15000,3,IF(AL242&lt;1000,1,2)))</f>
        <v>3</v>
      </c>
      <c r="AP242" s="53">
        <v>2</v>
      </c>
      <c r="AQ242" s="53">
        <f t="shared" si="7"/>
        <v>6</v>
      </c>
      <c r="AR242" s="53"/>
      <c r="AS242" s="55"/>
      <c r="AT242" s="53">
        <v>47.5</v>
      </c>
      <c r="AU242" s="42" t="s">
        <v>115</v>
      </c>
      <c r="AV242" s="44">
        <v>1</v>
      </c>
      <c r="AW242" s="44">
        <f t="shared" si="8"/>
        <v>1</v>
      </c>
      <c r="AX242" s="42">
        <v>1</v>
      </c>
      <c r="AY242" s="42">
        <f t="shared" si="9"/>
        <v>1</v>
      </c>
      <c r="AZ242" s="42" t="s">
        <v>1214</v>
      </c>
      <c r="BA242" s="53" t="s">
        <v>1215</v>
      </c>
      <c r="BB242" s="57" t="s">
        <v>602</v>
      </c>
      <c r="BC242" s="58" t="s">
        <v>603</v>
      </c>
      <c r="BD242" s="58" t="s">
        <v>609</v>
      </c>
      <c r="BE242" s="59">
        <v>1</v>
      </c>
      <c r="BF242" s="58">
        <v>2</v>
      </c>
      <c r="BG242" s="58">
        <f t="shared" si="10"/>
        <v>0</v>
      </c>
      <c r="BH242" s="58" t="s">
        <v>605</v>
      </c>
      <c r="BI242" s="58" t="s">
        <v>610</v>
      </c>
      <c r="BJ242" s="60" t="s">
        <v>90</v>
      </c>
      <c r="BK242" s="61">
        <v>1</v>
      </c>
      <c r="BL242" s="62">
        <v>1</v>
      </c>
      <c r="BM242" s="62">
        <f t="shared" si="11"/>
        <v>0</v>
      </c>
      <c r="BN242" s="58" t="s">
        <v>607</v>
      </c>
      <c r="BO242" s="59"/>
      <c r="BP242" s="59">
        <v>15.5</v>
      </c>
      <c r="BQ242" s="63">
        <f t="shared" si="82"/>
        <v>2</v>
      </c>
      <c r="BR242" s="45">
        <v>1</v>
      </c>
      <c r="BS242" s="45">
        <f t="shared" si="13"/>
        <v>0.3010299956639812</v>
      </c>
      <c r="BU242" s="46"/>
      <c r="BV242" s="64">
        <v>2</v>
      </c>
      <c r="BW242" s="54">
        <f>IF(BV242&lt;2.5,1,IF(BV242&gt;3.5,3,2))</f>
        <v>1</v>
      </c>
      <c r="BX242" s="45">
        <v>1</v>
      </c>
      <c r="BY242" s="45">
        <f>BX242*LOG(BW242)</f>
        <v>0</v>
      </c>
      <c r="BZ242" s="61" t="s">
        <v>91</v>
      </c>
      <c r="CA242" s="46"/>
      <c r="CB242" s="65">
        <v>2379</v>
      </c>
      <c r="CC242" s="45">
        <v>2</v>
      </c>
      <c r="CD242" s="45">
        <v>2</v>
      </c>
      <c r="CE242" s="45">
        <f t="shared" si="16"/>
        <v>0.6020599913279624</v>
      </c>
      <c r="CG242" s="46"/>
      <c r="CH242" s="66" t="s">
        <v>250</v>
      </c>
      <c r="CI242" s="67">
        <v>3</v>
      </c>
      <c r="CJ242" s="68">
        <v>2</v>
      </c>
      <c r="CK242" s="68">
        <f t="shared" si="17"/>
        <v>0.95424250943932487</v>
      </c>
      <c r="CL242" s="68"/>
      <c r="CM242" s="69"/>
      <c r="CO242" s="70">
        <f>(SUM(T242,AA242,AI242,AQ242,AY242)/SUM(S242,Z242,AH242,AP242,AX242,BF242))</f>
        <v>1.6666666666666667</v>
      </c>
      <c r="CQ242" s="45">
        <f t="shared" si="19"/>
        <v>0.20637027738125205</v>
      </c>
      <c r="CR242" s="45">
        <f t="shared" si="20"/>
        <v>1.6083119076007948</v>
      </c>
      <c r="CT242" s="71">
        <f t="shared" si="21"/>
        <v>1.4655446614507166</v>
      </c>
    </row>
    <row r="243" spans="1:98" ht="16">
      <c r="A243" s="36">
        <v>241</v>
      </c>
      <c r="B243" s="37"/>
      <c r="C243" s="37"/>
      <c r="D243" s="37"/>
      <c r="E243" s="38" t="s">
        <v>1216</v>
      </c>
      <c r="F243" s="38" t="s">
        <v>444</v>
      </c>
      <c r="G243" s="38" t="s">
        <v>1217</v>
      </c>
      <c r="H243" s="38" t="s">
        <v>152</v>
      </c>
      <c r="I243" s="72">
        <v>6.5</v>
      </c>
      <c r="J243" s="53" t="s">
        <v>88</v>
      </c>
      <c r="K243" s="42">
        <v>0</v>
      </c>
      <c r="L243" s="42">
        <v>2</v>
      </c>
      <c r="M243" s="42">
        <v>1</v>
      </c>
      <c r="N243" s="42">
        <f t="shared" si="0"/>
        <v>2</v>
      </c>
      <c r="O243" s="214" t="s">
        <v>1218</v>
      </c>
      <c r="P243" s="53" t="s">
        <v>652</v>
      </c>
      <c r="Q243" s="43">
        <v>13</v>
      </c>
      <c r="R243" s="44">
        <f>IF(Q243="","***",IF(Q243&lt;30,3,IF(Q243&gt;60,1,2)))</f>
        <v>3</v>
      </c>
      <c r="S243" s="45">
        <v>1</v>
      </c>
      <c r="T243" s="45">
        <f t="shared" si="2"/>
        <v>3</v>
      </c>
      <c r="V243" s="46"/>
      <c r="W243" s="58" t="s">
        <v>287</v>
      </c>
      <c r="X243" s="73">
        <v>3.5</v>
      </c>
      <c r="Y243" s="44">
        <f t="shared" si="3"/>
        <v>2</v>
      </c>
      <c r="Z243" s="45">
        <v>1</v>
      </c>
      <c r="AA243" s="45">
        <f t="shared" si="4"/>
        <v>2</v>
      </c>
      <c r="AB243" s="45">
        <v>1</v>
      </c>
      <c r="AD243" s="49" t="s">
        <v>155</v>
      </c>
      <c r="AE243" s="50" t="s">
        <v>88</v>
      </c>
      <c r="AF243" s="50">
        <v>0</v>
      </c>
      <c r="AG243" s="50">
        <v>2</v>
      </c>
      <c r="AH243" s="50">
        <v>2</v>
      </c>
      <c r="AI243" s="50">
        <f t="shared" si="5"/>
        <v>4</v>
      </c>
      <c r="AJ243" s="50">
        <v>1</v>
      </c>
      <c r="AK243" s="51" t="s">
        <v>156</v>
      </c>
      <c r="AL243" s="61">
        <v>539520</v>
      </c>
      <c r="AM243" s="53" t="s">
        <v>146</v>
      </c>
      <c r="AN243" s="42">
        <v>2</v>
      </c>
      <c r="AO243" s="54">
        <f>IF(AL243="","***",IF(AL243&gt;15000,3,IF(AL243&lt;1000,1,2)))</f>
        <v>3</v>
      </c>
      <c r="AP243" s="53">
        <v>2</v>
      </c>
      <c r="AQ243" s="53">
        <f t="shared" si="7"/>
        <v>6</v>
      </c>
      <c r="AR243" s="53"/>
      <c r="AS243" s="55"/>
      <c r="AT243" s="53">
        <v>28.65</v>
      </c>
      <c r="AU243" s="42" t="s">
        <v>146</v>
      </c>
      <c r="AV243" s="44">
        <v>2</v>
      </c>
      <c r="AW243" s="44">
        <f t="shared" si="8"/>
        <v>2</v>
      </c>
      <c r="AX243" s="42">
        <v>1</v>
      </c>
      <c r="AY243" s="42">
        <f t="shared" si="9"/>
        <v>2</v>
      </c>
      <c r="AZ243" s="42" t="s">
        <v>1214</v>
      </c>
      <c r="BA243" s="53" t="s">
        <v>1219</v>
      </c>
      <c r="BB243" s="57" t="s">
        <v>602</v>
      </c>
      <c r="BC243" s="58" t="s">
        <v>603</v>
      </c>
      <c r="BD243" s="58" t="s">
        <v>609</v>
      </c>
      <c r="BE243" s="59">
        <v>1</v>
      </c>
      <c r="BF243" s="58">
        <v>2</v>
      </c>
      <c r="BG243" s="58">
        <f t="shared" si="10"/>
        <v>0</v>
      </c>
      <c r="BH243" s="58" t="s">
        <v>605</v>
      </c>
      <c r="BI243" s="58" t="s">
        <v>610</v>
      </c>
      <c r="BJ243" s="60" t="s">
        <v>90</v>
      </c>
      <c r="BK243" s="61">
        <v>1</v>
      </c>
      <c r="BL243" s="62">
        <v>1</v>
      </c>
      <c r="BM243" s="62">
        <f t="shared" si="11"/>
        <v>0</v>
      </c>
      <c r="BN243" s="58" t="s">
        <v>607</v>
      </c>
      <c r="BO243" s="59"/>
      <c r="BP243" s="59">
        <v>15.5</v>
      </c>
      <c r="BQ243" s="63">
        <f t="shared" si="82"/>
        <v>2</v>
      </c>
      <c r="BR243" s="45">
        <v>1</v>
      </c>
      <c r="BS243" s="45">
        <f t="shared" si="13"/>
        <v>0.3010299956639812</v>
      </c>
      <c r="BU243" s="46"/>
      <c r="BV243" s="64">
        <v>2.625</v>
      </c>
      <c r="BW243" s="54">
        <f>IF(BV243&lt;2.5,1,IF(BV243&gt;3.5,3,2))</f>
        <v>2</v>
      </c>
      <c r="BX243" s="45">
        <v>1</v>
      </c>
      <c r="BY243" s="45">
        <f>BX243*LOG(BW243)</f>
        <v>0.3010299956639812</v>
      </c>
      <c r="BZ243" s="61" t="s">
        <v>99</v>
      </c>
      <c r="CA243" s="46"/>
      <c r="CB243" s="65">
        <v>2360</v>
      </c>
      <c r="CC243" s="45">
        <v>2</v>
      </c>
      <c r="CD243" s="45">
        <v>2</v>
      </c>
      <c r="CE243" s="45">
        <f t="shared" si="16"/>
        <v>0.6020599913279624</v>
      </c>
      <c r="CG243" s="46"/>
      <c r="CH243" s="66" t="s">
        <v>92</v>
      </c>
      <c r="CI243" s="67">
        <v>3</v>
      </c>
      <c r="CJ243" s="68">
        <v>2</v>
      </c>
      <c r="CK243" s="68">
        <f t="shared" si="17"/>
        <v>0.95424250943932487</v>
      </c>
      <c r="CL243" s="78"/>
      <c r="CM243" s="79" t="s">
        <v>144</v>
      </c>
      <c r="CO243" s="70">
        <f>(SUM(T243,AA243,AI243,AQ243,AY243)/SUM(S243,Z243,AH243,AP243,AX243,BF243))</f>
        <v>1.8888888888888888</v>
      </c>
      <c r="CQ243" s="45">
        <f t="shared" si="19"/>
        <v>0.23981805467724998</v>
      </c>
      <c r="CR243" s="45">
        <f t="shared" si="20"/>
        <v>1.7370729389807016</v>
      </c>
      <c r="CT243" s="71">
        <f t="shared" si="21"/>
        <v>1.333358323412059</v>
      </c>
    </row>
    <row r="244" spans="1:98" ht="16" hidden="1">
      <c r="A244" s="36">
        <v>242</v>
      </c>
      <c r="B244" s="37"/>
      <c r="C244" s="37" t="s">
        <v>144</v>
      </c>
      <c r="D244" s="37" t="s">
        <v>686</v>
      </c>
      <c r="E244" s="38" t="s">
        <v>1220</v>
      </c>
      <c r="F244" s="38" t="s">
        <v>429</v>
      </c>
      <c r="G244" s="38" t="s">
        <v>688</v>
      </c>
      <c r="H244" s="38" t="s">
        <v>152</v>
      </c>
      <c r="I244" s="87"/>
      <c r="J244" s="53"/>
      <c r="K244" s="53"/>
      <c r="L244" s="53"/>
      <c r="M244" s="42">
        <v>1</v>
      </c>
      <c r="N244" s="42">
        <f t="shared" si="0"/>
        <v>0</v>
      </c>
      <c r="O244" s="53"/>
      <c r="P244" s="53"/>
      <c r="Q244" s="43"/>
      <c r="R244" s="44" t="str">
        <f>IF(Q244="","***",IF(Q244&lt;5,3,IF(Q244&lt;15,2,1)))</f>
        <v>***</v>
      </c>
      <c r="S244" s="45">
        <v>1</v>
      </c>
      <c r="T244" s="45" t="e">
        <f t="shared" si="2"/>
        <v>#VALUE!</v>
      </c>
      <c r="V244" s="46"/>
      <c r="W244" s="58" t="s">
        <v>178</v>
      </c>
      <c r="X244" s="73">
        <v>3.4</v>
      </c>
      <c r="Y244" s="44">
        <f t="shared" si="3"/>
        <v>2</v>
      </c>
      <c r="Z244" s="45">
        <v>1</v>
      </c>
      <c r="AA244" s="45">
        <f t="shared" si="4"/>
        <v>2</v>
      </c>
      <c r="AB244" s="45">
        <v>1</v>
      </c>
      <c r="AD244" s="49" t="s">
        <v>1221</v>
      </c>
      <c r="AE244" s="50" t="s">
        <v>88</v>
      </c>
      <c r="AF244" s="50">
        <v>0</v>
      </c>
      <c r="AG244" s="50">
        <v>3</v>
      </c>
      <c r="AH244" s="50">
        <v>2</v>
      </c>
      <c r="AI244" s="50">
        <f t="shared" si="5"/>
        <v>6</v>
      </c>
      <c r="AJ244" s="50">
        <v>1</v>
      </c>
      <c r="AK244" s="51" t="s">
        <v>135</v>
      </c>
      <c r="AL244" s="61"/>
      <c r="AM244" s="53"/>
      <c r="AN244" s="42"/>
      <c r="AO244" s="42"/>
      <c r="AP244" s="53">
        <v>2</v>
      </c>
      <c r="AQ244" s="53">
        <f t="shared" si="7"/>
        <v>0</v>
      </c>
      <c r="AR244" s="53"/>
      <c r="AS244" s="55"/>
      <c r="AT244" s="89"/>
      <c r="AU244" s="89"/>
      <c r="AV244" s="44"/>
      <c r="AW244" s="44" t="str">
        <f t="shared" si="8"/>
        <v>***</v>
      </c>
      <c r="AX244" s="42">
        <v>1</v>
      </c>
      <c r="AY244" s="42" t="e">
        <f t="shared" si="9"/>
        <v>#VALUE!</v>
      </c>
      <c r="AZ244" s="89"/>
      <c r="BA244" s="89"/>
      <c r="BB244" s="57"/>
      <c r="BC244" s="58"/>
      <c r="BD244" s="58"/>
      <c r="BE244" s="58"/>
      <c r="BF244" s="58">
        <v>2</v>
      </c>
      <c r="BG244" s="58" t="e">
        <f t="shared" si="10"/>
        <v>#NUM!</v>
      </c>
      <c r="BH244" s="58" t="s">
        <v>605</v>
      </c>
      <c r="BI244" s="58"/>
      <c r="BJ244" s="60" t="s">
        <v>90</v>
      </c>
      <c r="BK244" s="61">
        <v>1</v>
      </c>
      <c r="BL244" s="62">
        <v>1</v>
      </c>
      <c r="BM244" s="62">
        <f t="shared" si="11"/>
        <v>0</v>
      </c>
      <c r="BN244" s="58" t="s">
        <v>607</v>
      </c>
      <c r="BO244" s="59"/>
      <c r="BP244" s="59"/>
      <c r="BQ244" s="90"/>
      <c r="BR244" s="45">
        <v>1</v>
      </c>
      <c r="BS244" s="45" t="e">
        <f t="shared" si="13"/>
        <v>#NUM!</v>
      </c>
      <c r="BU244" s="46"/>
      <c r="BV244" s="64"/>
      <c r="BW244" s="45"/>
      <c r="BX244" s="45">
        <v>1</v>
      </c>
      <c r="BY244" s="45" t="e">
        <f>BX244*LOG(BV244)</f>
        <v>#NUM!</v>
      </c>
      <c r="BZ244" s="61"/>
      <c r="CA244" s="46"/>
      <c r="CB244" s="65">
        <v>2357</v>
      </c>
      <c r="CC244" s="45">
        <v>2</v>
      </c>
      <c r="CD244" s="45">
        <v>2</v>
      </c>
      <c r="CE244" s="45">
        <f t="shared" si="16"/>
        <v>0.6020599913279624</v>
      </c>
      <c r="CG244" s="46"/>
      <c r="CH244" s="66" t="s">
        <v>137</v>
      </c>
      <c r="CI244" s="67">
        <v>2</v>
      </c>
      <c r="CJ244" s="68">
        <v>1</v>
      </c>
      <c r="CK244" s="68">
        <f t="shared" si="17"/>
        <v>0.3010299956639812</v>
      </c>
      <c r="CL244" s="68"/>
      <c r="CM244" s="69"/>
      <c r="CO244" s="70" t="e">
        <f>(SUM(N244,T244,AA244,AI244,AQ244,AY244)/SUM(M244,S244,Z244,AH244,AP244,AX244,BF244))</f>
        <v>#VALUE!</v>
      </c>
      <c r="CQ244" s="45" t="e">
        <f t="shared" si="19"/>
        <v>#NUM!</v>
      </c>
      <c r="CR244" s="45" t="e">
        <f t="shared" si="20"/>
        <v>#NUM!</v>
      </c>
      <c r="CT244" s="71" t="e">
        <f t="shared" si="21"/>
        <v>#VALUE!</v>
      </c>
    </row>
    <row r="245" spans="1:98" ht="16">
      <c r="A245" s="36">
        <v>243</v>
      </c>
      <c r="B245" s="37"/>
      <c r="C245" s="37"/>
      <c r="D245" s="37"/>
      <c r="E245" s="38" t="s">
        <v>1222</v>
      </c>
      <c r="F245" s="38" t="s">
        <v>463</v>
      </c>
      <c r="G245" s="38" t="s">
        <v>1223</v>
      </c>
      <c r="H245" s="38" t="s">
        <v>184</v>
      </c>
      <c r="I245" s="72">
        <v>5</v>
      </c>
      <c r="J245" s="53" t="s">
        <v>88</v>
      </c>
      <c r="K245" s="42">
        <v>0</v>
      </c>
      <c r="L245" s="42">
        <v>2</v>
      </c>
      <c r="M245" s="42">
        <v>1</v>
      </c>
      <c r="N245" s="42">
        <f t="shared" si="0"/>
        <v>2</v>
      </c>
      <c r="O245" s="214" t="s">
        <v>1224</v>
      </c>
      <c r="P245" s="53" t="s">
        <v>652</v>
      </c>
      <c r="Q245" s="43">
        <v>6</v>
      </c>
      <c r="R245" s="44">
        <f>IF(Q245="","***",IF(Q245&lt;30,3,IF(Q245&gt;60,1,2)))</f>
        <v>3</v>
      </c>
      <c r="S245" s="45">
        <v>1</v>
      </c>
      <c r="T245" s="45">
        <f t="shared" si="2"/>
        <v>3</v>
      </c>
      <c r="V245" s="46"/>
      <c r="W245" s="58" t="s">
        <v>465</v>
      </c>
      <c r="X245" s="73">
        <v>3.3</v>
      </c>
      <c r="Y245" s="44">
        <f t="shared" si="3"/>
        <v>2</v>
      </c>
      <c r="Z245" s="45">
        <v>1</v>
      </c>
      <c r="AA245" s="45">
        <f t="shared" si="4"/>
        <v>2</v>
      </c>
      <c r="AB245" s="45">
        <v>1</v>
      </c>
      <c r="AD245" s="49" t="s">
        <v>163</v>
      </c>
      <c r="AE245" s="50" t="s">
        <v>146</v>
      </c>
      <c r="AF245" s="50">
        <v>2</v>
      </c>
      <c r="AG245" s="50">
        <v>3</v>
      </c>
      <c r="AH245" s="50">
        <v>2</v>
      </c>
      <c r="AI245" s="50">
        <f t="shared" si="5"/>
        <v>6</v>
      </c>
      <c r="AJ245" s="50" t="s">
        <v>645</v>
      </c>
      <c r="AK245" s="51" t="s">
        <v>186</v>
      </c>
      <c r="AL245" s="61">
        <v>37975</v>
      </c>
      <c r="AM245" s="53" t="s">
        <v>146</v>
      </c>
      <c r="AN245" s="42">
        <v>2</v>
      </c>
      <c r="AO245" s="54">
        <f>IF(AL245="","***",IF(AL245&gt;15000,3,IF(AL245&lt;1000,1,2)))</f>
        <v>3</v>
      </c>
      <c r="AP245" s="53">
        <v>2</v>
      </c>
      <c r="AQ245" s="53">
        <f t="shared" si="7"/>
        <v>6</v>
      </c>
      <c r="AR245" s="53"/>
      <c r="AS245" s="55" t="s">
        <v>832</v>
      </c>
      <c r="AT245" s="53">
        <v>30.5</v>
      </c>
      <c r="AU245" s="42" t="s">
        <v>146</v>
      </c>
      <c r="AV245" s="44">
        <v>2</v>
      </c>
      <c r="AW245" s="44">
        <f t="shared" si="8"/>
        <v>1</v>
      </c>
      <c r="AX245" s="42">
        <v>1</v>
      </c>
      <c r="AY245" s="42">
        <f t="shared" si="9"/>
        <v>1</v>
      </c>
      <c r="AZ245" s="42">
        <v>48</v>
      </c>
      <c r="BA245" s="53" t="s">
        <v>646</v>
      </c>
      <c r="BB245" s="57" t="s">
        <v>602</v>
      </c>
      <c r="BC245" s="58" t="s">
        <v>603</v>
      </c>
      <c r="BD245" s="58" t="s">
        <v>604</v>
      </c>
      <c r="BE245" s="59">
        <v>2</v>
      </c>
      <c r="BF245" s="58">
        <v>2</v>
      </c>
      <c r="BG245" s="58">
        <f t="shared" si="10"/>
        <v>0.6020599913279624</v>
      </c>
      <c r="BH245" s="58" t="s">
        <v>605</v>
      </c>
      <c r="BI245" s="58" t="s">
        <v>1225</v>
      </c>
      <c r="BJ245" s="60" t="s">
        <v>90</v>
      </c>
      <c r="BK245" s="61">
        <v>1</v>
      </c>
      <c r="BL245" s="62">
        <v>1</v>
      </c>
      <c r="BM245" s="62">
        <f t="shared" si="11"/>
        <v>0</v>
      </c>
      <c r="BN245" s="58" t="s">
        <v>607</v>
      </c>
      <c r="BO245" s="59"/>
      <c r="BP245" s="59">
        <v>35</v>
      </c>
      <c r="BQ245" s="63">
        <f>IF(BP245&lt;10,3,IF(BP245&lt;30,2,1))</f>
        <v>1</v>
      </c>
      <c r="BR245" s="45">
        <v>1</v>
      </c>
      <c r="BS245" s="45">
        <f t="shared" si="13"/>
        <v>0</v>
      </c>
      <c r="BU245" s="46"/>
      <c r="BV245" s="64">
        <v>1.625</v>
      </c>
      <c r="BW245" s="54">
        <f>IF(BV245&lt;2.5,1,IF(BV245&gt;3.5,3,2))</f>
        <v>1</v>
      </c>
      <c r="BX245" s="45">
        <v>1</v>
      </c>
      <c r="BY245" s="45">
        <f>BX245*LOG(BW245)</f>
        <v>0</v>
      </c>
      <c r="BZ245" s="61" t="s">
        <v>99</v>
      </c>
      <c r="CA245" s="46"/>
      <c r="CB245" s="65">
        <v>2306</v>
      </c>
      <c r="CC245" s="45">
        <v>2</v>
      </c>
      <c r="CD245" s="45">
        <v>2</v>
      </c>
      <c r="CE245" s="45">
        <f t="shared" si="16"/>
        <v>0.6020599913279624</v>
      </c>
      <c r="CG245" s="46"/>
      <c r="CH245" s="66" t="s">
        <v>92</v>
      </c>
      <c r="CI245" s="67">
        <v>3</v>
      </c>
      <c r="CJ245" s="68">
        <v>2</v>
      </c>
      <c r="CK245" s="68">
        <f t="shared" si="17"/>
        <v>0.95424250943932487</v>
      </c>
      <c r="CL245" s="68"/>
      <c r="CM245" s="69"/>
      <c r="CO245" s="70">
        <f>(SUM(T245,AA245,AI245,AQ245,AY245)/SUM(S245,Z245,AH245,AP245,AX245,BF245))</f>
        <v>2</v>
      </c>
      <c r="CQ245" s="45">
        <f t="shared" si="19"/>
        <v>0.23981805467724998</v>
      </c>
      <c r="CR245" s="45">
        <f t="shared" si="20"/>
        <v>1.7370729389807016</v>
      </c>
      <c r="CT245" s="71">
        <f t="shared" si="21"/>
        <v>1.2422868096287785</v>
      </c>
    </row>
    <row r="246" spans="1:98" ht="16">
      <c r="A246" s="36">
        <v>244</v>
      </c>
      <c r="B246" s="37"/>
      <c r="C246" s="37"/>
      <c r="D246" s="37"/>
      <c r="E246" s="38" t="s">
        <v>341</v>
      </c>
      <c r="F246" s="38" t="s">
        <v>334</v>
      </c>
      <c r="G246" s="38" t="s">
        <v>1226</v>
      </c>
      <c r="H246" s="38" t="s">
        <v>336</v>
      </c>
      <c r="I246" s="72">
        <v>11.5</v>
      </c>
      <c r="J246" s="53" t="s">
        <v>88</v>
      </c>
      <c r="K246" s="42">
        <v>0</v>
      </c>
      <c r="L246" s="42">
        <v>2</v>
      </c>
      <c r="M246" s="42">
        <v>1</v>
      </c>
      <c r="N246" s="42">
        <f t="shared" si="0"/>
        <v>2</v>
      </c>
      <c r="O246" s="53"/>
      <c r="P246" s="53"/>
      <c r="Q246" s="43">
        <v>49</v>
      </c>
      <c r="R246" s="44">
        <f>IF(Q246="","***",IF(Q246&lt;30,3,IF(Q246&gt;60,1,2)))</f>
        <v>2</v>
      </c>
      <c r="S246" s="45">
        <v>1</v>
      </c>
      <c r="T246" s="45">
        <f t="shared" si="2"/>
        <v>2</v>
      </c>
      <c r="V246" s="46"/>
      <c r="W246" s="58" t="s">
        <v>154</v>
      </c>
      <c r="X246" s="73">
        <v>3.2</v>
      </c>
      <c r="Y246" s="44">
        <f t="shared" si="3"/>
        <v>2</v>
      </c>
      <c r="Z246" s="45">
        <v>1</v>
      </c>
      <c r="AA246" s="45">
        <f t="shared" si="4"/>
        <v>2</v>
      </c>
      <c r="AB246" s="45">
        <v>1</v>
      </c>
      <c r="AD246" s="49" t="s">
        <v>338</v>
      </c>
      <c r="AE246" s="50" t="s">
        <v>88</v>
      </c>
      <c r="AF246" s="50">
        <v>0</v>
      </c>
      <c r="AG246" s="50">
        <v>3</v>
      </c>
      <c r="AH246" s="50">
        <v>2</v>
      </c>
      <c r="AI246" s="50">
        <f t="shared" si="5"/>
        <v>6</v>
      </c>
      <c r="AJ246" s="50">
        <v>1</v>
      </c>
      <c r="AK246" s="51" t="s">
        <v>165</v>
      </c>
      <c r="AL246" s="61">
        <v>34</v>
      </c>
      <c r="AM246" s="53" t="s">
        <v>88</v>
      </c>
      <c r="AN246" s="42">
        <v>0</v>
      </c>
      <c r="AO246" s="54">
        <f>IF(AL246="","***",IF(AL246&gt;15000,3,IF(AL246&lt;1000,1,2)))</f>
        <v>1</v>
      </c>
      <c r="AP246" s="53">
        <v>2</v>
      </c>
      <c r="AQ246" s="53">
        <f t="shared" si="7"/>
        <v>2</v>
      </c>
      <c r="AR246" s="53"/>
      <c r="AS246" s="55"/>
      <c r="AT246" s="42">
        <v>40.799999999999997</v>
      </c>
      <c r="AU246" s="42" t="s">
        <v>88</v>
      </c>
      <c r="AV246" s="56">
        <v>0</v>
      </c>
      <c r="AW246" s="44">
        <f t="shared" si="8"/>
        <v>1</v>
      </c>
      <c r="AX246" s="42">
        <v>1</v>
      </c>
      <c r="AY246" s="42">
        <f t="shared" si="9"/>
        <v>1</v>
      </c>
      <c r="AZ246" s="42"/>
      <c r="BA246" s="42"/>
      <c r="BB246" s="57" t="s">
        <v>602</v>
      </c>
      <c r="BC246" s="58" t="s">
        <v>603</v>
      </c>
      <c r="BD246" s="58" t="s">
        <v>609</v>
      </c>
      <c r="BE246" s="59">
        <v>1</v>
      </c>
      <c r="BF246" s="58">
        <v>2</v>
      </c>
      <c r="BG246" s="58">
        <f t="shared" si="10"/>
        <v>0</v>
      </c>
      <c r="BH246" s="58" t="s">
        <v>605</v>
      </c>
      <c r="BI246" s="58" t="s">
        <v>610</v>
      </c>
      <c r="BJ246" s="60" t="s">
        <v>90</v>
      </c>
      <c r="BK246" s="61">
        <v>1</v>
      </c>
      <c r="BL246" s="62">
        <v>1</v>
      </c>
      <c r="BM246" s="62">
        <f t="shared" si="11"/>
        <v>0</v>
      </c>
      <c r="BN246" s="58" t="s">
        <v>607</v>
      </c>
      <c r="BO246" s="59"/>
      <c r="BP246" s="59">
        <v>25.5</v>
      </c>
      <c r="BQ246" s="63">
        <f>IF(BP246&lt;10,3,IF(BP246&lt;30,2,1))</f>
        <v>2</v>
      </c>
      <c r="BR246" s="45">
        <v>1</v>
      </c>
      <c r="BS246" s="45">
        <f t="shared" si="13"/>
        <v>0.3010299956639812</v>
      </c>
      <c r="BU246" s="46"/>
      <c r="BV246" s="64">
        <v>2</v>
      </c>
      <c r="BW246" s="54">
        <f>IF(BV246&lt;2.5,1,IF(BV246&gt;3.5,3,2))</f>
        <v>1</v>
      </c>
      <c r="BX246" s="45">
        <v>1</v>
      </c>
      <c r="BY246" s="45">
        <f>BX246*LOG(BW246)</f>
        <v>0</v>
      </c>
      <c r="BZ246" s="61" t="s">
        <v>91</v>
      </c>
      <c r="CA246" s="46"/>
      <c r="CB246" s="65">
        <v>2303</v>
      </c>
      <c r="CC246" s="45">
        <v>2</v>
      </c>
      <c r="CD246" s="45">
        <v>2</v>
      </c>
      <c r="CE246" s="45">
        <f t="shared" si="16"/>
        <v>0.6020599913279624</v>
      </c>
      <c r="CG246" s="46"/>
      <c r="CH246" s="66" t="s">
        <v>106</v>
      </c>
      <c r="CI246" s="67">
        <v>3</v>
      </c>
      <c r="CJ246" s="68">
        <v>2</v>
      </c>
      <c r="CK246" s="68">
        <f t="shared" si="17"/>
        <v>0.95424250943932487</v>
      </c>
      <c r="CL246" s="68"/>
      <c r="CM246" s="69"/>
      <c r="CO246" s="70">
        <f>(SUM(T246,AA246,AI246,AQ246,AY246)/SUM(S246,Z246,AH246,AP246,AX246,BF246))</f>
        <v>1.4444444444444444</v>
      </c>
      <c r="CQ246" s="45">
        <f t="shared" si="19"/>
        <v>0.20637027738125205</v>
      </c>
      <c r="CR246" s="45">
        <f t="shared" si="20"/>
        <v>1.6083119076007948</v>
      </c>
      <c r="CT246" s="71">
        <f t="shared" si="21"/>
        <v>1.6702683806348819</v>
      </c>
    </row>
    <row r="247" spans="1:98" ht="16" hidden="1">
      <c r="A247" s="36">
        <v>245</v>
      </c>
      <c r="B247" s="37"/>
      <c r="C247" s="37" t="s">
        <v>144</v>
      </c>
      <c r="D247" s="37" t="s">
        <v>686</v>
      </c>
      <c r="E247" s="38" t="s">
        <v>1227</v>
      </c>
      <c r="F247" s="38" t="s">
        <v>705</v>
      </c>
      <c r="G247" s="38" t="s">
        <v>688</v>
      </c>
      <c r="H247" s="38" t="s">
        <v>707</v>
      </c>
      <c r="I247" s="87"/>
      <c r="J247" s="53"/>
      <c r="K247" s="53"/>
      <c r="L247" s="53"/>
      <c r="M247" s="42">
        <v>1</v>
      </c>
      <c r="N247" s="42">
        <f t="shared" si="0"/>
        <v>0</v>
      </c>
      <c r="O247" s="53"/>
      <c r="P247" s="53"/>
      <c r="Q247" s="43"/>
      <c r="R247" s="44" t="str">
        <f>IF(Q247="","***",IF(Q247&lt;5,3,IF(Q247&lt;15,2,1)))</f>
        <v>***</v>
      </c>
      <c r="S247" s="45">
        <v>1</v>
      </c>
      <c r="T247" s="45" t="e">
        <f t="shared" si="2"/>
        <v>#VALUE!</v>
      </c>
      <c r="V247" s="46"/>
      <c r="W247" s="58" t="s">
        <v>337</v>
      </c>
      <c r="X247" s="73">
        <v>3.4</v>
      </c>
      <c r="Y247" s="44">
        <f t="shared" si="3"/>
        <v>2</v>
      </c>
      <c r="Z247" s="45">
        <v>1</v>
      </c>
      <c r="AA247" s="45">
        <f t="shared" si="4"/>
        <v>2</v>
      </c>
      <c r="AB247" s="45">
        <v>1</v>
      </c>
      <c r="AD247" s="49" t="s">
        <v>163</v>
      </c>
      <c r="AE247" s="50" t="s">
        <v>146</v>
      </c>
      <c r="AF247" s="50">
        <v>2</v>
      </c>
      <c r="AG247" s="50">
        <v>1</v>
      </c>
      <c r="AH247" s="50">
        <v>2</v>
      </c>
      <c r="AI247" s="50">
        <f t="shared" si="5"/>
        <v>2</v>
      </c>
      <c r="AJ247" s="50" t="s">
        <v>755</v>
      </c>
      <c r="AK247" s="51"/>
      <c r="AL247" s="61"/>
      <c r="AM247" s="53"/>
      <c r="AN247" s="42"/>
      <c r="AO247" s="42"/>
      <c r="AP247" s="53">
        <v>2</v>
      </c>
      <c r="AQ247" s="53">
        <f t="shared" si="7"/>
        <v>0</v>
      </c>
      <c r="AR247" s="53"/>
      <c r="AS247" s="55"/>
      <c r="AT247" s="89"/>
      <c r="AU247" s="89"/>
      <c r="AV247" s="44"/>
      <c r="AW247" s="44" t="str">
        <f t="shared" si="8"/>
        <v>***</v>
      </c>
      <c r="AX247" s="42">
        <v>1</v>
      </c>
      <c r="AY247" s="42" t="e">
        <f t="shared" si="9"/>
        <v>#VALUE!</v>
      </c>
      <c r="AZ247" s="89"/>
      <c r="BA247" s="89"/>
      <c r="BB247" s="57"/>
      <c r="BC247" s="58"/>
      <c r="BD247" s="58"/>
      <c r="BE247" s="58"/>
      <c r="BF247" s="58">
        <v>2</v>
      </c>
      <c r="BG247" s="58" t="e">
        <f t="shared" si="10"/>
        <v>#NUM!</v>
      </c>
      <c r="BH247" s="58" t="s">
        <v>605</v>
      </c>
      <c r="BI247" s="58"/>
      <c r="BJ247" s="60" t="s">
        <v>90</v>
      </c>
      <c r="BK247" s="61">
        <v>1</v>
      </c>
      <c r="BL247" s="62">
        <v>1</v>
      </c>
      <c r="BM247" s="62">
        <f t="shared" si="11"/>
        <v>0</v>
      </c>
      <c r="BN247" s="58" t="s">
        <v>607</v>
      </c>
      <c r="BO247" s="59"/>
      <c r="BP247" s="59"/>
      <c r="BQ247" s="90"/>
      <c r="BR247" s="45">
        <v>1</v>
      </c>
      <c r="BS247" s="45" t="e">
        <f t="shared" si="13"/>
        <v>#NUM!</v>
      </c>
      <c r="BU247" s="46"/>
      <c r="BV247" s="64"/>
      <c r="BW247" s="45"/>
      <c r="BX247" s="45">
        <v>1</v>
      </c>
      <c r="BY247" s="45" t="e">
        <f>BX247*LOG(BV247)</f>
        <v>#NUM!</v>
      </c>
      <c r="BZ247" s="61"/>
      <c r="CA247" s="46"/>
      <c r="CB247" s="65">
        <v>2300</v>
      </c>
      <c r="CC247" s="45">
        <v>2</v>
      </c>
      <c r="CD247" s="45">
        <v>2</v>
      </c>
      <c r="CE247" s="45">
        <f t="shared" si="16"/>
        <v>0.6020599913279624</v>
      </c>
      <c r="CG247" s="46"/>
      <c r="CH247" s="66" t="s">
        <v>92</v>
      </c>
      <c r="CI247" s="67">
        <v>3</v>
      </c>
      <c r="CJ247" s="68">
        <v>1</v>
      </c>
      <c r="CK247" s="68">
        <f t="shared" si="17"/>
        <v>0.47712125471966244</v>
      </c>
      <c r="CL247" s="68"/>
      <c r="CM247" s="69"/>
      <c r="CO247" s="70" t="e">
        <f>(SUM(N247,T247,AA247,AI247,AQ247,AY247)/SUM(M247,S247,Z247,AH247,AP247,AX247,BF247))</f>
        <v>#VALUE!</v>
      </c>
      <c r="CQ247" s="45" t="e">
        <f t="shared" si="19"/>
        <v>#NUM!</v>
      </c>
      <c r="CR247" s="45" t="e">
        <f t="shared" si="20"/>
        <v>#NUM!</v>
      </c>
      <c r="CT247" s="71" t="e">
        <f t="shared" si="21"/>
        <v>#VALUE!</v>
      </c>
    </row>
    <row r="248" spans="1:98" ht="16">
      <c r="A248" s="36">
        <v>246</v>
      </c>
      <c r="B248" s="37"/>
      <c r="C248" s="37"/>
      <c r="D248" s="37"/>
      <c r="E248" s="38" t="s">
        <v>1228</v>
      </c>
      <c r="F248" s="38" t="s">
        <v>1229</v>
      </c>
      <c r="G248" s="38" t="s">
        <v>1230</v>
      </c>
      <c r="H248" s="38" t="s">
        <v>1231</v>
      </c>
      <c r="I248" s="72">
        <v>8.67</v>
      </c>
      <c r="J248" s="53" t="s">
        <v>88</v>
      </c>
      <c r="K248" s="42">
        <v>0</v>
      </c>
      <c r="L248" s="42">
        <v>2</v>
      </c>
      <c r="M248" s="42">
        <v>1</v>
      </c>
      <c r="N248" s="42">
        <f t="shared" si="0"/>
        <v>2</v>
      </c>
      <c r="O248" s="53"/>
      <c r="P248" s="53"/>
      <c r="Q248" s="43">
        <v>27</v>
      </c>
      <c r="R248" s="44">
        <f>IF(Q248="","***",IF(Q248&lt;30,3,IF(Q248&gt;60,1,2)))</f>
        <v>3</v>
      </c>
      <c r="S248" s="45">
        <v>1</v>
      </c>
      <c r="T248" s="45">
        <f t="shared" si="2"/>
        <v>3</v>
      </c>
      <c r="V248" s="46"/>
      <c r="W248" s="58" t="s">
        <v>1232</v>
      </c>
      <c r="X248" s="73">
        <v>3</v>
      </c>
      <c r="Y248" s="44">
        <f t="shared" si="3"/>
        <v>2</v>
      </c>
      <c r="Z248" s="45">
        <v>1</v>
      </c>
      <c r="AA248" s="45">
        <f t="shared" si="4"/>
        <v>2</v>
      </c>
      <c r="AB248" s="45">
        <v>1</v>
      </c>
      <c r="AD248" s="49" t="s">
        <v>1233</v>
      </c>
      <c r="AE248" s="50" t="s">
        <v>88</v>
      </c>
      <c r="AF248" s="50">
        <v>0</v>
      </c>
      <c r="AG248" s="50">
        <v>3</v>
      </c>
      <c r="AH248" s="50">
        <v>2</v>
      </c>
      <c r="AI248" s="50">
        <f t="shared" si="5"/>
        <v>6</v>
      </c>
      <c r="AJ248" s="50">
        <v>1</v>
      </c>
      <c r="AK248" s="51" t="s">
        <v>1233</v>
      </c>
      <c r="AL248" s="61">
        <v>86054</v>
      </c>
      <c r="AM248" s="53" t="s">
        <v>88</v>
      </c>
      <c r="AN248" s="42">
        <v>0</v>
      </c>
      <c r="AO248" s="54">
        <f>IF(AL248="","***",IF(AL248&gt;15000,3,IF(AL248&lt;1000,1,2)))</f>
        <v>3</v>
      </c>
      <c r="AP248" s="53">
        <v>2</v>
      </c>
      <c r="AQ248" s="53">
        <f t="shared" si="7"/>
        <v>6</v>
      </c>
      <c r="AR248" s="53"/>
      <c r="AS248" s="55"/>
      <c r="AT248" s="42">
        <v>60</v>
      </c>
      <c r="AU248" s="42" t="s">
        <v>88</v>
      </c>
      <c r="AV248" s="56">
        <v>0</v>
      </c>
      <c r="AW248" s="44">
        <f t="shared" si="8"/>
        <v>1</v>
      </c>
      <c r="AX248" s="42">
        <v>1</v>
      </c>
      <c r="AY248" s="42">
        <f t="shared" si="9"/>
        <v>1</v>
      </c>
      <c r="AZ248" s="42">
        <v>92</v>
      </c>
      <c r="BA248" s="53"/>
      <c r="BB248" s="57" t="s">
        <v>602</v>
      </c>
      <c r="BC248" s="58" t="s">
        <v>603</v>
      </c>
      <c r="BD248" s="58" t="s">
        <v>609</v>
      </c>
      <c r="BE248" s="59">
        <v>1</v>
      </c>
      <c r="BF248" s="58">
        <v>2</v>
      </c>
      <c r="BG248" s="58">
        <f t="shared" si="10"/>
        <v>0</v>
      </c>
      <c r="BH248" s="58" t="s">
        <v>605</v>
      </c>
      <c r="BI248" s="58" t="s">
        <v>610</v>
      </c>
      <c r="BJ248" s="60" t="s">
        <v>90</v>
      </c>
      <c r="BK248" s="61">
        <v>1</v>
      </c>
      <c r="BL248" s="62">
        <v>1</v>
      </c>
      <c r="BM248" s="62">
        <f t="shared" si="11"/>
        <v>0</v>
      </c>
      <c r="BN248" s="58" t="s">
        <v>607</v>
      </c>
      <c r="BO248" s="59"/>
      <c r="BP248" s="59">
        <v>6</v>
      </c>
      <c r="BQ248" s="63">
        <f>IF(BP248&lt;10,3,IF(BP248&lt;30,2,1))</f>
        <v>3</v>
      </c>
      <c r="BR248" s="45">
        <v>1</v>
      </c>
      <c r="BS248" s="45">
        <f t="shared" si="13"/>
        <v>0.47712125471966244</v>
      </c>
      <c r="BU248" s="46"/>
      <c r="BV248" s="64">
        <v>2</v>
      </c>
      <c r="BW248" s="54">
        <f>IF(BV248&lt;2.5,1,IF(BV248&gt;3.5,3,2))</f>
        <v>1</v>
      </c>
      <c r="BX248" s="45">
        <v>1</v>
      </c>
      <c r="BY248" s="45">
        <f>BX248*LOG(BW248)</f>
        <v>0</v>
      </c>
      <c r="BZ248" s="61" t="s">
        <v>99</v>
      </c>
      <c r="CA248" s="46"/>
      <c r="CB248" s="65">
        <v>2282</v>
      </c>
      <c r="CC248" s="45">
        <v>2</v>
      </c>
      <c r="CD248" s="45">
        <v>2</v>
      </c>
      <c r="CE248" s="45">
        <f t="shared" si="16"/>
        <v>0.6020599913279624</v>
      </c>
      <c r="CG248" s="46"/>
      <c r="CH248" s="66" t="s">
        <v>106</v>
      </c>
      <c r="CI248" s="67">
        <v>3</v>
      </c>
      <c r="CJ248" s="68">
        <v>2</v>
      </c>
      <c r="CK248" s="68">
        <f t="shared" si="17"/>
        <v>0.95424250943932487</v>
      </c>
      <c r="CL248" s="68"/>
      <c r="CM248" s="69" t="s">
        <v>144</v>
      </c>
      <c r="CO248" s="70">
        <f>(SUM(T248,AA248,AI248,AQ248,AY248)/SUM(S248,Z248,AH248,AP248,AX248,BF248))</f>
        <v>2</v>
      </c>
      <c r="CQ248" s="45">
        <f t="shared" si="19"/>
        <v>0.22593597283188332</v>
      </c>
      <c r="CR248" s="45">
        <f t="shared" si="20"/>
        <v>1.682426006079768</v>
      </c>
      <c r="CT248" s="71">
        <f t="shared" si="21"/>
        <v>1.210663146285532</v>
      </c>
    </row>
    <row r="249" spans="1:98" ht="16">
      <c r="A249" s="36">
        <v>247</v>
      </c>
      <c r="B249" s="37"/>
      <c r="C249" s="37"/>
      <c r="D249" s="37"/>
      <c r="E249" s="38" t="s">
        <v>1234</v>
      </c>
      <c r="F249" s="38" t="s">
        <v>429</v>
      </c>
      <c r="G249" s="38" t="s">
        <v>1235</v>
      </c>
      <c r="H249" s="38" t="s">
        <v>152</v>
      </c>
      <c r="I249" s="72">
        <v>7.7</v>
      </c>
      <c r="J249" s="53" t="s">
        <v>115</v>
      </c>
      <c r="K249" s="42">
        <v>1</v>
      </c>
      <c r="L249" s="42">
        <v>2</v>
      </c>
      <c r="M249" s="42">
        <v>1</v>
      </c>
      <c r="N249" s="42">
        <f t="shared" si="0"/>
        <v>2</v>
      </c>
      <c r="O249" s="53" t="s">
        <v>799</v>
      </c>
      <c r="P249" s="53"/>
      <c r="Q249" s="43">
        <v>6.5</v>
      </c>
      <c r="R249" s="44">
        <f>IF(Q249="","***",IF(Q249&lt;30,3,IF(Q249&gt;60,1,2)))</f>
        <v>3</v>
      </c>
      <c r="S249" s="45">
        <v>1</v>
      </c>
      <c r="T249" s="45">
        <f t="shared" si="2"/>
        <v>3</v>
      </c>
      <c r="V249" s="46"/>
      <c r="W249" s="58" t="s">
        <v>133</v>
      </c>
      <c r="X249" s="73">
        <v>3.3</v>
      </c>
      <c r="Y249" s="44">
        <f t="shared" si="3"/>
        <v>2</v>
      </c>
      <c r="Z249" s="45">
        <v>1</v>
      </c>
      <c r="AA249" s="45">
        <f t="shared" si="4"/>
        <v>2</v>
      </c>
      <c r="AB249" s="45">
        <v>1</v>
      </c>
      <c r="AD249" s="49" t="s">
        <v>362</v>
      </c>
      <c r="AE249" s="50" t="s">
        <v>88</v>
      </c>
      <c r="AF249" s="50">
        <v>0</v>
      </c>
      <c r="AG249" s="50">
        <v>2</v>
      </c>
      <c r="AH249" s="50">
        <v>2</v>
      </c>
      <c r="AI249" s="50">
        <f t="shared" si="5"/>
        <v>4</v>
      </c>
      <c r="AJ249" s="50">
        <v>1</v>
      </c>
      <c r="AK249" s="51" t="s">
        <v>156</v>
      </c>
      <c r="AL249" s="61">
        <v>539520</v>
      </c>
      <c r="AM249" s="53" t="s">
        <v>146</v>
      </c>
      <c r="AN249" s="42">
        <v>2</v>
      </c>
      <c r="AO249" s="54">
        <f>IF(AL249="","***",IF(AL249&gt;15000,3,IF(AL249&lt;1000,1,2)))</f>
        <v>3</v>
      </c>
      <c r="AP249" s="53">
        <v>2</v>
      </c>
      <c r="AQ249" s="53">
        <f t="shared" si="7"/>
        <v>6</v>
      </c>
      <c r="AR249" s="53"/>
      <c r="AS249" s="55"/>
      <c r="AT249" s="53">
        <v>26.425000000000001</v>
      </c>
      <c r="AU249" s="42" t="s">
        <v>115</v>
      </c>
      <c r="AV249" s="44">
        <v>1</v>
      </c>
      <c r="AW249" s="44">
        <f t="shared" si="8"/>
        <v>2</v>
      </c>
      <c r="AX249" s="42">
        <v>1</v>
      </c>
      <c r="AY249" s="42">
        <f t="shared" si="9"/>
        <v>2</v>
      </c>
      <c r="AZ249" s="42">
        <v>48</v>
      </c>
      <c r="BA249" s="77" t="s">
        <v>540</v>
      </c>
      <c r="BB249" s="57" t="s">
        <v>642</v>
      </c>
      <c r="BC249" s="58" t="s">
        <v>643</v>
      </c>
      <c r="BD249" s="58" t="s">
        <v>604</v>
      </c>
      <c r="BE249" s="59">
        <v>3</v>
      </c>
      <c r="BF249" s="58">
        <v>2</v>
      </c>
      <c r="BG249" s="58">
        <f t="shared" si="10"/>
        <v>0.95424250943932487</v>
      </c>
      <c r="BH249" s="58" t="s">
        <v>605</v>
      </c>
      <c r="BI249" s="58" t="s">
        <v>940</v>
      </c>
      <c r="BJ249" s="60" t="s">
        <v>90</v>
      </c>
      <c r="BK249" s="61">
        <v>1</v>
      </c>
      <c r="BL249" s="62">
        <v>1</v>
      </c>
      <c r="BM249" s="62">
        <f t="shared" si="11"/>
        <v>0</v>
      </c>
      <c r="BN249" s="58" t="s">
        <v>607</v>
      </c>
      <c r="BO249" s="59"/>
      <c r="BP249" s="59">
        <v>22</v>
      </c>
      <c r="BQ249" s="63">
        <f>IF(BP249&lt;10,3,IF(BP249&lt;30,2,1))</f>
        <v>2</v>
      </c>
      <c r="BR249" s="45">
        <v>1</v>
      </c>
      <c r="BS249" s="45">
        <f t="shared" si="13"/>
        <v>0.3010299956639812</v>
      </c>
      <c r="BU249" s="46"/>
      <c r="BV249" s="64">
        <v>1.8333333329999999</v>
      </c>
      <c r="BW249" s="54">
        <f>IF(BV249&lt;2.5,1,IF(BV249&gt;3.5,3,2))</f>
        <v>1</v>
      </c>
      <c r="BX249" s="45">
        <v>1</v>
      </c>
      <c r="BY249" s="45">
        <f>BX249*LOG(BW249)</f>
        <v>0</v>
      </c>
      <c r="BZ249" s="61" t="s">
        <v>927</v>
      </c>
      <c r="CA249" s="46"/>
      <c r="CB249" s="65">
        <v>2272</v>
      </c>
      <c r="CC249" s="45">
        <v>2</v>
      </c>
      <c r="CD249" s="45">
        <v>2</v>
      </c>
      <c r="CE249" s="45">
        <f t="shared" si="16"/>
        <v>0.6020599913279624</v>
      </c>
      <c r="CG249" s="46"/>
      <c r="CH249" s="66" t="s">
        <v>137</v>
      </c>
      <c r="CI249" s="67">
        <v>2</v>
      </c>
      <c r="CJ249" s="68">
        <v>2</v>
      </c>
      <c r="CK249" s="68">
        <f t="shared" si="17"/>
        <v>0.6020599913279624</v>
      </c>
      <c r="CL249" s="68"/>
      <c r="CM249" s="69"/>
      <c r="CO249" s="70">
        <f>(SUM(T249,AA249,AI249,AQ249,AY249)/SUM(S249,Z249,AH249,AP249,AX249,BF249))</f>
        <v>1.8888888888888888</v>
      </c>
      <c r="CQ249" s="45">
        <f t="shared" si="19"/>
        <v>0.27326583197324789</v>
      </c>
      <c r="CR249" s="45">
        <f t="shared" si="20"/>
        <v>1.8761425449123874</v>
      </c>
      <c r="CT249" s="71">
        <f t="shared" si="21"/>
        <v>1.4149889258365673</v>
      </c>
    </row>
    <row r="250" spans="1:98" ht="16" hidden="1">
      <c r="A250" s="36">
        <v>248</v>
      </c>
      <c r="B250" s="37"/>
      <c r="C250" s="37" t="s">
        <v>144</v>
      </c>
      <c r="D250" s="37" t="s">
        <v>686</v>
      </c>
      <c r="E250" s="38" t="s">
        <v>1236</v>
      </c>
      <c r="F250" s="38" t="s">
        <v>417</v>
      </c>
      <c r="G250" s="38" t="s">
        <v>688</v>
      </c>
      <c r="H250" s="38" t="s">
        <v>184</v>
      </c>
      <c r="I250" s="87"/>
      <c r="J250" s="53"/>
      <c r="K250" s="53"/>
      <c r="L250" s="53"/>
      <c r="M250" s="42">
        <v>1</v>
      </c>
      <c r="N250" s="42">
        <f t="shared" si="0"/>
        <v>0</v>
      </c>
      <c r="O250" s="53"/>
      <c r="P250" s="53"/>
      <c r="Q250" s="43"/>
      <c r="R250" s="44" t="str">
        <f>IF(Q250="","***",IF(Q250&lt;5,3,IF(Q250&lt;15,2,1)))</f>
        <v>***</v>
      </c>
      <c r="S250" s="45">
        <v>1</v>
      </c>
      <c r="T250" s="45" t="e">
        <f t="shared" si="2"/>
        <v>#VALUE!</v>
      </c>
      <c r="V250" s="46"/>
      <c r="W250" s="58"/>
      <c r="X250" s="88"/>
      <c r="Y250" s="44" t="str">
        <f t="shared" si="3"/>
        <v>***</v>
      </c>
      <c r="Z250" s="45">
        <v>1</v>
      </c>
      <c r="AA250" s="45" t="e">
        <f t="shared" si="4"/>
        <v>#VALUE!</v>
      </c>
      <c r="AB250" s="45">
        <v>1</v>
      </c>
      <c r="AD250" s="49" t="s">
        <v>163</v>
      </c>
      <c r="AE250" s="50" t="s">
        <v>146</v>
      </c>
      <c r="AF250" s="50">
        <v>2</v>
      </c>
      <c r="AG250" s="50">
        <v>3</v>
      </c>
      <c r="AH250" s="50">
        <v>2</v>
      </c>
      <c r="AI250" s="50">
        <f t="shared" si="5"/>
        <v>6</v>
      </c>
      <c r="AJ250" s="50" t="s">
        <v>645</v>
      </c>
      <c r="AK250" s="51" t="s">
        <v>186</v>
      </c>
      <c r="AL250" s="61"/>
      <c r="AM250" s="53"/>
      <c r="AN250" s="42"/>
      <c r="AO250" s="42"/>
      <c r="AP250" s="53">
        <v>2</v>
      </c>
      <c r="AQ250" s="53">
        <f t="shared" si="7"/>
        <v>0</v>
      </c>
      <c r="AR250" s="53"/>
      <c r="AS250" s="55"/>
      <c r="AT250" s="89"/>
      <c r="AU250" s="89"/>
      <c r="AV250" s="44"/>
      <c r="AW250" s="44" t="str">
        <f t="shared" si="8"/>
        <v>***</v>
      </c>
      <c r="AX250" s="42">
        <v>1</v>
      </c>
      <c r="AY250" s="42" t="e">
        <f t="shared" si="9"/>
        <v>#VALUE!</v>
      </c>
      <c r="AZ250" s="89"/>
      <c r="BA250" s="89"/>
      <c r="BB250" s="57"/>
      <c r="BC250" s="58"/>
      <c r="BD250" s="58"/>
      <c r="BE250" s="58"/>
      <c r="BF250" s="58">
        <v>2</v>
      </c>
      <c r="BG250" s="58" t="e">
        <f t="shared" si="10"/>
        <v>#NUM!</v>
      </c>
      <c r="BH250" s="58" t="s">
        <v>605</v>
      </c>
      <c r="BI250" s="58"/>
      <c r="BJ250" s="60" t="s">
        <v>90</v>
      </c>
      <c r="BK250" s="61">
        <v>1</v>
      </c>
      <c r="BL250" s="62">
        <v>1</v>
      </c>
      <c r="BM250" s="62">
        <f t="shared" si="11"/>
        <v>0</v>
      </c>
      <c r="BN250" s="58" t="s">
        <v>607</v>
      </c>
      <c r="BO250" s="59"/>
      <c r="BP250" s="59"/>
      <c r="BQ250" s="90"/>
      <c r="BR250" s="45">
        <v>1</v>
      </c>
      <c r="BS250" s="45" t="e">
        <f t="shared" si="13"/>
        <v>#NUM!</v>
      </c>
      <c r="BU250" s="46"/>
      <c r="BV250" s="64"/>
      <c r="BW250" s="45"/>
      <c r="BX250" s="45">
        <v>1</v>
      </c>
      <c r="BY250" s="45" t="e">
        <f>BX250*LOG(BV250)</f>
        <v>#NUM!</v>
      </c>
      <c r="BZ250" s="61"/>
      <c r="CA250" s="46"/>
      <c r="CB250" s="65">
        <v>2266</v>
      </c>
      <c r="CC250" s="45">
        <v>2</v>
      </c>
      <c r="CD250" s="45">
        <v>2</v>
      </c>
      <c r="CE250" s="45">
        <f t="shared" si="16"/>
        <v>0.6020599913279624</v>
      </c>
      <c r="CG250" s="46"/>
      <c r="CH250" s="66" t="s">
        <v>92</v>
      </c>
      <c r="CI250" s="67">
        <v>3</v>
      </c>
      <c r="CJ250" s="68">
        <v>1</v>
      </c>
      <c r="CK250" s="68">
        <f t="shared" si="17"/>
        <v>0.47712125471966244</v>
      </c>
      <c r="CL250" s="68"/>
      <c r="CM250" s="69"/>
      <c r="CO250" s="70" t="e">
        <f>(SUM(N250,T250,AA250,AI250,AQ250,AY250)/SUM(M250,S250,Z250,AH250,AP250,AX250,BF250))</f>
        <v>#VALUE!</v>
      </c>
      <c r="CQ250" s="45" t="e">
        <f t="shared" si="19"/>
        <v>#NUM!</v>
      </c>
      <c r="CR250" s="45" t="e">
        <f t="shared" si="20"/>
        <v>#NUM!</v>
      </c>
      <c r="CT250" s="71" t="e">
        <f t="shared" si="21"/>
        <v>#VALUE!</v>
      </c>
    </row>
    <row r="251" spans="1:98" ht="16">
      <c r="A251" s="36">
        <v>249</v>
      </c>
      <c r="B251" s="37"/>
      <c r="C251" s="37"/>
      <c r="D251" s="37"/>
      <c r="E251" s="38" t="s">
        <v>1237</v>
      </c>
      <c r="F251" s="38" t="s">
        <v>1238</v>
      </c>
      <c r="G251" s="38" t="s">
        <v>1239</v>
      </c>
      <c r="H251" s="38" t="s">
        <v>1240</v>
      </c>
      <c r="I251" s="72">
        <v>32.5</v>
      </c>
      <c r="J251" s="53" t="s">
        <v>88</v>
      </c>
      <c r="K251" s="42">
        <v>0</v>
      </c>
      <c r="L251" s="42">
        <v>1</v>
      </c>
      <c r="M251" s="42">
        <v>1</v>
      </c>
      <c r="N251" s="42">
        <f t="shared" si="0"/>
        <v>1</v>
      </c>
      <c r="O251" s="53"/>
      <c r="P251" s="53"/>
      <c r="Q251" s="43">
        <v>120</v>
      </c>
      <c r="R251" s="44">
        <f t="shared" ref="R251:R260" si="83">IF(Q251="","***",IF(Q251&lt;30,3,IF(Q251&gt;60,1,2)))</f>
        <v>1</v>
      </c>
      <c r="S251" s="45">
        <v>1</v>
      </c>
      <c r="T251" s="45">
        <f t="shared" si="2"/>
        <v>1</v>
      </c>
      <c r="V251" s="46"/>
      <c r="W251" s="58" t="s">
        <v>329</v>
      </c>
      <c r="X251" s="73">
        <v>3.8</v>
      </c>
      <c r="Y251" s="44">
        <f t="shared" si="3"/>
        <v>1</v>
      </c>
      <c r="Z251" s="45">
        <v>1</v>
      </c>
      <c r="AA251" s="45">
        <f t="shared" si="4"/>
        <v>1</v>
      </c>
      <c r="AB251" s="45">
        <v>1</v>
      </c>
      <c r="AD251" s="49" t="s">
        <v>1241</v>
      </c>
      <c r="AE251" s="50" t="s">
        <v>88</v>
      </c>
      <c r="AF251" s="50">
        <v>0</v>
      </c>
      <c r="AG251" s="50">
        <v>3</v>
      </c>
      <c r="AH251" s="50">
        <v>2</v>
      </c>
      <c r="AI251" s="50">
        <f t="shared" si="5"/>
        <v>6</v>
      </c>
      <c r="AJ251" s="50">
        <v>1</v>
      </c>
      <c r="AK251" s="51" t="s">
        <v>135</v>
      </c>
      <c r="AL251" s="61">
        <v>35000</v>
      </c>
      <c r="AM251" s="53" t="s">
        <v>88</v>
      </c>
      <c r="AN251" s="42">
        <v>0</v>
      </c>
      <c r="AO251" s="54">
        <f t="shared" ref="AO251:AO260" si="84">IF(AL251="","***",IF(AL251&gt;15000,3,IF(AL251&lt;1000,1,2)))</f>
        <v>3</v>
      </c>
      <c r="AP251" s="53">
        <v>2</v>
      </c>
      <c r="AQ251" s="53">
        <f t="shared" si="7"/>
        <v>6</v>
      </c>
      <c r="AR251" s="53"/>
      <c r="AS251" s="55"/>
      <c r="AT251" s="42">
        <v>45</v>
      </c>
      <c r="AU251" s="42" t="s">
        <v>88</v>
      </c>
      <c r="AV251" s="56">
        <v>0</v>
      </c>
      <c r="AW251" s="44">
        <f t="shared" si="8"/>
        <v>1</v>
      </c>
      <c r="AX251" s="42">
        <v>1</v>
      </c>
      <c r="AY251" s="42">
        <f t="shared" si="9"/>
        <v>1</v>
      </c>
      <c r="AZ251" s="42">
        <v>93</v>
      </c>
      <c r="BA251" s="53"/>
      <c r="BB251" s="57" t="s">
        <v>602</v>
      </c>
      <c r="BC251" s="58" t="s">
        <v>603</v>
      </c>
      <c r="BD251" s="58" t="s">
        <v>604</v>
      </c>
      <c r="BE251" s="59">
        <v>2</v>
      </c>
      <c r="BF251" s="58">
        <v>2</v>
      </c>
      <c r="BG251" s="58">
        <f t="shared" si="10"/>
        <v>0.6020599913279624</v>
      </c>
      <c r="BH251" s="58" t="s">
        <v>605</v>
      </c>
      <c r="BI251" s="58" t="s">
        <v>1242</v>
      </c>
      <c r="BJ251" s="60" t="s">
        <v>90</v>
      </c>
      <c r="BK251" s="61">
        <v>1</v>
      </c>
      <c r="BL251" s="62">
        <v>1</v>
      </c>
      <c r="BM251" s="62">
        <f t="shared" si="11"/>
        <v>0</v>
      </c>
      <c r="BN251" s="58" t="s">
        <v>607</v>
      </c>
      <c r="BO251" s="59"/>
      <c r="BP251" s="59">
        <v>60.75</v>
      </c>
      <c r="BQ251" s="63">
        <f t="shared" ref="BQ251:BQ260" si="85">IF(BP251&lt;10,3,IF(BP251&lt;30,2,1))</f>
        <v>1</v>
      </c>
      <c r="BR251" s="45">
        <v>1</v>
      </c>
      <c r="BS251" s="45">
        <f t="shared" si="13"/>
        <v>0</v>
      </c>
      <c r="BU251" s="46"/>
      <c r="BV251" s="64">
        <v>2</v>
      </c>
      <c r="BW251" s="54">
        <f t="shared" ref="BW251:BW260" si="86">IF(BV251&lt;2.5,1,IF(BV251&gt;3.5,3,2))</f>
        <v>1</v>
      </c>
      <c r="BX251" s="45">
        <v>1</v>
      </c>
      <c r="BY251" s="45">
        <f t="shared" ref="BY251:BY260" si="87">BX251*LOG(BW251)</f>
        <v>0</v>
      </c>
      <c r="BZ251" s="61" t="s">
        <v>273</v>
      </c>
      <c r="CA251" s="46"/>
      <c r="CB251" s="65">
        <v>2263</v>
      </c>
      <c r="CC251" s="45">
        <v>2</v>
      </c>
      <c r="CD251" s="45">
        <v>2</v>
      </c>
      <c r="CE251" s="45">
        <f t="shared" si="16"/>
        <v>0.6020599913279624</v>
      </c>
      <c r="CG251" s="46"/>
      <c r="CH251" s="66" t="s">
        <v>250</v>
      </c>
      <c r="CI251" s="67">
        <v>3</v>
      </c>
      <c r="CJ251" s="68">
        <v>2</v>
      </c>
      <c r="CK251" s="68">
        <f t="shared" si="17"/>
        <v>0.95424250943932487</v>
      </c>
      <c r="CL251" s="68"/>
      <c r="CM251" s="69"/>
      <c r="CO251" s="70">
        <f t="shared" ref="CO251:CO260" si="88">(SUM(T251,AA251,AI251,AQ251,AY251)/SUM(S251,Z251,AH251,AP251,AX251,BF251))</f>
        <v>1.6666666666666667</v>
      </c>
      <c r="CQ251" s="45">
        <f t="shared" si="19"/>
        <v>0.23981805467724998</v>
      </c>
      <c r="CR251" s="45">
        <f t="shared" si="20"/>
        <v>1.7370729389807016</v>
      </c>
      <c r="CT251" s="71">
        <f t="shared" si="21"/>
        <v>1.5235006712028145</v>
      </c>
    </row>
    <row r="252" spans="1:98" ht="16">
      <c r="A252" s="36">
        <v>250</v>
      </c>
      <c r="B252" s="37"/>
      <c r="C252" s="37"/>
      <c r="D252" s="37"/>
      <c r="E252" s="38" t="s">
        <v>1243</v>
      </c>
      <c r="F252" s="38" t="s">
        <v>316</v>
      </c>
      <c r="G252" s="38" t="s">
        <v>418</v>
      </c>
      <c r="H252" s="38" t="s">
        <v>318</v>
      </c>
      <c r="I252" s="72">
        <v>11.5</v>
      </c>
      <c r="J252" s="53" t="s">
        <v>88</v>
      </c>
      <c r="K252" s="42">
        <v>0</v>
      </c>
      <c r="L252" s="42">
        <v>2</v>
      </c>
      <c r="M252" s="42">
        <v>1</v>
      </c>
      <c r="N252" s="42">
        <f t="shared" si="0"/>
        <v>2</v>
      </c>
      <c r="O252" s="53"/>
      <c r="P252" s="53"/>
      <c r="Q252" s="43">
        <v>13</v>
      </c>
      <c r="R252" s="44">
        <f t="shared" si="83"/>
        <v>3</v>
      </c>
      <c r="S252" s="45">
        <v>1</v>
      </c>
      <c r="T252" s="45">
        <f t="shared" si="2"/>
        <v>3</v>
      </c>
      <c r="V252" s="46"/>
      <c r="W252" s="58" t="s">
        <v>1244</v>
      </c>
      <c r="X252" s="73">
        <v>3.7</v>
      </c>
      <c r="Y252" s="44">
        <f t="shared" si="3"/>
        <v>1</v>
      </c>
      <c r="Z252" s="45">
        <v>1</v>
      </c>
      <c r="AA252" s="45">
        <f t="shared" si="4"/>
        <v>1</v>
      </c>
      <c r="AB252" s="45">
        <v>1</v>
      </c>
      <c r="AD252" s="49" t="s">
        <v>163</v>
      </c>
      <c r="AE252" s="50" t="s">
        <v>146</v>
      </c>
      <c r="AF252" s="50">
        <v>2</v>
      </c>
      <c r="AG252" s="50">
        <v>3</v>
      </c>
      <c r="AH252" s="50">
        <v>2</v>
      </c>
      <c r="AI252" s="50">
        <f t="shared" si="5"/>
        <v>6</v>
      </c>
      <c r="AJ252" s="50" t="s">
        <v>645</v>
      </c>
      <c r="AK252" s="51"/>
      <c r="AL252" s="61">
        <v>42230</v>
      </c>
      <c r="AM252" s="53" t="s">
        <v>146</v>
      </c>
      <c r="AN252" s="42">
        <v>2</v>
      </c>
      <c r="AO252" s="54">
        <f t="shared" si="84"/>
        <v>3</v>
      </c>
      <c r="AP252" s="53">
        <v>2</v>
      </c>
      <c r="AQ252" s="53">
        <f t="shared" si="7"/>
        <v>6</v>
      </c>
      <c r="AR252" s="53"/>
      <c r="AS252" s="55"/>
      <c r="AT252" s="53">
        <v>32.5</v>
      </c>
      <c r="AU252" s="42" t="s">
        <v>146</v>
      </c>
      <c r="AV252" s="44">
        <v>2</v>
      </c>
      <c r="AW252" s="44">
        <f t="shared" si="8"/>
        <v>1</v>
      </c>
      <c r="AX252" s="42">
        <v>1</v>
      </c>
      <c r="AY252" s="42">
        <f t="shared" si="9"/>
        <v>1</v>
      </c>
      <c r="AZ252" s="42">
        <v>94</v>
      </c>
      <c r="BA252" s="77" t="s">
        <v>672</v>
      </c>
      <c r="BB252" s="57" t="s">
        <v>602</v>
      </c>
      <c r="BC252" s="58" t="s">
        <v>603</v>
      </c>
      <c r="BD252" s="58" t="s">
        <v>604</v>
      </c>
      <c r="BE252" s="59">
        <v>2</v>
      </c>
      <c r="BF252" s="58">
        <v>2</v>
      </c>
      <c r="BG252" s="58">
        <f t="shared" si="10"/>
        <v>0.6020599913279624</v>
      </c>
      <c r="BH252" s="58" t="s">
        <v>605</v>
      </c>
      <c r="BI252" s="58" t="s">
        <v>1245</v>
      </c>
      <c r="BJ252" s="60" t="s">
        <v>90</v>
      </c>
      <c r="BK252" s="61">
        <v>1</v>
      </c>
      <c r="BL252" s="62">
        <v>1</v>
      </c>
      <c r="BM252" s="62">
        <f t="shared" si="11"/>
        <v>0</v>
      </c>
      <c r="BN252" s="58" t="s">
        <v>607</v>
      </c>
      <c r="BO252" s="59"/>
      <c r="BP252" s="59">
        <v>20.5</v>
      </c>
      <c r="BQ252" s="63">
        <f t="shared" si="85"/>
        <v>2</v>
      </c>
      <c r="BR252" s="45">
        <v>1</v>
      </c>
      <c r="BS252" s="45">
        <f t="shared" si="13"/>
        <v>0.3010299956639812</v>
      </c>
      <c r="BU252" s="46"/>
      <c r="BV252" s="64">
        <v>2.25</v>
      </c>
      <c r="BW252" s="54">
        <f t="shared" si="86"/>
        <v>1</v>
      </c>
      <c r="BX252" s="45">
        <v>1</v>
      </c>
      <c r="BY252" s="45">
        <f t="shared" si="87"/>
        <v>0</v>
      </c>
      <c r="BZ252" s="61" t="s">
        <v>99</v>
      </c>
      <c r="CA252" s="46"/>
      <c r="CB252" s="65">
        <v>2251</v>
      </c>
      <c r="CC252" s="45">
        <v>2</v>
      </c>
      <c r="CD252" s="45">
        <v>2</v>
      </c>
      <c r="CE252" s="45">
        <f t="shared" si="16"/>
        <v>0.6020599913279624</v>
      </c>
      <c r="CG252" s="46"/>
      <c r="CH252" s="66" t="s">
        <v>92</v>
      </c>
      <c r="CI252" s="67">
        <v>3</v>
      </c>
      <c r="CJ252" s="68">
        <v>2</v>
      </c>
      <c r="CK252" s="68">
        <f t="shared" si="17"/>
        <v>0.95424250943932487</v>
      </c>
      <c r="CL252" s="68"/>
      <c r="CM252" s="69"/>
      <c r="CO252" s="70">
        <f t="shared" si="88"/>
        <v>1.8888888888888888</v>
      </c>
      <c r="CQ252" s="45">
        <f t="shared" si="19"/>
        <v>0.27326583197324783</v>
      </c>
      <c r="CR252" s="45">
        <f t="shared" si="20"/>
        <v>1.8761425449123872</v>
      </c>
      <c r="CT252" s="71">
        <f t="shared" si="21"/>
        <v>1.4149889258365671</v>
      </c>
    </row>
    <row r="253" spans="1:98" ht="16">
      <c r="A253" s="36">
        <v>251</v>
      </c>
      <c r="B253" s="37"/>
      <c r="C253" s="37"/>
      <c r="D253" s="37"/>
      <c r="E253" s="38" t="s">
        <v>1246</v>
      </c>
      <c r="F253" s="38" t="s">
        <v>1247</v>
      </c>
      <c r="G253" s="38" t="s">
        <v>1248</v>
      </c>
      <c r="H253" s="38" t="s">
        <v>1249</v>
      </c>
      <c r="I253" s="72">
        <v>8.5</v>
      </c>
      <c r="J253" s="53" t="s">
        <v>88</v>
      </c>
      <c r="K253" s="42">
        <v>0</v>
      </c>
      <c r="L253" s="42">
        <v>2</v>
      </c>
      <c r="M253" s="42">
        <v>1</v>
      </c>
      <c r="N253" s="42">
        <f t="shared" si="0"/>
        <v>2</v>
      </c>
      <c r="O253" s="53"/>
      <c r="P253" s="53"/>
      <c r="Q253" s="43">
        <v>132</v>
      </c>
      <c r="R253" s="44">
        <f t="shared" si="83"/>
        <v>1</v>
      </c>
      <c r="S253" s="45">
        <v>1</v>
      </c>
      <c r="T253" s="45">
        <f t="shared" si="2"/>
        <v>1</v>
      </c>
      <c r="V253" s="46"/>
      <c r="W253" s="58" t="s">
        <v>1250</v>
      </c>
      <c r="X253" s="73">
        <v>4.0999999999999996</v>
      </c>
      <c r="Y253" s="44">
        <f t="shared" si="3"/>
        <v>1</v>
      </c>
      <c r="Z253" s="45">
        <v>1</v>
      </c>
      <c r="AA253" s="45">
        <f t="shared" si="4"/>
        <v>1</v>
      </c>
      <c r="AB253" s="45">
        <v>1</v>
      </c>
      <c r="AD253" s="49" t="s">
        <v>1251</v>
      </c>
      <c r="AE253" s="50" t="s">
        <v>88</v>
      </c>
      <c r="AF253" s="50">
        <v>0</v>
      </c>
      <c r="AG253" s="50">
        <v>3</v>
      </c>
      <c r="AH253" s="50">
        <v>2</v>
      </c>
      <c r="AI253" s="50">
        <f t="shared" si="5"/>
        <v>6</v>
      </c>
      <c r="AJ253" s="50">
        <v>1</v>
      </c>
      <c r="AK253" s="51" t="s">
        <v>135</v>
      </c>
      <c r="AL253" s="61">
        <v>115</v>
      </c>
      <c r="AM253" s="53" t="s">
        <v>88</v>
      </c>
      <c r="AN253" s="42">
        <v>0</v>
      </c>
      <c r="AO253" s="54">
        <f t="shared" si="84"/>
        <v>1</v>
      </c>
      <c r="AP253" s="53">
        <v>2</v>
      </c>
      <c r="AQ253" s="53">
        <f t="shared" si="7"/>
        <v>2</v>
      </c>
      <c r="AR253" s="53"/>
      <c r="AS253" s="55"/>
      <c r="AT253" s="42">
        <v>0</v>
      </c>
      <c r="AU253" s="42" t="s">
        <v>88</v>
      </c>
      <c r="AV253" s="56">
        <v>0</v>
      </c>
      <c r="AW253" s="44">
        <f t="shared" si="8"/>
        <v>3</v>
      </c>
      <c r="AX253" s="42">
        <v>1</v>
      </c>
      <c r="AY253" s="42">
        <f t="shared" si="9"/>
        <v>3</v>
      </c>
      <c r="AZ253" s="42">
        <v>95</v>
      </c>
      <c r="BA253" s="53" t="s">
        <v>1252</v>
      </c>
      <c r="BB253" s="57" t="s">
        <v>602</v>
      </c>
      <c r="BC253" s="58" t="s">
        <v>603</v>
      </c>
      <c r="BD253" s="58" t="s">
        <v>609</v>
      </c>
      <c r="BE253" s="59">
        <v>1</v>
      </c>
      <c r="BF253" s="58">
        <v>2</v>
      </c>
      <c r="BG253" s="58">
        <f t="shared" si="10"/>
        <v>0</v>
      </c>
      <c r="BH253" s="58" t="s">
        <v>605</v>
      </c>
      <c r="BI253" s="58" t="s">
        <v>610</v>
      </c>
      <c r="BJ253" s="60" t="s">
        <v>90</v>
      </c>
      <c r="BK253" s="61">
        <v>1</v>
      </c>
      <c r="BL253" s="62">
        <v>1</v>
      </c>
      <c r="BM253" s="62">
        <f t="shared" si="11"/>
        <v>0</v>
      </c>
      <c r="BN253" s="58" t="s">
        <v>607</v>
      </c>
      <c r="BO253" s="59"/>
      <c r="BP253" s="59">
        <v>42.5</v>
      </c>
      <c r="BQ253" s="63">
        <f t="shared" si="85"/>
        <v>1</v>
      </c>
      <c r="BR253" s="45">
        <v>1</v>
      </c>
      <c r="BS253" s="45">
        <f t="shared" si="13"/>
        <v>0</v>
      </c>
      <c r="BU253" s="46"/>
      <c r="BV253" s="64">
        <v>3.3333333330000001</v>
      </c>
      <c r="BW253" s="54">
        <f t="shared" si="86"/>
        <v>2</v>
      </c>
      <c r="BX253" s="45">
        <v>1</v>
      </c>
      <c r="BY253" s="45">
        <f t="shared" si="87"/>
        <v>0.3010299956639812</v>
      </c>
      <c r="BZ253" s="61" t="s">
        <v>91</v>
      </c>
      <c r="CA253" s="46"/>
      <c r="CB253" s="65">
        <v>2228</v>
      </c>
      <c r="CC253" s="45">
        <v>2</v>
      </c>
      <c r="CD253" s="45">
        <v>2</v>
      </c>
      <c r="CE253" s="45">
        <f t="shared" si="16"/>
        <v>0.6020599913279624</v>
      </c>
      <c r="CG253" s="46"/>
      <c r="CH253" s="66" t="s">
        <v>216</v>
      </c>
      <c r="CI253" s="67">
        <v>3</v>
      </c>
      <c r="CJ253" s="68">
        <v>2</v>
      </c>
      <c r="CK253" s="68">
        <f t="shared" si="17"/>
        <v>0.95424250943932487</v>
      </c>
      <c r="CL253" s="68"/>
      <c r="CM253" s="69"/>
      <c r="CO253" s="70">
        <f t="shared" si="88"/>
        <v>1.4444444444444444</v>
      </c>
      <c r="CQ253" s="45">
        <f t="shared" si="19"/>
        <v>0.20637027738125205</v>
      </c>
      <c r="CR253" s="45">
        <f t="shared" si="20"/>
        <v>1.6083119076007948</v>
      </c>
      <c r="CT253" s="71">
        <f t="shared" si="21"/>
        <v>1.6702683806348819</v>
      </c>
    </row>
    <row r="254" spans="1:98" ht="16">
      <c r="A254" s="36">
        <v>252</v>
      </c>
      <c r="B254" s="37"/>
      <c r="C254" s="37"/>
      <c r="D254" s="37"/>
      <c r="E254" s="38" t="s">
        <v>1253</v>
      </c>
      <c r="F254" s="38" t="s">
        <v>1254</v>
      </c>
      <c r="G254" s="38" t="s">
        <v>1255</v>
      </c>
      <c r="H254" s="38" t="s">
        <v>1256</v>
      </c>
      <c r="I254" s="72">
        <v>4</v>
      </c>
      <c r="J254" s="53" t="s">
        <v>88</v>
      </c>
      <c r="K254" s="42">
        <v>0</v>
      </c>
      <c r="L254" s="42">
        <v>3</v>
      </c>
      <c r="M254" s="42">
        <v>1</v>
      </c>
      <c r="N254" s="42">
        <f t="shared" si="0"/>
        <v>3</v>
      </c>
      <c r="O254" s="76" t="s">
        <v>1257</v>
      </c>
      <c r="P254" s="53" t="s">
        <v>1258</v>
      </c>
      <c r="Q254" s="43">
        <v>13</v>
      </c>
      <c r="R254" s="44">
        <f t="shared" si="83"/>
        <v>3</v>
      </c>
      <c r="S254" s="45">
        <v>1</v>
      </c>
      <c r="T254" s="45">
        <f t="shared" si="2"/>
        <v>3</v>
      </c>
      <c r="V254" s="46"/>
      <c r="W254" s="58" t="s">
        <v>178</v>
      </c>
      <c r="X254" s="73">
        <v>3.4</v>
      </c>
      <c r="Y254" s="44">
        <f t="shared" si="3"/>
        <v>2</v>
      </c>
      <c r="Z254" s="45">
        <v>1</v>
      </c>
      <c r="AA254" s="45">
        <f t="shared" si="4"/>
        <v>2</v>
      </c>
      <c r="AB254" s="45">
        <v>1</v>
      </c>
      <c r="AD254" s="49" t="s">
        <v>1259</v>
      </c>
      <c r="AE254" s="50" t="s">
        <v>88</v>
      </c>
      <c r="AF254" s="50">
        <v>0</v>
      </c>
      <c r="AG254" s="50">
        <v>2</v>
      </c>
      <c r="AH254" s="50">
        <v>2</v>
      </c>
      <c r="AI254" s="50">
        <f t="shared" si="5"/>
        <v>4</v>
      </c>
      <c r="AJ254" s="50">
        <v>1</v>
      </c>
      <c r="AK254" s="51" t="s">
        <v>156</v>
      </c>
      <c r="AL254" s="61">
        <v>6685000</v>
      </c>
      <c r="AM254" s="53" t="s">
        <v>146</v>
      </c>
      <c r="AN254" s="42">
        <v>2</v>
      </c>
      <c r="AO254" s="54">
        <f t="shared" si="84"/>
        <v>3</v>
      </c>
      <c r="AP254" s="53">
        <v>2</v>
      </c>
      <c r="AQ254" s="53">
        <f t="shared" si="7"/>
        <v>6</v>
      </c>
      <c r="AR254" s="53"/>
      <c r="AS254" s="55" t="s">
        <v>1260</v>
      </c>
      <c r="AT254" s="42">
        <v>34</v>
      </c>
      <c r="AU254" s="42" t="s">
        <v>88</v>
      </c>
      <c r="AV254" s="56">
        <v>0</v>
      </c>
      <c r="AW254" s="44">
        <f t="shared" si="8"/>
        <v>1</v>
      </c>
      <c r="AX254" s="42">
        <v>1</v>
      </c>
      <c r="AY254" s="42">
        <f t="shared" si="9"/>
        <v>1</v>
      </c>
      <c r="AZ254" s="42"/>
      <c r="BA254" s="42"/>
      <c r="BB254" s="57" t="s">
        <v>602</v>
      </c>
      <c r="BC254" s="58" t="s">
        <v>603</v>
      </c>
      <c r="BD254" s="58" t="s">
        <v>604</v>
      </c>
      <c r="BE254" s="59">
        <v>2</v>
      </c>
      <c r="BF254" s="58">
        <v>2</v>
      </c>
      <c r="BG254" s="58">
        <f t="shared" si="10"/>
        <v>0.6020599913279624</v>
      </c>
      <c r="BH254" s="58" t="s">
        <v>605</v>
      </c>
      <c r="BI254" s="58" t="s">
        <v>1261</v>
      </c>
      <c r="BJ254" s="60" t="s">
        <v>90</v>
      </c>
      <c r="BK254" s="61">
        <v>1</v>
      </c>
      <c r="BL254" s="62">
        <v>1</v>
      </c>
      <c r="BM254" s="62">
        <f t="shared" si="11"/>
        <v>0</v>
      </c>
      <c r="BN254" s="58" t="s">
        <v>607</v>
      </c>
      <c r="BO254" s="67"/>
      <c r="BP254" s="67">
        <v>49</v>
      </c>
      <c r="BQ254" s="63">
        <f t="shared" si="85"/>
        <v>1</v>
      </c>
      <c r="BR254" s="45">
        <v>1</v>
      </c>
      <c r="BS254" s="45">
        <f t="shared" si="13"/>
        <v>0</v>
      </c>
      <c r="BU254" s="46"/>
      <c r="BV254" s="64">
        <v>2.25</v>
      </c>
      <c r="BW254" s="54">
        <f t="shared" si="86"/>
        <v>1</v>
      </c>
      <c r="BX254" s="45">
        <v>1</v>
      </c>
      <c r="BY254" s="45">
        <f t="shared" si="87"/>
        <v>0</v>
      </c>
      <c r="BZ254" s="61" t="s">
        <v>99</v>
      </c>
      <c r="CA254" s="46"/>
      <c r="CB254" s="65">
        <v>2201</v>
      </c>
      <c r="CC254" s="45">
        <v>2</v>
      </c>
      <c r="CD254" s="45">
        <v>2</v>
      </c>
      <c r="CE254" s="45">
        <f t="shared" si="16"/>
        <v>0.6020599913279624</v>
      </c>
      <c r="CG254" s="46"/>
      <c r="CH254" s="66" t="s">
        <v>92</v>
      </c>
      <c r="CI254" s="67">
        <v>3</v>
      </c>
      <c r="CJ254" s="68">
        <v>2</v>
      </c>
      <c r="CK254" s="68">
        <f t="shared" si="17"/>
        <v>0.95424250943932487</v>
      </c>
      <c r="CL254" s="68"/>
      <c r="CM254" s="69" t="s">
        <v>144</v>
      </c>
      <c r="CO254" s="70">
        <f t="shared" si="88"/>
        <v>1.7777777777777777</v>
      </c>
      <c r="CQ254" s="45">
        <f t="shared" si="19"/>
        <v>0.23981805467724998</v>
      </c>
      <c r="CR254" s="45">
        <f t="shared" si="20"/>
        <v>1.7370729389807016</v>
      </c>
      <c r="CT254" s="71">
        <f t="shared" si="21"/>
        <v>1.4272714100238526</v>
      </c>
    </row>
    <row r="255" spans="1:98" ht="16">
      <c r="A255" s="36">
        <v>253</v>
      </c>
      <c r="B255" s="37"/>
      <c r="C255" s="37"/>
      <c r="D255" s="37"/>
      <c r="E255" s="38" t="s">
        <v>1262</v>
      </c>
      <c r="F255" s="38" t="s">
        <v>150</v>
      </c>
      <c r="G255" s="38" t="s">
        <v>199</v>
      </c>
      <c r="H255" s="38" t="s">
        <v>152</v>
      </c>
      <c r="I255" s="72">
        <v>2.5</v>
      </c>
      <c r="J255" s="53" t="s">
        <v>88</v>
      </c>
      <c r="K255" s="42">
        <v>0</v>
      </c>
      <c r="L255" s="42">
        <v>3</v>
      </c>
      <c r="M255" s="42">
        <v>1</v>
      </c>
      <c r="N255" s="42">
        <f t="shared" si="0"/>
        <v>3</v>
      </c>
      <c r="O255" s="53"/>
      <c r="P255" s="53"/>
      <c r="Q255" s="43">
        <v>10.3</v>
      </c>
      <c r="R255" s="44">
        <f t="shared" si="83"/>
        <v>3</v>
      </c>
      <c r="S255" s="45">
        <v>1</v>
      </c>
      <c r="T255" s="45">
        <f t="shared" si="2"/>
        <v>3</v>
      </c>
      <c r="V255" s="46"/>
      <c r="W255" s="58" t="s">
        <v>191</v>
      </c>
      <c r="X255" s="73">
        <v>3.5</v>
      </c>
      <c r="Y255" s="44">
        <f t="shared" si="3"/>
        <v>2</v>
      </c>
      <c r="Z255" s="45">
        <v>1</v>
      </c>
      <c r="AA255" s="45">
        <f t="shared" si="4"/>
        <v>2</v>
      </c>
      <c r="AB255" s="45">
        <v>1</v>
      </c>
      <c r="AD255" s="49" t="s">
        <v>155</v>
      </c>
      <c r="AE255" s="50" t="s">
        <v>88</v>
      </c>
      <c r="AF255" s="50">
        <v>0</v>
      </c>
      <c r="AG255" s="50">
        <v>2</v>
      </c>
      <c r="AH255" s="50">
        <v>2</v>
      </c>
      <c r="AI255" s="50">
        <f t="shared" si="5"/>
        <v>4</v>
      </c>
      <c r="AJ255" s="50">
        <v>1</v>
      </c>
      <c r="AK255" s="51" t="s">
        <v>156</v>
      </c>
      <c r="AL255" s="61">
        <v>539520</v>
      </c>
      <c r="AM255" s="53" t="s">
        <v>146</v>
      </c>
      <c r="AN255" s="42">
        <v>2</v>
      </c>
      <c r="AO255" s="54">
        <f t="shared" si="84"/>
        <v>3</v>
      </c>
      <c r="AP255" s="53">
        <v>2</v>
      </c>
      <c r="AQ255" s="53">
        <f t="shared" si="7"/>
        <v>6</v>
      </c>
      <c r="AR255" s="53"/>
      <c r="AS255" s="55"/>
      <c r="AT255" s="53">
        <v>42.2</v>
      </c>
      <c r="AU255" s="42" t="s">
        <v>115</v>
      </c>
      <c r="AV255" s="44">
        <v>1</v>
      </c>
      <c r="AW255" s="44">
        <f t="shared" si="8"/>
        <v>1</v>
      </c>
      <c r="AX255" s="42">
        <v>1</v>
      </c>
      <c r="AY255" s="42">
        <f t="shared" si="9"/>
        <v>1</v>
      </c>
      <c r="AZ255" s="42">
        <v>91</v>
      </c>
      <c r="BA255" s="53" t="s">
        <v>1263</v>
      </c>
      <c r="BB255" s="57" t="s">
        <v>602</v>
      </c>
      <c r="BC255" s="58" t="s">
        <v>603</v>
      </c>
      <c r="BD255" s="58" t="s">
        <v>609</v>
      </c>
      <c r="BE255" s="59">
        <v>1</v>
      </c>
      <c r="BF255" s="58">
        <v>2</v>
      </c>
      <c r="BG255" s="58">
        <f t="shared" si="10"/>
        <v>0</v>
      </c>
      <c r="BH255" s="58" t="s">
        <v>605</v>
      </c>
      <c r="BI255" s="58" t="s">
        <v>610</v>
      </c>
      <c r="BJ255" s="60" t="s">
        <v>90</v>
      </c>
      <c r="BK255" s="61">
        <v>1</v>
      </c>
      <c r="BL255" s="62">
        <v>1</v>
      </c>
      <c r="BM255" s="62">
        <f t="shared" si="11"/>
        <v>0</v>
      </c>
      <c r="BN255" s="58" t="s">
        <v>607</v>
      </c>
      <c r="BO255" s="67"/>
      <c r="BP255" s="67">
        <v>40</v>
      </c>
      <c r="BQ255" s="63">
        <f t="shared" si="85"/>
        <v>1</v>
      </c>
      <c r="BR255" s="45">
        <v>1</v>
      </c>
      <c r="BS255" s="45">
        <f t="shared" si="13"/>
        <v>0</v>
      </c>
      <c r="BU255" s="46"/>
      <c r="BV255" s="64">
        <v>1.6666666670000001</v>
      </c>
      <c r="BW255" s="54">
        <f t="shared" si="86"/>
        <v>1</v>
      </c>
      <c r="BX255" s="45">
        <v>1</v>
      </c>
      <c r="BY255" s="45">
        <f t="shared" si="87"/>
        <v>0</v>
      </c>
      <c r="BZ255" s="61" t="s">
        <v>91</v>
      </c>
      <c r="CA255" s="46"/>
      <c r="CB255" s="65">
        <v>2175</v>
      </c>
      <c r="CC255" s="45">
        <v>2</v>
      </c>
      <c r="CD255" s="45">
        <v>2</v>
      </c>
      <c r="CE255" s="45">
        <f t="shared" si="16"/>
        <v>0.6020599913279624</v>
      </c>
      <c r="CG255" s="46"/>
      <c r="CH255" s="66" t="s">
        <v>92</v>
      </c>
      <c r="CI255" s="67">
        <v>3</v>
      </c>
      <c r="CJ255" s="68">
        <v>2</v>
      </c>
      <c r="CK255" s="68">
        <f t="shared" si="17"/>
        <v>0.95424250943932487</v>
      </c>
      <c r="CL255" s="78"/>
      <c r="CM255" s="79" t="s">
        <v>144</v>
      </c>
      <c r="CO255" s="70">
        <f t="shared" si="88"/>
        <v>1.7777777777777777</v>
      </c>
      <c r="CQ255" s="45">
        <f t="shared" si="19"/>
        <v>0.17292250008525414</v>
      </c>
      <c r="CR255" s="45">
        <f t="shared" si="20"/>
        <v>1.4890953247181091</v>
      </c>
      <c r="CT255" s="71">
        <f t="shared" si="21"/>
        <v>1.3164503018173301</v>
      </c>
    </row>
    <row r="256" spans="1:98" ht="16">
      <c r="A256" s="36">
        <v>254</v>
      </c>
      <c r="B256" s="37"/>
      <c r="C256" s="37"/>
      <c r="D256" s="37"/>
      <c r="E256" s="38" t="s">
        <v>1264</v>
      </c>
      <c r="F256" s="38" t="s">
        <v>529</v>
      </c>
      <c r="G256" s="38" t="s">
        <v>1265</v>
      </c>
      <c r="H256" s="38" t="s">
        <v>83</v>
      </c>
      <c r="I256" s="72">
        <v>6.3</v>
      </c>
      <c r="J256" s="53" t="s">
        <v>146</v>
      </c>
      <c r="K256" s="42">
        <v>2</v>
      </c>
      <c r="L256" s="42">
        <v>2</v>
      </c>
      <c r="M256" s="42">
        <v>1</v>
      </c>
      <c r="N256" s="42">
        <f t="shared" si="0"/>
        <v>2</v>
      </c>
      <c r="O256" s="42" t="s">
        <v>799</v>
      </c>
      <c r="P256" s="53"/>
      <c r="Q256" s="43">
        <v>10.33333333</v>
      </c>
      <c r="R256" s="44">
        <f t="shared" si="83"/>
        <v>3</v>
      </c>
      <c r="S256" s="45">
        <v>1</v>
      </c>
      <c r="T256" s="45">
        <f t="shared" si="2"/>
        <v>3</v>
      </c>
      <c r="V256" s="46"/>
      <c r="W256" s="58" t="s">
        <v>1266</v>
      </c>
      <c r="X256" s="73">
        <v>2.2000000000000002</v>
      </c>
      <c r="Y256" s="44">
        <f t="shared" si="3"/>
        <v>3</v>
      </c>
      <c r="Z256" s="45">
        <v>1</v>
      </c>
      <c r="AA256" s="45">
        <f t="shared" si="4"/>
        <v>3</v>
      </c>
      <c r="AB256" s="45">
        <v>1</v>
      </c>
      <c r="AD256" s="49" t="s">
        <v>87</v>
      </c>
      <c r="AE256" s="50" t="s">
        <v>88</v>
      </c>
      <c r="AF256" s="50">
        <v>0</v>
      </c>
      <c r="AG256" s="50">
        <v>3</v>
      </c>
      <c r="AH256" s="50">
        <v>2</v>
      </c>
      <c r="AI256" s="50">
        <f t="shared" si="5"/>
        <v>6</v>
      </c>
      <c r="AJ256" s="50">
        <v>1</v>
      </c>
      <c r="AK256" s="51" t="s">
        <v>89</v>
      </c>
      <c r="AL256" s="52">
        <v>57661</v>
      </c>
      <c r="AM256" s="53" t="s">
        <v>146</v>
      </c>
      <c r="AN256" s="42">
        <v>2</v>
      </c>
      <c r="AO256" s="54">
        <f t="shared" si="84"/>
        <v>3</v>
      </c>
      <c r="AP256" s="53">
        <v>2</v>
      </c>
      <c r="AQ256" s="53">
        <f t="shared" si="7"/>
        <v>6</v>
      </c>
      <c r="AR256" s="53"/>
      <c r="AS256" s="55"/>
      <c r="AT256" s="42">
        <v>22.4</v>
      </c>
      <c r="AU256" s="42" t="s">
        <v>88</v>
      </c>
      <c r="AV256" s="56">
        <v>0</v>
      </c>
      <c r="AW256" s="44">
        <f t="shared" si="8"/>
        <v>2</v>
      </c>
      <c r="AX256" s="42">
        <v>1</v>
      </c>
      <c r="AY256" s="42">
        <f t="shared" si="9"/>
        <v>2</v>
      </c>
      <c r="AZ256" s="42"/>
      <c r="BA256" s="42"/>
      <c r="BB256" s="57" t="s">
        <v>602</v>
      </c>
      <c r="BC256" s="58" t="s">
        <v>603</v>
      </c>
      <c r="BD256" s="58" t="s">
        <v>609</v>
      </c>
      <c r="BE256" s="59">
        <v>1</v>
      </c>
      <c r="BF256" s="58">
        <v>2</v>
      </c>
      <c r="BG256" s="58">
        <f t="shared" si="10"/>
        <v>0</v>
      </c>
      <c r="BH256" s="58" t="s">
        <v>605</v>
      </c>
      <c r="BI256" s="58" t="s">
        <v>610</v>
      </c>
      <c r="BJ256" s="60" t="s">
        <v>90</v>
      </c>
      <c r="BK256" s="61">
        <v>1</v>
      </c>
      <c r="BL256" s="62">
        <v>1</v>
      </c>
      <c r="BM256" s="62">
        <f t="shared" si="11"/>
        <v>0</v>
      </c>
      <c r="BN256" s="58" t="s">
        <v>607</v>
      </c>
      <c r="BO256" s="61"/>
      <c r="BP256" s="92">
        <v>20.5</v>
      </c>
      <c r="BQ256" s="90">
        <f t="shared" si="85"/>
        <v>2</v>
      </c>
      <c r="BR256" s="45">
        <v>1</v>
      </c>
      <c r="BS256" s="45">
        <f t="shared" si="13"/>
        <v>0.3010299956639812</v>
      </c>
      <c r="BT256" s="93"/>
      <c r="BU256" s="94"/>
      <c r="BV256" s="64">
        <v>1.6666666670000001</v>
      </c>
      <c r="BW256" s="54">
        <f t="shared" si="86"/>
        <v>1</v>
      </c>
      <c r="BX256" s="45">
        <v>1</v>
      </c>
      <c r="BY256" s="45">
        <f t="shared" si="87"/>
        <v>0</v>
      </c>
      <c r="BZ256" s="61" t="s">
        <v>381</v>
      </c>
      <c r="CA256" s="46"/>
      <c r="CB256" s="65">
        <v>2171</v>
      </c>
      <c r="CC256" s="45">
        <v>2</v>
      </c>
      <c r="CD256" s="45">
        <v>2</v>
      </c>
      <c r="CE256" s="45">
        <f t="shared" si="16"/>
        <v>0.6020599913279624</v>
      </c>
      <c r="CG256" s="46"/>
      <c r="CH256" s="66" t="s">
        <v>106</v>
      </c>
      <c r="CI256" s="67">
        <v>3</v>
      </c>
      <c r="CJ256" s="68">
        <v>2</v>
      </c>
      <c r="CK256" s="68">
        <f t="shared" si="17"/>
        <v>0.95424250943932487</v>
      </c>
      <c r="CL256" s="78"/>
      <c r="CM256" s="79" t="s">
        <v>144</v>
      </c>
      <c r="CO256" s="70">
        <f t="shared" si="88"/>
        <v>2.2222222222222223</v>
      </c>
      <c r="CQ256" s="45">
        <f t="shared" si="19"/>
        <v>0.20637027738125205</v>
      </c>
      <c r="CR256" s="45">
        <f t="shared" si="20"/>
        <v>1.6083119076007948</v>
      </c>
      <c r="CT256" s="71">
        <f t="shared" si="21"/>
        <v>0.98741159023674419</v>
      </c>
    </row>
    <row r="257" spans="1:98" ht="16">
      <c r="A257" s="36">
        <v>255</v>
      </c>
      <c r="B257" s="37"/>
      <c r="C257" s="37"/>
      <c r="D257" s="37"/>
      <c r="E257" s="38" t="s">
        <v>1267</v>
      </c>
      <c r="F257" s="38" t="s">
        <v>205</v>
      </c>
      <c r="G257" s="38" t="s">
        <v>1268</v>
      </c>
      <c r="H257" s="38" t="s">
        <v>184</v>
      </c>
      <c r="I257" s="72">
        <v>5.4</v>
      </c>
      <c r="J257" s="53" t="s">
        <v>146</v>
      </c>
      <c r="K257" s="42">
        <v>2</v>
      </c>
      <c r="L257" s="42">
        <v>2</v>
      </c>
      <c r="M257" s="42">
        <v>1</v>
      </c>
      <c r="N257" s="42">
        <f t="shared" si="0"/>
        <v>2</v>
      </c>
      <c r="O257" s="42" t="s">
        <v>799</v>
      </c>
      <c r="P257" s="53"/>
      <c r="Q257" s="43">
        <v>25</v>
      </c>
      <c r="R257" s="44">
        <f t="shared" si="83"/>
        <v>3</v>
      </c>
      <c r="S257" s="45">
        <v>1</v>
      </c>
      <c r="T257" s="45">
        <f t="shared" si="2"/>
        <v>3</v>
      </c>
      <c r="V257" s="46"/>
      <c r="W257" s="58" t="s">
        <v>1269</v>
      </c>
      <c r="X257" s="73">
        <v>3.4</v>
      </c>
      <c r="Y257" s="44">
        <f t="shared" si="3"/>
        <v>2</v>
      </c>
      <c r="Z257" s="45">
        <v>1</v>
      </c>
      <c r="AA257" s="45">
        <f t="shared" si="4"/>
        <v>2</v>
      </c>
      <c r="AB257" s="45">
        <v>1</v>
      </c>
      <c r="AD257" s="49" t="s">
        <v>113</v>
      </c>
      <c r="AE257" s="50" t="s">
        <v>88</v>
      </c>
      <c r="AF257" s="50">
        <v>0</v>
      </c>
      <c r="AG257" s="50">
        <v>3</v>
      </c>
      <c r="AH257" s="50">
        <v>2</v>
      </c>
      <c r="AI257" s="50">
        <f t="shared" si="5"/>
        <v>6</v>
      </c>
      <c r="AJ257" s="50">
        <v>1</v>
      </c>
      <c r="AK257" s="51" t="s">
        <v>114</v>
      </c>
      <c r="AL257" s="52">
        <v>69595</v>
      </c>
      <c r="AM257" s="53" t="s">
        <v>115</v>
      </c>
      <c r="AN257" s="42">
        <v>1</v>
      </c>
      <c r="AO257" s="54">
        <f t="shared" si="84"/>
        <v>3</v>
      </c>
      <c r="AP257" s="53">
        <v>2</v>
      </c>
      <c r="AQ257" s="53">
        <f t="shared" si="7"/>
        <v>6</v>
      </c>
      <c r="AR257" s="53"/>
      <c r="AS257" s="55"/>
      <c r="AT257" s="42">
        <v>19.66</v>
      </c>
      <c r="AU257" s="42" t="s">
        <v>146</v>
      </c>
      <c r="AV257" s="44">
        <v>2</v>
      </c>
      <c r="AW257" s="44">
        <f t="shared" si="8"/>
        <v>2</v>
      </c>
      <c r="AX257" s="42">
        <v>1</v>
      </c>
      <c r="AY257" s="42">
        <f t="shared" si="9"/>
        <v>2</v>
      </c>
      <c r="AZ257" s="42" t="s">
        <v>209</v>
      </c>
      <c r="BA257" s="53" t="s">
        <v>631</v>
      </c>
      <c r="BB257" s="57" t="s">
        <v>602</v>
      </c>
      <c r="BC257" s="58" t="s">
        <v>603</v>
      </c>
      <c r="BD257" s="58" t="s">
        <v>609</v>
      </c>
      <c r="BE257" s="59">
        <v>1</v>
      </c>
      <c r="BF257" s="58">
        <v>2</v>
      </c>
      <c r="BG257" s="58">
        <f t="shared" si="10"/>
        <v>0</v>
      </c>
      <c r="BH257" s="58" t="s">
        <v>605</v>
      </c>
      <c r="BI257" s="58" t="s">
        <v>610</v>
      </c>
      <c r="BJ257" s="60" t="s">
        <v>90</v>
      </c>
      <c r="BK257" s="61">
        <v>1</v>
      </c>
      <c r="BL257" s="62">
        <v>1</v>
      </c>
      <c r="BM257" s="62">
        <f t="shared" si="11"/>
        <v>0</v>
      </c>
      <c r="BN257" s="58" t="s">
        <v>607</v>
      </c>
      <c r="BO257" s="67"/>
      <c r="BP257" s="67">
        <v>23</v>
      </c>
      <c r="BQ257" s="63">
        <f t="shared" si="85"/>
        <v>2</v>
      </c>
      <c r="BR257" s="45">
        <v>1</v>
      </c>
      <c r="BS257" s="45">
        <f t="shared" si="13"/>
        <v>0.3010299956639812</v>
      </c>
      <c r="BU257" s="46"/>
      <c r="BV257" s="64">
        <v>2.25</v>
      </c>
      <c r="BW257" s="54">
        <f t="shared" si="86"/>
        <v>1</v>
      </c>
      <c r="BX257" s="45">
        <v>1</v>
      </c>
      <c r="BY257" s="45">
        <f t="shared" si="87"/>
        <v>0</v>
      </c>
      <c r="BZ257" s="61" t="s">
        <v>273</v>
      </c>
      <c r="CA257" s="46"/>
      <c r="CB257" s="65">
        <v>2155</v>
      </c>
      <c r="CC257" s="45">
        <v>2</v>
      </c>
      <c r="CD257" s="45">
        <v>2</v>
      </c>
      <c r="CE257" s="45">
        <f t="shared" si="16"/>
        <v>0.6020599913279624</v>
      </c>
      <c r="CG257" s="46"/>
      <c r="CH257" s="66" t="s">
        <v>106</v>
      </c>
      <c r="CI257" s="67">
        <v>3</v>
      </c>
      <c r="CJ257" s="68">
        <v>2</v>
      </c>
      <c r="CK257" s="68">
        <f t="shared" si="17"/>
        <v>0.95424250943932487</v>
      </c>
      <c r="CL257" s="78"/>
      <c r="CM257" s="79" t="s">
        <v>144</v>
      </c>
      <c r="CO257" s="70">
        <f t="shared" si="88"/>
        <v>2.1111111111111112</v>
      </c>
      <c r="CQ257" s="45">
        <f t="shared" si="19"/>
        <v>0.20637027738125205</v>
      </c>
      <c r="CR257" s="45">
        <f t="shared" si="20"/>
        <v>1.6083119076007948</v>
      </c>
      <c r="CT257" s="71">
        <f t="shared" si="21"/>
        <v>1.0771104092520141</v>
      </c>
    </row>
    <row r="258" spans="1:98" ht="16">
      <c r="A258" s="36">
        <v>256</v>
      </c>
      <c r="B258" s="37"/>
      <c r="C258" s="37"/>
      <c r="D258" s="37"/>
      <c r="E258" s="38" t="s">
        <v>1270</v>
      </c>
      <c r="F258" s="38" t="s">
        <v>1271</v>
      </c>
      <c r="G258" s="38" t="s">
        <v>396</v>
      </c>
      <c r="H258" s="38" t="s">
        <v>83</v>
      </c>
      <c r="I258" s="72">
        <v>6.5</v>
      </c>
      <c r="J258" s="53" t="s">
        <v>88</v>
      </c>
      <c r="K258" s="42">
        <v>0</v>
      </c>
      <c r="L258" s="42">
        <v>2</v>
      </c>
      <c r="M258" s="42">
        <v>1</v>
      </c>
      <c r="N258" s="42">
        <f t="shared" ref="N258:N285" si="89">L258*M258</f>
        <v>2</v>
      </c>
      <c r="O258" s="53"/>
      <c r="P258" s="53"/>
      <c r="Q258" s="43">
        <v>21</v>
      </c>
      <c r="R258" s="44">
        <f t="shared" si="83"/>
        <v>3</v>
      </c>
      <c r="S258" s="45">
        <v>1</v>
      </c>
      <c r="T258" s="45">
        <f t="shared" ref="T258:T285" si="90">R258*S258</f>
        <v>3</v>
      </c>
      <c r="V258" s="46"/>
      <c r="W258" s="58" t="s">
        <v>1272</v>
      </c>
      <c r="X258" s="108">
        <v>2.1</v>
      </c>
      <c r="Y258" s="44">
        <f t="shared" ref="Y258:Y285" si="91">IF(X258="","***",IF(X258&gt;3.5,1,IF(X258&lt;2.5,3,2)))</f>
        <v>3</v>
      </c>
      <c r="Z258" s="45">
        <v>1</v>
      </c>
      <c r="AA258" s="45">
        <f t="shared" ref="AA258:AA285" si="92">Y258*Z258</f>
        <v>3</v>
      </c>
      <c r="AB258" s="45">
        <v>1</v>
      </c>
      <c r="AD258" s="49" t="s">
        <v>87</v>
      </c>
      <c r="AE258" s="50" t="s">
        <v>88</v>
      </c>
      <c r="AF258" s="50">
        <v>0</v>
      </c>
      <c r="AG258" s="50">
        <v>3</v>
      </c>
      <c r="AH258" s="50">
        <v>2</v>
      </c>
      <c r="AI258" s="50">
        <f t="shared" ref="AI258:AI285" si="93">AG258*AH258</f>
        <v>6</v>
      </c>
      <c r="AJ258" s="50">
        <v>1</v>
      </c>
      <c r="AK258" s="51" t="s">
        <v>89</v>
      </c>
      <c r="AL258" s="61">
        <v>19000</v>
      </c>
      <c r="AM258" s="53" t="s">
        <v>88</v>
      </c>
      <c r="AN258" s="42">
        <v>0</v>
      </c>
      <c r="AO258" s="54">
        <f t="shared" si="84"/>
        <v>3</v>
      </c>
      <c r="AP258" s="53">
        <v>2</v>
      </c>
      <c r="AQ258" s="53">
        <f t="shared" ref="AQ258:AQ285" si="94">AO258*AP258</f>
        <v>6</v>
      </c>
      <c r="AR258" s="53"/>
      <c r="AS258" s="55"/>
      <c r="AT258" s="42">
        <v>24.4</v>
      </c>
      <c r="AU258" s="42" t="s">
        <v>88</v>
      </c>
      <c r="AV258" s="56">
        <v>0</v>
      </c>
      <c r="AW258" s="44">
        <f t="shared" ref="AW258:AW285" si="95">IF(AT258="","***",IF(AT258&lt;14,3,IF(AT258&lt;30,2,1)))</f>
        <v>2</v>
      </c>
      <c r="AX258" s="42">
        <v>1</v>
      </c>
      <c r="AY258" s="42">
        <f t="shared" ref="AY258:AY285" si="96">AW258*AX258</f>
        <v>2</v>
      </c>
      <c r="AZ258" s="42"/>
      <c r="BA258" s="42"/>
      <c r="BB258" s="57" t="s">
        <v>602</v>
      </c>
      <c r="BC258" s="58" t="s">
        <v>603</v>
      </c>
      <c r="BD258" s="58" t="s">
        <v>604</v>
      </c>
      <c r="BE258" s="59">
        <v>2</v>
      </c>
      <c r="BF258" s="58">
        <v>2</v>
      </c>
      <c r="BG258" s="58">
        <f t="shared" ref="BG258:BG285" si="97">BF258*LOG(BE258)</f>
        <v>0.6020599913279624</v>
      </c>
      <c r="BH258" s="58" t="s">
        <v>605</v>
      </c>
      <c r="BI258" s="58" t="s">
        <v>606</v>
      </c>
      <c r="BJ258" s="60" t="s">
        <v>90</v>
      </c>
      <c r="BK258" s="67">
        <v>1</v>
      </c>
      <c r="BL258" s="62">
        <v>1</v>
      </c>
      <c r="BM258" s="62">
        <f t="shared" ref="BM258:BM285" si="98">BL258*LOG(BK258)</f>
        <v>0</v>
      </c>
      <c r="BN258" s="58" t="s">
        <v>607</v>
      </c>
      <c r="BO258" s="67"/>
      <c r="BP258" s="67">
        <v>20</v>
      </c>
      <c r="BQ258" s="63">
        <f t="shared" si="85"/>
        <v>2</v>
      </c>
      <c r="BR258" s="45">
        <v>1</v>
      </c>
      <c r="BS258" s="45">
        <f t="shared" ref="BS258:BS285" si="99">BR258*LOG(BQ258)</f>
        <v>0.3010299956639812</v>
      </c>
      <c r="BU258" s="46"/>
      <c r="BV258" s="64">
        <v>1.875</v>
      </c>
      <c r="BW258" s="54">
        <f t="shared" si="86"/>
        <v>1</v>
      </c>
      <c r="BX258" s="45">
        <v>1</v>
      </c>
      <c r="BY258" s="45">
        <f t="shared" si="87"/>
        <v>0</v>
      </c>
      <c r="BZ258" s="61" t="s">
        <v>99</v>
      </c>
      <c r="CA258" s="46"/>
      <c r="CB258" s="65">
        <v>2142</v>
      </c>
      <c r="CC258" s="45">
        <v>2</v>
      </c>
      <c r="CD258" s="45">
        <v>2</v>
      </c>
      <c r="CE258" s="45">
        <f t="shared" ref="CE258:CE285" si="100">CD258*LOG(CC258)</f>
        <v>0.6020599913279624</v>
      </c>
      <c r="CG258" s="46"/>
      <c r="CH258" s="66" t="s">
        <v>106</v>
      </c>
      <c r="CI258" s="67">
        <v>3</v>
      </c>
      <c r="CJ258" s="68">
        <v>2</v>
      </c>
      <c r="CK258" s="68">
        <f t="shared" ref="CK258:CK285" si="101">CJ258*LOG(CI258)</f>
        <v>0.95424250943932487</v>
      </c>
      <c r="CL258" s="78"/>
      <c r="CM258" s="79" t="s">
        <v>144</v>
      </c>
      <c r="CO258" s="70">
        <f t="shared" si="88"/>
        <v>2.2222222222222223</v>
      </c>
      <c r="CQ258" s="45">
        <f t="shared" ref="CQ258:CQ285" si="102">SUM(BG258,BM258,BS258,BY258,CE258,CK258)/SUM(BF258,BL258,BR258,BX258,CD258,CJ258)</f>
        <v>0.27326583197324783</v>
      </c>
      <c r="CR258" s="45">
        <f t="shared" ref="CR258:CR285" si="103">10^CQ258</f>
        <v>1.8761425449123872</v>
      </c>
      <c r="CT258" s="71">
        <f t="shared" ref="CT258:CT285" si="104">SQRT(((CO258-3)^2)+(CR258-1)^2)</f>
        <v>1.1715647786659056</v>
      </c>
    </row>
    <row r="259" spans="1:98" ht="16">
      <c r="A259" s="36">
        <v>257</v>
      </c>
      <c r="B259" s="37" t="s">
        <v>144</v>
      </c>
      <c r="C259" s="37"/>
      <c r="D259" s="37"/>
      <c r="E259" s="38" t="s">
        <v>1273</v>
      </c>
      <c r="F259" s="38" t="s">
        <v>448</v>
      </c>
      <c r="G259" s="38" t="s">
        <v>1274</v>
      </c>
      <c r="H259" s="38" t="s">
        <v>160</v>
      </c>
      <c r="I259" s="72">
        <v>8.5</v>
      </c>
      <c r="J259" s="53" t="s">
        <v>88</v>
      </c>
      <c r="K259" s="42">
        <v>0</v>
      </c>
      <c r="L259" s="42">
        <v>2</v>
      </c>
      <c r="M259" s="42">
        <v>1</v>
      </c>
      <c r="N259" s="42">
        <f t="shared" si="89"/>
        <v>2</v>
      </c>
      <c r="O259" s="53"/>
      <c r="P259" s="53"/>
      <c r="Q259" s="43">
        <v>38</v>
      </c>
      <c r="R259" s="44">
        <f t="shared" si="83"/>
        <v>2</v>
      </c>
      <c r="S259" s="45">
        <v>1</v>
      </c>
      <c r="T259" s="45">
        <f t="shared" si="90"/>
        <v>2</v>
      </c>
      <c r="V259" s="46"/>
      <c r="W259" s="58" t="s">
        <v>1275</v>
      </c>
      <c r="X259" s="108">
        <v>2.7</v>
      </c>
      <c r="Y259" s="44">
        <f t="shared" si="91"/>
        <v>2</v>
      </c>
      <c r="Z259" s="45">
        <v>1</v>
      </c>
      <c r="AA259" s="45">
        <f t="shared" si="92"/>
        <v>2</v>
      </c>
      <c r="AB259" s="45">
        <v>1</v>
      </c>
      <c r="AD259" s="49" t="s">
        <v>163</v>
      </c>
      <c r="AE259" s="50" t="s">
        <v>146</v>
      </c>
      <c r="AF259" s="50">
        <v>2</v>
      </c>
      <c r="AG259" s="50">
        <v>3</v>
      </c>
      <c r="AH259" s="50">
        <v>2</v>
      </c>
      <c r="AI259" s="50">
        <f t="shared" si="93"/>
        <v>6</v>
      </c>
      <c r="AJ259" s="50">
        <v>1</v>
      </c>
      <c r="AK259" s="51" t="s">
        <v>165</v>
      </c>
      <c r="AL259" s="61">
        <v>66943</v>
      </c>
      <c r="AM259" s="53" t="s">
        <v>146</v>
      </c>
      <c r="AN259" s="42">
        <v>2</v>
      </c>
      <c r="AO259" s="54">
        <f t="shared" si="84"/>
        <v>3</v>
      </c>
      <c r="AP259" s="53">
        <v>2</v>
      </c>
      <c r="AQ259" s="53">
        <f t="shared" si="94"/>
        <v>6</v>
      </c>
      <c r="AR259" s="53"/>
      <c r="AS259" s="55"/>
      <c r="AT259" s="42">
        <v>20.399999999999999</v>
      </c>
      <c r="AU259" s="42" t="s">
        <v>88</v>
      </c>
      <c r="AV259" s="56">
        <v>0</v>
      </c>
      <c r="AW259" s="44">
        <f t="shared" si="95"/>
        <v>2</v>
      </c>
      <c r="AX259" s="42">
        <v>1</v>
      </c>
      <c r="AY259" s="42">
        <f t="shared" si="96"/>
        <v>2</v>
      </c>
      <c r="AZ259" s="42"/>
      <c r="BA259" s="42"/>
      <c r="BB259" s="57" t="s">
        <v>602</v>
      </c>
      <c r="BC259" s="58" t="s">
        <v>603</v>
      </c>
      <c r="BD259" s="58" t="s">
        <v>604</v>
      </c>
      <c r="BE259" s="59">
        <v>2</v>
      </c>
      <c r="BF259" s="58">
        <v>2</v>
      </c>
      <c r="BG259" s="58">
        <f t="shared" si="97"/>
        <v>0.6020599913279624</v>
      </c>
      <c r="BH259" s="58" t="s">
        <v>605</v>
      </c>
      <c r="BI259" s="58" t="s">
        <v>946</v>
      </c>
      <c r="BJ259" s="60" t="s">
        <v>166</v>
      </c>
      <c r="BK259" s="67">
        <v>3</v>
      </c>
      <c r="BL259" s="62">
        <v>1</v>
      </c>
      <c r="BM259" s="62">
        <f t="shared" si="98"/>
        <v>0.47712125471966244</v>
      </c>
      <c r="BN259" s="58" t="s">
        <v>607</v>
      </c>
      <c r="BO259" s="67"/>
      <c r="BP259" s="67">
        <v>17.5</v>
      </c>
      <c r="BQ259" s="63">
        <f t="shared" si="85"/>
        <v>2</v>
      </c>
      <c r="BR259" s="45">
        <v>1</v>
      </c>
      <c r="BS259" s="45">
        <f t="shared" si="99"/>
        <v>0.3010299956639812</v>
      </c>
      <c r="BU259" s="46"/>
      <c r="BV259" s="64">
        <v>2.3333333330000001</v>
      </c>
      <c r="BW259" s="54">
        <f t="shared" si="86"/>
        <v>1</v>
      </c>
      <c r="BX259" s="45">
        <v>1</v>
      </c>
      <c r="BY259" s="45">
        <f t="shared" si="87"/>
        <v>0</v>
      </c>
      <c r="BZ259" s="61" t="s">
        <v>91</v>
      </c>
      <c r="CA259" s="46"/>
      <c r="CB259" s="65">
        <v>2142</v>
      </c>
      <c r="CC259" s="45">
        <v>2</v>
      </c>
      <c r="CD259" s="45">
        <v>2</v>
      </c>
      <c r="CE259" s="45">
        <f t="shared" si="100"/>
        <v>0.6020599913279624</v>
      </c>
      <c r="CG259" s="46"/>
      <c r="CH259" s="66" t="s">
        <v>180</v>
      </c>
      <c r="CI259" s="67">
        <v>3</v>
      </c>
      <c r="CJ259" s="68">
        <v>2</v>
      </c>
      <c r="CK259" s="68">
        <f t="shared" si="101"/>
        <v>0.95424250943932487</v>
      </c>
      <c r="CL259" s="78"/>
      <c r="CM259" s="79" t="s">
        <v>144</v>
      </c>
      <c r="CO259" s="70">
        <f t="shared" si="88"/>
        <v>2</v>
      </c>
      <c r="CQ259" s="45">
        <f t="shared" si="102"/>
        <v>0.32627930471987704</v>
      </c>
      <c r="CR259" s="45">
        <f t="shared" si="103"/>
        <v>2.1197239399504597</v>
      </c>
      <c r="CT259" s="71">
        <f t="shared" si="104"/>
        <v>1.5012600380008057</v>
      </c>
    </row>
    <row r="260" spans="1:98" ht="16">
      <c r="A260" s="36">
        <v>258</v>
      </c>
      <c r="B260" s="37"/>
      <c r="C260" s="37"/>
      <c r="D260" s="37"/>
      <c r="E260" s="38" t="s">
        <v>1276</v>
      </c>
      <c r="F260" s="38" t="s">
        <v>392</v>
      </c>
      <c r="G260" s="38" t="s">
        <v>1277</v>
      </c>
      <c r="H260" s="38" t="s">
        <v>110</v>
      </c>
      <c r="I260" s="72">
        <v>5</v>
      </c>
      <c r="J260" s="53" t="s">
        <v>115</v>
      </c>
      <c r="K260" s="42">
        <v>1</v>
      </c>
      <c r="L260" s="42">
        <v>2</v>
      </c>
      <c r="M260" s="42">
        <v>1</v>
      </c>
      <c r="N260" s="42">
        <f t="shared" si="89"/>
        <v>2</v>
      </c>
      <c r="O260" s="214" t="s">
        <v>1278</v>
      </c>
      <c r="P260" s="53" t="s">
        <v>652</v>
      </c>
      <c r="Q260" s="43">
        <v>13</v>
      </c>
      <c r="R260" s="44">
        <f t="shared" si="83"/>
        <v>3</v>
      </c>
      <c r="S260" s="45">
        <v>1</v>
      </c>
      <c r="T260" s="45">
        <f t="shared" si="90"/>
        <v>3</v>
      </c>
      <c r="V260" s="46"/>
      <c r="W260" s="58" t="s">
        <v>1279</v>
      </c>
      <c r="X260" s="108">
        <v>3.4</v>
      </c>
      <c r="Y260" s="44">
        <f t="shared" si="91"/>
        <v>2</v>
      </c>
      <c r="Z260" s="45">
        <v>1</v>
      </c>
      <c r="AA260" s="45">
        <f t="shared" si="92"/>
        <v>2</v>
      </c>
      <c r="AB260" s="45">
        <v>1</v>
      </c>
      <c r="AD260" s="49" t="s">
        <v>113</v>
      </c>
      <c r="AE260" s="50" t="s">
        <v>88</v>
      </c>
      <c r="AF260" s="50">
        <v>0</v>
      </c>
      <c r="AG260" s="50">
        <v>3</v>
      </c>
      <c r="AH260" s="50">
        <v>2</v>
      </c>
      <c r="AI260" s="50">
        <f t="shared" si="93"/>
        <v>6</v>
      </c>
      <c r="AJ260" s="50">
        <v>1</v>
      </c>
      <c r="AK260" s="51" t="s">
        <v>114</v>
      </c>
      <c r="AL260" s="61">
        <v>14990</v>
      </c>
      <c r="AM260" s="53" t="s">
        <v>146</v>
      </c>
      <c r="AN260" s="42">
        <v>2</v>
      </c>
      <c r="AO260" s="54">
        <f t="shared" si="84"/>
        <v>2</v>
      </c>
      <c r="AP260" s="53">
        <v>2</v>
      </c>
      <c r="AQ260" s="53">
        <f t="shared" si="94"/>
        <v>4</v>
      </c>
      <c r="AR260" s="53"/>
      <c r="AS260" s="55"/>
      <c r="AT260" s="42">
        <v>22.5</v>
      </c>
      <c r="AU260" s="42" t="s">
        <v>115</v>
      </c>
      <c r="AV260" s="44">
        <v>1</v>
      </c>
      <c r="AW260" s="44">
        <f t="shared" si="95"/>
        <v>2</v>
      </c>
      <c r="AX260" s="42">
        <v>1</v>
      </c>
      <c r="AY260" s="42">
        <f t="shared" si="96"/>
        <v>2</v>
      </c>
      <c r="AZ260" s="42">
        <v>48</v>
      </c>
      <c r="BA260" s="53" t="s">
        <v>393</v>
      </c>
      <c r="BB260" s="57" t="s">
        <v>602</v>
      </c>
      <c r="BC260" s="58" t="s">
        <v>603</v>
      </c>
      <c r="BD260" s="58" t="s">
        <v>609</v>
      </c>
      <c r="BE260" s="59">
        <v>1</v>
      </c>
      <c r="BF260" s="58">
        <v>2</v>
      </c>
      <c r="BG260" s="58">
        <f t="shared" si="97"/>
        <v>0</v>
      </c>
      <c r="BH260" s="58" t="s">
        <v>605</v>
      </c>
      <c r="BI260" s="58" t="s">
        <v>610</v>
      </c>
      <c r="BJ260" s="60" t="s">
        <v>90</v>
      </c>
      <c r="BK260" s="67">
        <v>1</v>
      </c>
      <c r="BL260" s="62">
        <v>1</v>
      </c>
      <c r="BM260" s="62">
        <f t="shared" si="98"/>
        <v>0</v>
      </c>
      <c r="BN260" s="58" t="s">
        <v>607</v>
      </c>
      <c r="BO260" s="67"/>
      <c r="BP260" s="67">
        <v>25.5</v>
      </c>
      <c r="BQ260" s="63">
        <f t="shared" si="85"/>
        <v>2</v>
      </c>
      <c r="BR260" s="45">
        <v>1</v>
      </c>
      <c r="BS260" s="45">
        <f t="shared" si="99"/>
        <v>0.3010299956639812</v>
      </c>
      <c r="BU260" s="46"/>
      <c r="BV260" s="64">
        <v>1.3333333329999999</v>
      </c>
      <c r="BW260" s="54">
        <f t="shared" si="86"/>
        <v>1</v>
      </c>
      <c r="BX260" s="45">
        <v>1</v>
      </c>
      <c r="BY260" s="45">
        <f t="shared" si="87"/>
        <v>0</v>
      </c>
      <c r="BZ260" s="61" t="s">
        <v>91</v>
      </c>
      <c r="CA260" s="46"/>
      <c r="CB260" s="65">
        <v>2141</v>
      </c>
      <c r="CC260" s="45">
        <v>2</v>
      </c>
      <c r="CD260" s="45">
        <v>2</v>
      </c>
      <c r="CE260" s="45">
        <f t="shared" si="100"/>
        <v>0.6020599913279624</v>
      </c>
      <c r="CG260" s="46"/>
      <c r="CH260" s="66" t="s">
        <v>92</v>
      </c>
      <c r="CI260" s="67">
        <v>3</v>
      </c>
      <c r="CJ260" s="68">
        <v>2</v>
      </c>
      <c r="CK260" s="68">
        <f t="shared" si="101"/>
        <v>0.95424250943932487</v>
      </c>
      <c r="CL260" s="78"/>
      <c r="CM260" s="79" t="s">
        <v>144</v>
      </c>
      <c r="CO260" s="70">
        <f t="shared" si="88"/>
        <v>1.8888888888888888</v>
      </c>
      <c r="CQ260" s="45">
        <f t="shared" si="102"/>
        <v>0.20637027738125205</v>
      </c>
      <c r="CR260" s="45">
        <f t="shared" si="103"/>
        <v>1.6083119076007948</v>
      </c>
      <c r="CT260" s="71">
        <f t="shared" si="104"/>
        <v>1.2667325203702184</v>
      </c>
    </row>
    <row r="261" spans="1:98" ht="16" hidden="1">
      <c r="A261" s="36">
        <v>259</v>
      </c>
      <c r="B261" s="37"/>
      <c r="C261" s="37" t="s">
        <v>144</v>
      </c>
      <c r="D261" s="37" t="s">
        <v>686</v>
      </c>
      <c r="E261" s="38" t="s">
        <v>1280</v>
      </c>
      <c r="F261" s="38" t="s">
        <v>1281</v>
      </c>
      <c r="G261" s="38" t="s">
        <v>688</v>
      </c>
      <c r="H261" s="38" t="s">
        <v>819</v>
      </c>
      <c r="I261" s="87"/>
      <c r="J261" s="53"/>
      <c r="K261" s="53"/>
      <c r="L261" s="53"/>
      <c r="M261" s="42">
        <v>1</v>
      </c>
      <c r="N261" s="42">
        <f t="shared" si="89"/>
        <v>0</v>
      </c>
      <c r="O261" s="53"/>
      <c r="P261" s="53"/>
      <c r="Q261" s="43"/>
      <c r="R261" s="44" t="str">
        <f>IF(Q261="","***",IF(Q261&lt;5,3,IF(Q261&lt;15,2,1)))</f>
        <v>***</v>
      </c>
      <c r="S261" s="45">
        <v>1</v>
      </c>
      <c r="T261" s="45" t="e">
        <f t="shared" si="90"/>
        <v>#VALUE!</v>
      </c>
      <c r="V261" s="46"/>
      <c r="W261" s="98"/>
      <c r="X261" s="98"/>
      <c r="Y261" s="44" t="str">
        <f t="shared" si="91"/>
        <v>***</v>
      </c>
      <c r="Z261" s="45">
        <v>1</v>
      </c>
      <c r="AA261" s="45" t="e">
        <f t="shared" si="92"/>
        <v>#VALUE!</v>
      </c>
      <c r="AB261" s="45">
        <v>1</v>
      </c>
      <c r="AD261" s="49" t="s">
        <v>163</v>
      </c>
      <c r="AE261" s="50" t="s">
        <v>146</v>
      </c>
      <c r="AF261" s="50">
        <v>2</v>
      </c>
      <c r="AG261" s="50">
        <v>3</v>
      </c>
      <c r="AH261" s="50">
        <v>2</v>
      </c>
      <c r="AI261" s="50">
        <f t="shared" si="93"/>
        <v>6</v>
      </c>
      <c r="AJ261" s="50" t="s">
        <v>755</v>
      </c>
      <c r="AK261" s="51"/>
      <c r="AL261" s="61"/>
      <c r="AM261" s="53"/>
      <c r="AN261" s="53"/>
      <c r="AO261" s="53"/>
      <c r="AP261" s="53">
        <v>2</v>
      </c>
      <c r="AQ261" s="53">
        <f t="shared" si="94"/>
        <v>0</v>
      </c>
      <c r="AR261" s="53"/>
      <c r="AS261" s="55"/>
      <c r="AT261" s="89"/>
      <c r="AU261" s="89"/>
      <c r="AV261" s="44"/>
      <c r="AW261" s="44" t="str">
        <f t="shared" si="95"/>
        <v>***</v>
      </c>
      <c r="AX261" s="42">
        <v>1</v>
      </c>
      <c r="AY261" s="42" t="e">
        <f t="shared" si="96"/>
        <v>#VALUE!</v>
      </c>
      <c r="AZ261" s="89"/>
      <c r="BA261" s="89"/>
      <c r="BB261" s="57"/>
      <c r="BC261" s="58"/>
      <c r="BD261" s="58"/>
      <c r="BE261" s="58"/>
      <c r="BF261" s="58">
        <v>2</v>
      </c>
      <c r="BG261" s="58" t="e">
        <f t="shared" si="97"/>
        <v>#NUM!</v>
      </c>
      <c r="BH261" s="58" t="s">
        <v>605</v>
      </c>
      <c r="BI261" s="58"/>
      <c r="BJ261" s="60" t="s">
        <v>90</v>
      </c>
      <c r="BK261" s="67">
        <v>1</v>
      </c>
      <c r="BL261" s="62">
        <v>1</v>
      </c>
      <c r="BM261" s="62">
        <f t="shared" si="98"/>
        <v>0</v>
      </c>
      <c r="BN261" s="58" t="s">
        <v>607</v>
      </c>
      <c r="BO261" s="37"/>
      <c r="BP261" s="37"/>
      <c r="BQ261" s="63"/>
      <c r="BR261" s="45">
        <v>1</v>
      </c>
      <c r="BS261" s="45" t="e">
        <f t="shared" si="99"/>
        <v>#NUM!</v>
      </c>
      <c r="BU261" s="46"/>
      <c r="BV261" s="64"/>
      <c r="BW261" s="45"/>
      <c r="BX261" s="45">
        <v>1</v>
      </c>
      <c r="BY261" s="45" t="e">
        <f>BX261*LOG(BV261)</f>
        <v>#NUM!</v>
      </c>
      <c r="BZ261" s="61"/>
      <c r="CA261" s="46"/>
      <c r="CB261" s="65">
        <v>2119</v>
      </c>
      <c r="CC261" s="45">
        <v>2</v>
      </c>
      <c r="CD261" s="45">
        <v>2</v>
      </c>
      <c r="CE261" s="45">
        <f t="shared" si="100"/>
        <v>0.6020599913279624</v>
      </c>
      <c r="CG261" s="46"/>
      <c r="CH261" s="66" t="s">
        <v>92</v>
      </c>
      <c r="CI261" s="67">
        <v>3</v>
      </c>
      <c r="CJ261" s="68">
        <v>1</v>
      </c>
      <c r="CK261" s="68">
        <f t="shared" si="101"/>
        <v>0.47712125471966244</v>
      </c>
      <c r="CL261" s="68"/>
      <c r="CM261" s="69" t="s">
        <v>144</v>
      </c>
      <c r="CO261" s="70" t="e">
        <f>(SUM(N261,T261,AA261,AI261,AQ261,AY261)/SUM(M261,S261,Z261,AH261,AP261,AX261,BF261))</f>
        <v>#VALUE!</v>
      </c>
      <c r="CQ261" s="45" t="e">
        <f t="shared" si="102"/>
        <v>#NUM!</v>
      </c>
      <c r="CR261" s="45" t="e">
        <f t="shared" si="103"/>
        <v>#NUM!</v>
      </c>
      <c r="CT261" s="71" t="e">
        <f t="shared" si="104"/>
        <v>#VALUE!</v>
      </c>
    </row>
    <row r="262" spans="1:98" ht="16" hidden="1">
      <c r="A262" s="36">
        <v>260</v>
      </c>
      <c r="B262" s="37"/>
      <c r="C262" s="37" t="s">
        <v>144</v>
      </c>
      <c r="D262" s="37" t="s">
        <v>686</v>
      </c>
      <c r="E262" s="38" t="s">
        <v>1282</v>
      </c>
      <c r="F262" s="38" t="s">
        <v>1283</v>
      </c>
      <c r="G262" s="38" t="s">
        <v>688</v>
      </c>
      <c r="H262" s="38" t="s">
        <v>819</v>
      </c>
      <c r="I262" s="87"/>
      <c r="J262" s="53"/>
      <c r="K262" s="53"/>
      <c r="L262" s="53"/>
      <c r="M262" s="42">
        <v>1</v>
      </c>
      <c r="N262" s="42">
        <f t="shared" si="89"/>
        <v>0</v>
      </c>
      <c r="O262" s="53"/>
      <c r="P262" s="53"/>
      <c r="Q262" s="43"/>
      <c r="R262" s="44" t="str">
        <f>IF(Q262="","***",IF(Q262&lt;5,3,IF(Q262&lt;15,2,1)))</f>
        <v>***</v>
      </c>
      <c r="S262" s="45">
        <v>1</v>
      </c>
      <c r="T262" s="45" t="e">
        <f t="shared" si="90"/>
        <v>#VALUE!</v>
      </c>
      <c r="V262" s="46"/>
      <c r="W262" s="98"/>
      <c r="X262" s="98"/>
      <c r="Y262" s="44" t="str">
        <f t="shared" si="91"/>
        <v>***</v>
      </c>
      <c r="Z262" s="45">
        <v>1</v>
      </c>
      <c r="AA262" s="45" t="e">
        <f t="shared" si="92"/>
        <v>#VALUE!</v>
      </c>
      <c r="AB262" s="45">
        <v>1</v>
      </c>
      <c r="AD262" s="49" t="s">
        <v>163</v>
      </c>
      <c r="AE262" s="50" t="s">
        <v>146</v>
      </c>
      <c r="AF262" s="50">
        <v>2</v>
      </c>
      <c r="AG262" s="50">
        <v>3</v>
      </c>
      <c r="AH262" s="50">
        <v>2</v>
      </c>
      <c r="AI262" s="50">
        <f t="shared" si="93"/>
        <v>6</v>
      </c>
      <c r="AJ262" s="50" t="s">
        <v>755</v>
      </c>
      <c r="AK262" s="51"/>
      <c r="AL262" s="61"/>
      <c r="AM262" s="53"/>
      <c r="AN262" s="53"/>
      <c r="AO262" s="53"/>
      <c r="AP262" s="53">
        <v>2</v>
      </c>
      <c r="AQ262" s="53">
        <f t="shared" si="94"/>
        <v>0</v>
      </c>
      <c r="AR262" s="53"/>
      <c r="AS262" s="55"/>
      <c r="AT262" s="89"/>
      <c r="AU262" s="89"/>
      <c r="AV262" s="44"/>
      <c r="AW262" s="44" t="str">
        <f t="shared" si="95"/>
        <v>***</v>
      </c>
      <c r="AX262" s="42">
        <v>1</v>
      </c>
      <c r="AY262" s="42" t="e">
        <f t="shared" si="96"/>
        <v>#VALUE!</v>
      </c>
      <c r="AZ262" s="89"/>
      <c r="BA262" s="89"/>
      <c r="BB262" s="57"/>
      <c r="BC262" s="58"/>
      <c r="BD262" s="58"/>
      <c r="BE262" s="58"/>
      <c r="BF262" s="58">
        <v>2</v>
      </c>
      <c r="BG262" s="58" t="e">
        <f t="shared" si="97"/>
        <v>#NUM!</v>
      </c>
      <c r="BH262" s="58" t="s">
        <v>605</v>
      </c>
      <c r="BI262" s="58"/>
      <c r="BJ262" s="60" t="s">
        <v>90</v>
      </c>
      <c r="BK262" s="67">
        <v>1</v>
      </c>
      <c r="BL262" s="62">
        <v>1</v>
      </c>
      <c r="BM262" s="62">
        <f t="shared" si="98"/>
        <v>0</v>
      </c>
      <c r="BN262" s="58" t="s">
        <v>607</v>
      </c>
      <c r="BO262" s="37"/>
      <c r="BP262" s="37"/>
      <c r="BQ262" s="63"/>
      <c r="BR262" s="45">
        <v>1</v>
      </c>
      <c r="BS262" s="45" t="e">
        <f t="shared" si="99"/>
        <v>#NUM!</v>
      </c>
      <c r="BU262" s="46"/>
      <c r="BV262" s="64"/>
      <c r="BW262" s="45"/>
      <c r="BX262" s="45">
        <v>1</v>
      </c>
      <c r="BY262" s="45" t="e">
        <f>BX262*LOG(BV262)</f>
        <v>#NUM!</v>
      </c>
      <c r="BZ262" s="61"/>
      <c r="CA262" s="46"/>
      <c r="CB262" s="65">
        <v>2086</v>
      </c>
      <c r="CC262" s="45">
        <v>2</v>
      </c>
      <c r="CD262" s="45">
        <v>2</v>
      </c>
      <c r="CE262" s="45">
        <f t="shared" si="100"/>
        <v>0.6020599913279624</v>
      </c>
      <c r="CG262" s="46"/>
      <c r="CH262" s="66" t="s">
        <v>92</v>
      </c>
      <c r="CI262" s="67">
        <v>3</v>
      </c>
      <c r="CJ262" s="68">
        <v>1</v>
      </c>
      <c r="CK262" s="68">
        <f t="shared" si="101"/>
        <v>0.47712125471966244</v>
      </c>
      <c r="CL262" s="68"/>
      <c r="CM262" s="69"/>
      <c r="CO262" s="70" t="e">
        <f>(SUM(N262,T262,AA262,AI262,AQ262,AY262)/SUM(M262,S262,Z262,AH262,AP262,AX262,BF262))</f>
        <v>#VALUE!</v>
      </c>
      <c r="CQ262" s="45" t="e">
        <f t="shared" si="102"/>
        <v>#NUM!</v>
      </c>
      <c r="CR262" s="45" t="e">
        <f t="shared" si="103"/>
        <v>#NUM!</v>
      </c>
      <c r="CT262" s="71" t="e">
        <f t="shared" si="104"/>
        <v>#VALUE!</v>
      </c>
    </row>
    <row r="263" spans="1:98" ht="16">
      <c r="A263" s="36">
        <v>261</v>
      </c>
      <c r="B263" s="37"/>
      <c r="C263" s="37"/>
      <c r="D263" s="37"/>
      <c r="E263" s="38" t="s">
        <v>1284</v>
      </c>
      <c r="F263" s="38" t="s">
        <v>1285</v>
      </c>
      <c r="G263" s="38" t="s">
        <v>1286</v>
      </c>
      <c r="H263" s="38" t="s">
        <v>83</v>
      </c>
      <c r="I263" s="72">
        <v>6.3</v>
      </c>
      <c r="J263" s="53" t="s">
        <v>146</v>
      </c>
      <c r="K263" s="42">
        <v>2</v>
      </c>
      <c r="L263" s="42">
        <v>2</v>
      </c>
      <c r="M263" s="42">
        <v>1</v>
      </c>
      <c r="N263" s="42">
        <f t="shared" si="89"/>
        <v>2</v>
      </c>
      <c r="O263" s="42" t="s">
        <v>799</v>
      </c>
      <c r="P263" s="53"/>
      <c r="Q263" s="43">
        <v>18.5</v>
      </c>
      <c r="R263" s="44">
        <f t="shared" ref="R263:R270" si="105">IF(Q263="","***",IF(Q263&lt;30,3,IF(Q263&gt;60,1,2)))</f>
        <v>3</v>
      </c>
      <c r="S263" s="45">
        <v>1</v>
      </c>
      <c r="T263" s="45">
        <f t="shared" si="90"/>
        <v>3</v>
      </c>
      <c r="V263" s="46"/>
      <c r="W263" s="58" t="s">
        <v>1287</v>
      </c>
      <c r="X263" s="108">
        <v>2.7</v>
      </c>
      <c r="Y263" s="44">
        <f t="shared" si="91"/>
        <v>2</v>
      </c>
      <c r="Z263" s="45">
        <v>1</v>
      </c>
      <c r="AA263" s="45">
        <f t="shared" si="92"/>
        <v>2</v>
      </c>
      <c r="AB263" s="45">
        <v>1</v>
      </c>
      <c r="AD263" s="49" t="s">
        <v>87</v>
      </c>
      <c r="AE263" s="50" t="s">
        <v>88</v>
      </c>
      <c r="AF263" s="50">
        <v>0</v>
      </c>
      <c r="AG263" s="50">
        <v>3</v>
      </c>
      <c r="AH263" s="50">
        <v>2</v>
      </c>
      <c r="AI263" s="50">
        <f t="shared" si="93"/>
        <v>6</v>
      </c>
      <c r="AJ263" s="50">
        <v>1</v>
      </c>
      <c r="AK263" s="51" t="s">
        <v>89</v>
      </c>
      <c r="AL263" s="52">
        <v>57661</v>
      </c>
      <c r="AM263" s="53" t="s">
        <v>146</v>
      </c>
      <c r="AN263" s="42">
        <v>2</v>
      </c>
      <c r="AO263" s="54">
        <f t="shared" ref="AO263:AO270" si="106">IF(AL263="","***",IF(AL263&gt;15000,3,IF(AL263&lt;1000,1,2)))</f>
        <v>3</v>
      </c>
      <c r="AP263" s="53">
        <v>2</v>
      </c>
      <c r="AQ263" s="53">
        <f t="shared" si="94"/>
        <v>6</v>
      </c>
      <c r="AR263" s="53"/>
      <c r="AS263" s="55"/>
      <c r="AT263" s="42">
        <v>23.5</v>
      </c>
      <c r="AU263" s="42" t="s">
        <v>88</v>
      </c>
      <c r="AV263" s="56">
        <v>0</v>
      </c>
      <c r="AW263" s="44">
        <f t="shared" si="95"/>
        <v>2</v>
      </c>
      <c r="AX263" s="42">
        <v>1</v>
      </c>
      <c r="AY263" s="42">
        <f t="shared" si="96"/>
        <v>2</v>
      </c>
      <c r="AZ263" s="42"/>
      <c r="BA263" s="42"/>
      <c r="BB263" s="57" t="s">
        <v>602</v>
      </c>
      <c r="BC263" s="58" t="s">
        <v>603</v>
      </c>
      <c r="BD263" s="58" t="s">
        <v>609</v>
      </c>
      <c r="BE263" s="59">
        <v>1</v>
      </c>
      <c r="BF263" s="58">
        <v>2</v>
      </c>
      <c r="BG263" s="58">
        <f t="shared" si="97"/>
        <v>0</v>
      </c>
      <c r="BH263" s="58" t="s">
        <v>605</v>
      </c>
      <c r="BI263" s="58" t="s">
        <v>610</v>
      </c>
      <c r="BJ263" s="60" t="s">
        <v>90</v>
      </c>
      <c r="BK263" s="67">
        <v>1</v>
      </c>
      <c r="BL263" s="62">
        <v>1</v>
      </c>
      <c r="BM263" s="62">
        <f t="shared" si="98"/>
        <v>0</v>
      </c>
      <c r="BN263" s="58" t="s">
        <v>607</v>
      </c>
      <c r="BO263" s="67"/>
      <c r="BP263" s="67">
        <v>5.5</v>
      </c>
      <c r="BQ263" s="63">
        <f t="shared" ref="BQ263:BQ270" si="107">IF(BP263&lt;10,3,IF(BP263&lt;30,2,1))</f>
        <v>3</v>
      </c>
      <c r="BR263" s="45">
        <v>1</v>
      </c>
      <c r="BS263" s="45">
        <f t="shared" si="99"/>
        <v>0.47712125471966244</v>
      </c>
      <c r="BU263" s="46"/>
      <c r="BV263" s="64">
        <v>3</v>
      </c>
      <c r="BW263" s="54">
        <f t="shared" ref="BW263:BW270" si="108">IF(BV263&lt;2.5,1,IF(BV263&gt;3.5,3,2))</f>
        <v>2</v>
      </c>
      <c r="BX263" s="45">
        <v>1</v>
      </c>
      <c r="BY263" s="45">
        <f t="shared" ref="BY263:BY270" si="109">BX263*LOG(BW263)</f>
        <v>0.3010299956639812</v>
      </c>
      <c r="BZ263" s="61" t="s">
        <v>273</v>
      </c>
      <c r="CA263" s="46"/>
      <c r="CB263" s="65">
        <v>2080</v>
      </c>
      <c r="CC263" s="45">
        <v>2</v>
      </c>
      <c r="CD263" s="45">
        <v>2</v>
      </c>
      <c r="CE263" s="45">
        <f t="shared" si="100"/>
        <v>0.6020599913279624</v>
      </c>
      <c r="CG263" s="46"/>
      <c r="CH263" s="66">
        <v>2</v>
      </c>
      <c r="CI263" s="67">
        <v>3</v>
      </c>
      <c r="CJ263" s="68">
        <v>2</v>
      </c>
      <c r="CK263" s="68">
        <f t="shared" si="101"/>
        <v>0.95424250943932487</v>
      </c>
      <c r="CL263" s="68"/>
      <c r="CM263" s="69"/>
      <c r="CO263" s="70">
        <f t="shared" ref="CO263:CO270" si="110">(SUM(T263,AA263,AI263,AQ263,AY263)/SUM(S263,Z263,AH263,AP263,AX263,BF263))</f>
        <v>2.1111111111111112</v>
      </c>
      <c r="CQ263" s="45">
        <f t="shared" si="102"/>
        <v>0.25938375012788117</v>
      </c>
      <c r="CR263" s="45">
        <f t="shared" si="103"/>
        <v>1.8171205928321397</v>
      </c>
      <c r="CT263" s="71">
        <f t="shared" si="104"/>
        <v>1.2073978300545645</v>
      </c>
    </row>
    <row r="264" spans="1:98" ht="16">
      <c r="A264" s="36">
        <v>262</v>
      </c>
      <c r="B264" s="37"/>
      <c r="C264" s="37"/>
      <c r="D264" s="37"/>
      <c r="E264" s="38" t="s">
        <v>1288</v>
      </c>
      <c r="F264" s="38" t="s">
        <v>353</v>
      </c>
      <c r="G264" s="38" t="s">
        <v>1289</v>
      </c>
      <c r="H264" s="83" t="s">
        <v>355</v>
      </c>
      <c r="I264" s="72">
        <v>5.25</v>
      </c>
      <c r="J264" s="53" t="s">
        <v>115</v>
      </c>
      <c r="K264" s="42">
        <v>1</v>
      </c>
      <c r="L264" s="42">
        <v>3</v>
      </c>
      <c r="M264" s="42">
        <v>1</v>
      </c>
      <c r="N264" s="42">
        <f t="shared" si="89"/>
        <v>3</v>
      </c>
      <c r="O264" s="42" t="s">
        <v>799</v>
      </c>
      <c r="P264" s="53"/>
      <c r="Q264" s="43">
        <v>9.5</v>
      </c>
      <c r="R264" s="44">
        <f t="shared" si="105"/>
        <v>3</v>
      </c>
      <c r="S264" s="45">
        <v>1</v>
      </c>
      <c r="T264" s="45">
        <f t="shared" si="90"/>
        <v>3</v>
      </c>
      <c r="V264" s="46"/>
      <c r="W264" s="58" t="s">
        <v>1290</v>
      </c>
      <c r="X264" s="108">
        <v>3.3</v>
      </c>
      <c r="Y264" s="44">
        <f t="shared" si="91"/>
        <v>2</v>
      </c>
      <c r="Z264" s="45">
        <v>1</v>
      </c>
      <c r="AA264" s="45">
        <f t="shared" si="92"/>
        <v>2</v>
      </c>
      <c r="AB264" s="45">
        <v>1</v>
      </c>
      <c r="AD264" s="49" t="s">
        <v>401</v>
      </c>
      <c r="AE264" s="50" t="s">
        <v>115</v>
      </c>
      <c r="AF264" s="50">
        <v>1</v>
      </c>
      <c r="AG264" s="50">
        <v>3</v>
      </c>
      <c r="AH264" s="50">
        <v>2</v>
      </c>
      <c r="AI264" s="50">
        <f t="shared" si="93"/>
        <v>6</v>
      </c>
      <c r="AJ264" s="50">
        <v>1</v>
      </c>
      <c r="AK264" s="51"/>
      <c r="AL264" s="59">
        <v>149485</v>
      </c>
      <c r="AM264" s="53" t="s">
        <v>146</v>
      </c>
      <c r="AN264" s="42">
        <v>2</v>
      </c>
      <c r="AO264" s="54">
        <f t="shared" si="106"/>
        <v>3</v>
      </c>
      <c r="AP264" s="53">
        <v>2</v>
      </c>
      <c r="AQ264" s="53">
        <f t="shared" si="94"/>
        <v>6</v>
      </c>
      <c r="AR264" s="53"/>
      <c r="AS264" s="55"/>
      <c r="AT264" s="42">
        <v>26</v>
      </c>
      <c r="AU264" s="42" t="s">
        <v>115</v>
      </c>
      <c r="AV264" s="44">
        <v>1</v>
      </c>
      <c r="AW264" s="44">
        <f t="shared" si="95"/>
        <v>2</v>
      </c>
      <c r="AX264" s="42">
        <v>1</v>
      </c>
      <c r="AY264" s="42">
        <f t="shared" si="96"/>
        <v>2</v>
      </c>
      <c r="AZ264" s="42" t="s">
        <v>203</v>
      </c>
      <c r="BA264" s="53" t="s">
        <v>358</v>
      </c>
      <c r="BB264" s="57" t="s">
        <v>602</v>
      </c>
      <c r="BC264" s="58" t="s">
        <v>603</v>
      </c>
      <c r="BD264" s="58" t="s">
        <v>609</v>
      </c>
      <c r="BE264" s="59">
        <v>1</v>
      </c>
      <c r="BF264" s="58">
        <v>2</v>
      </c>
      <c r="BG264" s="58">
        <f t="shared" si="97"/>
        <v>0</v>
      </c>
      <c r="BH264" s="58" t="s">
        <v>605</v>
      </c>
      <c r="BI264" s="58" t="s">
        <v>610</v>
      </c>
      <c r="BJ264" s="60" t="s">
        <v>90</v>
      </c>
      <c r="BK264" s="67">
        <v>1</v>
      </c>
      <c r="BL264" s="62">
        <v>1</v>
      </c>
      <c r="BM264" s="62">
        <f t="shared" si="98"/>
        <v>0</v>
      </c>
      <c r="BN264" s="58" t="s">
        <v>607</v>
      </c>
      <c r="BO264" s="67"/>
      <c r="BP264" s="67">
        <v>65</v>
      </c>
      <c r="BQ264" s="63">
        <f t="shared" si="107"/>
        <v>1</v>
      </c>
      <c r="BR264" s="45">
        <v>1</v>
      </c>
      <c r="BS264" s="45">
        <f t="shared" si="99"/>
        <v>0</v>
      </c>
      <c r="BU264" s="46"/>
      <c r="BV264" s="64">
        <v>2.5</v>
      </c>
      <c r="BW264" s="54">
        <f t="shared" si="108"/>
        <v>2</v>
      </c>
      <c r="BX264" s="45">
        <v>1</v>
      </c>
      <c r="BY264" s="45">
        <f t="shared" si="109"/>
        <v>0.3010299956639812</v>
      </c>
      <c r="BZ264" s="61" t="s">
        <v>91</v>
      </c>
      <c r="CA264" s="46"/>
      <c r="CB264" s="65">
        <v>2069</v>
      </c>
      <c r="CC264" s="45">
        <v>2</v>
      </c>
      <c r="CD264" s="45">
        <v>2</v>
      </c>
      <c r="CE264" s="45">
        <f t="shared" si="100"/>
        <v>0.6020599913279624</v>
      </c>
      <c r="CG264" s="46"/>
      <c r="CH264" s="66" t="s">
        <v>92</v>
      </c>
      <c r="CI264" s="67">
        <v>3</v>
      </c>
      <c r="CJ264" s="68">
        <v>2</v>
      </c>
      <c r="CK264" s="68">
        <f t="shared" si="101"/>
        <v>0.95424250943932487</v>
      </c>
      <c r="CL264" s="68"/>
      <c r="CM264" s="69" t="s">
        <v>144</v>
      </c>
      <c r="CO264" s="70">
        <f t="shared" si="110"/>
        <v>2.1111111111111112</v>
      </c>
      <c r="CQ264" s="45">
        <f t="shared" si="102"/>
        <v>0.20637027738125205</v>
      </c>
      <c r="CR264" s="45">
        <f t="shared" si="103"/>
        <v>1.6083119076007948</v>
      </c>
      <c r="CT264" s="71">
        <f t="shared" si="104"/>
        <v>1.0771104092520141</v>
      </c>
    </row>
    <row r="265" spans="1:98" ht="16">
      <c r="A265" s="36">
        <v>263</v>
      </c>
      <c r="B265" s="37" t="s">
        <v>144</v>
      </c>
      <c r="C265" s="37"/>
      <c r="D265" s="37"/>
      <c r="E265" s="38" t="s">
        <v>1291</v>
      </c>
      <c r="F265" s="38" t="s">
        <v>1292</v>
      </c>
      <c r="G265" s="38" t="s">
        <v>1293</v>
      </c>
      <c r="H265" s="38" t="s">
        <v>160</v>
      </c>
      <c r="I265" s="72">
        <v>12.5</v>
      </c>
      <c r="J265" s="53" t="s">
        <v>88</v>
      </c>
      <c r="K265" s="42">
        <v>0</v>
      </c>
      <c r="L265" s="42">
        <v>2</v>
      </c>
      <c r="M265" s="42">
        <v>1</v>
      </c>
      <c r="N265" s="42">
        <f t="shared" si="89"/>
        <v>2</v>
      </c>
      <c r="O265" s="53"/>
      <c r="P265" s="53"/>
      <c r="Q265" s="43">
        <v>4.5</v>
      </c>
      <c r="R265" s="44">
        <f t="shared" si="105"/>
        <v>3</v>
      </c>
      <c r="S265" s="45">
        <v>1</v>
      </c>
      <c r="T265" s="45">
        <f t="shared" si="90"/>
        <v>3</v>
      </c>
      <c r="V265" s="46"/>
      <c r="W265" s="58" t="s">
        <v>1294</v>
      </c>
      <c r="X265" s="108">
        <v>3</v>
      </c>
      <c r="Y265" s="44">
        <f t="shared" si="91"/>
        <v>2</v>
      </c>
      <c r="Z265" s="45">
        <v>1</v>
      </c>
      <c r="AA265" s="45">
        <f t="shared" si="92"/>
        <v>2</v>
      </c>
      <c r="AB265" s="45">
        <v>1</v>
      </c>
      <c r="AD265" s="49" t="s">
        <v>163</v>
      </c>
      <c r="AE265" s="50" t="s">
        <v>146</v>
      </c>
      <c r="AF265" s="50">
        <v>2</v>
      </c>
      <c r="AG265" s="50">
        <v>3</v>
      </c>
      <c r="AH265" s="50">
        <v>2</v>
      </c>
      <c r="AI265" s="50">
        <f t="shared" si="93"/>
        <v>6</v>
      </c>
      <c r="AJ265" s="50">
        <v>1</v>
      </c>
      <c r="AK265" s="51" t="s">
        <v>165</v>
      </c>
      <c r="AL265" s="61">
        <v>50000</v>
      </c>
      <c r="AM265" s="53" t="s">
        <v>88</v>
      </c>
      <c r="AN265" s="42">
        <v>0</v>
      </c>
      <c r="AO265" s="54">
        <f t="shared" si="106"/>
        <v>3</v>
      </c>
      <c r="AP265" s="53">
        <v>2</v>
      </c>
      <c r="AQ265" s="53">
        <f t="shared" si="94"/>
        <v>6</v>
      </c>
      <c r="AR265" s="53"/>
      <c r="AS265" s="55"/>
      <c r="AT265" s="42">
        <v>22.4</v>
      </c>
      <c r="AU265" s="42" t="s">
        <v>88</v>
      </c>
      <c r="AV265" s="56">
        <v>0</v>
      </c>
      <c r="AW265" s="44">
        <f t="shared" si="95"/>
        <v>2</v>
      </c>
      <c r="AX265" s="42">
        <v>1</v>
      </c>
      <c r="AY265" s="42">
        <f t="shared" si="96"/>
        <v>2</v>
      </c>
      <c r="AZ265" s="42"/>
      <c r="BA265" s="42"/>
      <c r="BB265" s="57" t="s">
        <v>602</v>
      </c>
      <c r="BC265" s="58" t="s">
        <v>603</v>
      </c>
      <c r="BD265" s="58" t="s">
        <v>604</v>
      </c>
      <c r="BE265" s="59">
        <v>2</v>
      </c>
      <c r="BF265" s="58">
        <v>2</v>
      </c>
      <c r="BG265" s="58">
        <f t="shared" si="97"/>
        <v>0.6020599913279624</v>
      </c>
      <c r="BH265" s="58" t="s">
        <v>605</v>
      </c>
      <c r="BI265" s="58" t="s">
        <v>1295</v>
      </c>
      <c r="BJ265" s="60" t="s">
        <v>90</v>
      </c>
      <c r="BK265" s="67">
        <v>1</v>
      </c>
      <c r="BL265" s="62">
        <v>1</v>
      </c>
      <c r="BM265" s="62">
        <f t="shared" si="98"/>
        <v>0</v>
      </c>
      <c r="BN265" s="58" t="s">
        <v>607</v>
      </c>
      <c r="BO265" s="67"/>
      <c r="BP265" s="67">
        <v>35.5</v>
      </c>
      <c r="BQ265" s="63">
        <f t="shared" si="107"/>
        <v>1</v>
      </c>
      <c r="BR265" s="45">
        <v>1</v>
      </c>
      <c r="BS265" s="45">
        <f t="shared" si="99"/>
        <v>0</v>
      </c>
      <c r="BU265" s="46"/>
      <c r="BV265" s="64">
        <v>2</v>
      </c>
      <c r="BW265" s="54">
        <f t="shared" si="108"/>
        <v>1</v>
      </c>
      <c r="BX265" s="45">
        <v>1</v>
      </c>
      <c r="BY265" s="45">
        <f t="shared" si="109"/>
        <v>0</v>
      </c>
      <c r="BZ265" s="61" t="s">
        <v>1010</v>
      </c>
      <c r="CA265" s="46"/>
      <c r="CB265" s="65">
        <v>2062</v>
      </c>
      <c r="CC265" s="45">
        <v>2</v>
      </c>
      <c r="CD265" s="45">
        <v>2</v>
      </c>
      <c r="CE265" s="45">
        <f t="shared" si="100"/>
        <v>0.6020599913279624</v>
      </c>
      <c r="CG265" s="46"/>
      <c r="CH265" s="66" t="s">
        <v>92</v>
      </c>
      <c r="CI265" s="67">
        <v>3</v>
      </c>
      <c r="CJ265" s="68">
        <v>2</v>
      </c>
      <c r="CK265" s="68">
        <f t="shared" si="101"/>
        <v>0.95424250943932487</v>
      </c>
      <c r="CL265" s="78"/>
      <c r="CM265" s="79" t="s">
        <v>144</v>
      </c>
      <c r="CO265" s="70">
        <f t="shared" si="110"/>
        <v>2.1111111111111112</v>
      </c>
      <c r="CQ265" s="45">
        <f t="shared" si="102"/>
        <v>0.23981805467724998</v>
      </c>
      <c r="CR265" s="45">
        <f t="shared" si="103"/>
        <v>1.7370729389807016</v>
      </c>
      <c r="CT265" s="71">
        <f t="shared" si="104"/>
        <v>1.1547293943464731</v>
      </c>
    </row>
    <row r="266" spans="1:98" ht="16">
      <c r="A266" s="36">
        <v>264</v>
      </c>
      <c r="B266" s="37"/>
      <c r="C266" s="37"/>
      <c r="D266" s="37"/>
      <c r="E266" s="38" t="s">
        <v>1296</v>
      </c>
      <c r="F266" s="38" t="s">
        <v>1092</v>
      </c>
      <c r="G266" s="38" t="s">
        <v>1297</v>
      </c>
      <c r="H266" s="38" t="s">
        <v>372</v>
      </c>
      <c r="I266" s="72">
        <v>7.5</v>
      </c>
      <c r="J266" s="53" t="s">
        <v>88</v>
      </c>
      <c r="K266" s="42">
        <v>0</v>
      </c>
      <c r="L266" s="42">
        <v>2</v>
      </c>
      <c r="M266" s="42">
        <v>1</v>
      </c>
      <c r="N266" s="42">
        <f t="shared" si="89"/>
        <v>2</v>
      </c>
      <c r="O266" s="53"/>
      <c r="P266" s="53"/>
      <c r="Q266" s="43">
        <v>12.5</v>
      </c>
      <c r="R266" s="44">
        <f t="shared" si="105"/>
        <v>3</v>
      </c>
      <c r="S266" s="45">
        <v>1</v>
      </c>
      <c r="T266" s="45">
        <f t="shared" si="90"/>
        <v>3</v>
      </c>
      <c r="V266" s="46"/>
      <c r="W266" s="58" t="s">
        <v>1298</v>
      </c>
      <c r="X266" s="108">
        <v>3.5</v>
      </c>
      <c r="Y266" s="44">
        <f t="shared" si="91"/>
        <v>2</v>
      </c>
      <c r="Z266" s="45">
        <v>1</v>
      </c>
      <c r="AA266" s="45">
        <f t="shared" si="92"/>
        <v>2</v>
      </c>
      <c r="AB266" s="45">
        <v>1</v>
      </c>
      <c r="AD266" s="49" t="s">
        <v>1299</v>
      </c>
      <c r="AE266" s="50" t="s">
        <v>88</v>
      </c>
      <c r="AF266" s="50">
        <v>0</v>
      </c>
      <c r="AG266" s="50">
        <v>3</v>
      </c>
      <c r="AH266" s="50">
        <v>2</v>
      </c>
      <c r="AI266" s="50">
        <f t="shared" si="93"/>
        <v>6</v>
      </c>
      <c r="AJ266" s="50">
        <v>1</v>
      </c>
      <c r="AK266" s="51" t="s">
        <v>165</v>
      </c>
      <c r="AL266" s="61">
        <v>161743</v>
      </c>
      <c r="AM266" s="53" t="s">
        <v>146</v>
      </c>
      <c r="AN266" s="42">
        <v>2</v>
      </c>
      <c r="AO266" s="54">
        <f t="shared" si="106"/>
        <v>3</v>
      </c>
      <c r="AP266" s="53">
        <v>2</v>
      </c>
      <c r="AQ266" s="53">
        <f t="shared" si="94"/>
        <v>6</v>
      </c>
      <c r="AR266" s="53"/>
      <c r="AS266" s="55"/>
      <c r="AT266" s="42">
        <v>51</v>
      </c>
      <c r="AU266" s="42" t="s">
        <v>115</v>
      </c>
      <c r="AV266" s="44">
        <v>1</v>
      </c>
      <c r="AW266" s="44">
        <f t="shared" si="95"/>
        <v>1</v>
      </c>
      <c r="AX266" s="42">
        <v>1</v>
      </c>
      <c r="AY266" s="42">
        <f t="shared" si="96"/>
        <v>1</v>
      </c>
      <c r="AZ266" s="42" t="s">
        <v>203</v>
      </c>
      <c r="BA266" s="53" t="s">
        <v>1121</v>
      </c>
      <c r="BB266" s="57" t="s">
        <v>602</v>
      </c>
      <c r="BC266" s="58" t="s">
        <v>603</v>
      </c>
      <c r="BD266" s="58" t="s">
        <v>609</v>
      </c>
      <c r="BE266" s="59">
        <v>1</v>
      </c>
      <c r="BF266" s="58">
        <v>2</v>
      </c>
      <c r="BG266" s="58">
        <f t="shared" si="97"/>
        <v>0</v>
      </c>
      <c r="BH266" s="58" t="s">
        <v>605</v>
      </c>
      <c r="BI266" s="58" t="s">
        <v>610</v>
      </c>
      <c r="BJ266" s="60" t="s">
        <v>90</v>
      </c>
      <c r="BK266" s="67">
        <v>1</v>
      </c>
      <c r="BL266" s="62">
        <v>1</v>
      </c>
      <c r="BM266" s="62">
        <f t="shared" si="98"/>
        <v>0</v>
      </c>
      <c r="BN266" s="58" t="s">
        <v>607</v>
      </c>
      <c r="BO266" s="67"/>
      <c r="BP266" s="67">
        <v>22.5</v>
      </c>
      <c r="BQ266" s="63">
        <f t="shared" si="107"/>
        <v>2</v>
      </c>
      <c r="BR266" s="45">
        <v>1</v>
      </c>
      <c r="BS266" s="45">
        <f t="shared" si="99"/>
        <v>0.3010299956639812</v>
      </c>
      <c r="BU266" s="46"/>
      <c r="BV266" s="64">
        <v>2</v>
      </c>
      <c r="BW266" s="54">
        <f t="shared" si="108"/>
        <v>1</v>
      </c>
      <c r="BX266" s="45">
        <v>1</v>
      </c>
      <c r="BY266" s="45">
        <f t="shared" si="109"/>
        <v>0</v>
      </c>
      <c r="BZ266" s="61" t="s">
        <v>381</v>
      </c>
      <c r="CA266" s="46"/>
      <c r="CB266" s="65">
        <v>2046</v>
      </c>
      <c r="CC266" s="45">
        <v>2</v>
      </c>
      <c r="CD266" s="45">
        <v>2</v>
      </c>
      <c r="CE266" s="45">
        <f t="shared" si="100"/>
        <v>0.6020599913279624</v>
      </c>
      <c r="CG266" s="46"/>
      <c r="CH266" s="66" t="s">
        <v>137</v>
      </c>
      <c r="CI266" s="67">
        <v>2</v>
      </c>
      <c r="CJ266" s="68">
        <v>2</v>
      </c>
      <c r="CK266" s="68">
        <f t="shared" si="101"/>
        <v>0.6020599913279624</v>
      </c>
      <c r="CL266" s="68"/>
      <c r="CM266" s="69"/>
      <c r="CO266" s="70">
        <f t="shared" si="110"/>
        <v>2</v>
      </c>
      <c r="CQ266" s="45">
        <f t="shared" si="102"/>
        <v>0.16723888647998952</v>
      </c>
      <c r="CR266" s="45">
        <f t="shared" si="103"/>
        <v>1.4697344922755988</v>
      </c>
      <c r="CT266" s="71">
        <f t="shared" si="104"/>
        <v>1.1048305269286391</v>
      </c>
    </row>
    <row r="267" spans="1:98" ht="16">
      <c r="A267" s="36">
        <v>265</v>
      </c>
      <c r="B267" s="37"/>
      <c r="C267" s="37"/>
      <c r="D267" s="37"/>
      <c r="E267" s="38" t="s">
        <v>1300</v>
      </c>
      <c r="F267" s="38" t="s">
        <v>1285</v>
      </c>
      <c r="G267" s="38" t="s">
        <v>1301</v>
      </c>
      <c r="H267" s="38" t="s">
        <v>83</v>
      </c>
      <c r="I267" s="72">
        <v>6.3</v>
      </c>
      <c r="J267" s="53" t="s">
        <v>146</v>
      </c>
      <c r="K267" s="42">
        <v>2</v>
      </c>
      <c r="L267" s="42">
        <v>2</v>
      </c>
      <c r="M267" s="42">
        <v>1</v>
      </c>
      <c r="N267" s="42">
        <f t="shared" si="89"/>
        <v>2</v>
      </c>
      <c r="O267" s="42" t="s">
        <v>799</v>
      </c>
      <c r="P267" s="53"/>
      <c r="Q267" s="43">
        <v>18</v>
      </c>
      <c r="R267" s="44">
        <f t="shared" si="105"/>
        <v>3</v>
      </c>
      <c r="S267" s="45">
        <v>1</v>
      </c>
      <c r="T267" s="45">
        <f t="shared" si="90"/>
        <v>3</v>
      </c>
      <c r="V267" s="46"/>
      <c r="W267" s="58" t="s">
        <v>1302</v>
      </c>
      <c r="X267" s="108">
        <v>2</v>
      </c>
      <c r="Y267" s="44">
        <f t="shared" si="91"/>
        <v>3</v>
      </c>
      <c r="Z267" s="45">
        <v>1</v>
      </c>
      <c r="AA267" s="45">
        <f t="shared" si="92"/>
        <v>3</v>
      </c>
      <c r="AB267" s="45">
        <v>1</v>
      </c>
      <c r="AD267" s="49" t="s">
        <v>87</v>
      </c>
      <c r="AE267" s="50" t="s">
        <v>88</v>
      </c>
      <c r="AF267" s="50">
        <v>0</v>
      </c>
      <c r="AG267" s="50">
        <v>3</v>
      </c>
      <c r="AH267" s="50">
        <v>2</v>
      </c>
      <c r="AI267" s="50">
        <f t="shared" si="93"/>
        <v>6</v>
      </c>
      <c r="AJ267" s="50">
        <v>1</v>
      </c>
      <c r="AK267" s="51" t="s">
        <v>89</v>
      </c>
      <c r="AL267" s="52">
        <v>57661</v>
      </c>
      <c r="AM267" s="53" t="s">
        <v>146</v>
      </c>
      <c r="AN267" s="42">
        <v>2</v>
      </c>
      <c r="AO267" s="54">
        <f t="shared" si="106"/>
        <v>3</v>
      </c>
      <c r="AP267" s="53">
        <v>2</v>
      </c>
      <c r="AQ267" s="53">
        <f t="shared" si="94"/>
        <v>6</v>
      </c>
      <c r="AR267" s="53"/>
      <c r="AS267" s="55"/>
      <c r="AT267" s="42">
        <v>16</v>
      </c>
      <c r="AU267" s="42" t="s">
        <v>88</v>
      </c>
      <c r="AV267" s="56">
        <v>0</v>
      </c>
      <c r="AW267" s="44">
        <f t="shared" si="95"/>
        <v>2</v>
      </c>
      <c r="AX267" s="42">
        <v>1</v>
      </c>
      <c r="AY267" s="42">
        <f t="shared" si="96"/>
        <v>2</v>
      </c>
      <c r="AZ267" s="42"/>
      <c r="BA267" s="42"/>
      <c r="BB267" s="57" t="s">
        <v>602</v>
      </c>
      <c r="BC267" s="58" t="s">
        <v>603</v>
      </c>
      <c r="BD267" s="58" t="s">
        <v>604</v>
      </c>
      <c r="BE267" s="59">
        <v>2</v>
      </c>
      <c r="BF267" s="58">
        <v>2</v>
      </c>
      <c r="BG267" s="58">
        <f t="shared" si="97"/>
        <v>0.6020599913279624</v>
      </c>
      <c r="BH267" s="58" t="s">
        <v>605</v>
      </c>
      <c r="BI267" s="58" t="s">
        <v>626</v>
      </c>
      <c r="BJ267" s="60" t="s">
        <v>90</v>
      </c>
      <c r="BK267" s="67">
        <v>1</v>
      </c>
      <c r="BL267" s="62">
        <v>1</v>
      </c>
      <c r="BM267" s="62">
        <f t="shared" si="98"/>
        <v>0</v>
      </c>
      <c r="BN267" s="58" t="s">
        <v>607</v>
      </c>
      <c r="BO267" s="67"/>
      <c r="BP267" s="67">
        <v>3</v>
      </c>
      <c r="BQ267" s="63">
        <f t="shared" si="107"/>
        <v>3</v>
      </c>
      <c r="BR267" s="45">
        <v>1</v>
      </c>
      <c r="BS267" s="45">
        <f t="shared" si="99"/>
        <v>0.47712125471966244</v>
      </c>
      <c r="BU267" s="46"/>
      <c r="BV267" s="64">
        <v>3</v>
      </c>
      <c r="BW267" s="54">
        <f t="shared" si="108"/>
        <v>2</v>
      </c>
      <c r="BX267" s="45">
        <v>1</v>
      </c>
      <c r="BY267" s="45">
        <f t="shared" si="109"/>
        <v>0.3010299956639812</v>
      </c>
      <c r="BZ267" s="61" t="s">
        <v>273</v>
      </c>
      <c r="CA267" s="46"/>
      <c r="CB267" s="65">
        <v>2038</v>
      </c>
      <c r="CC267" s="45">
        <v>2</v>
      </c>
      <c r="CD267" s="45">
        <v>2</v>
      </c>
      <c r="CE267" s="45">
        <f t="shared" si="100"/>
        <v>0.6020599913279624</v>
      </c>
      <c r="CG267" s="46"/>
      <c r="CH267" s="66">
        <v>2</v>
      </c>
      <c r="CI267" s="67">
        <v>3</v>
      </c>
      <c r="CJ267" s="68">
        <v>2</v>
      </c>
      <c r="CK267" s="68">
        <f t="shared" si="101"/>
        <v>0.95424250943932487</v>
      </c>
      <c r="CL267" s="68"/>
      <c r="CM267" s="69"/>
      <c r="CO267" s="70">
        <f t="shared" si="110"/>
        <v>2.2222222222222223</v>
      </c>
      <c r="CQ267" s="45">
        <f t="shared" si="102"/>
        <v>0.32627930471987704</v>
      </c>
      <c r="CR267" s="45">
        <f t="shared" si="103"/>
        <v>2.1197239399504597</v>
      </c>
      <c r="CT267" s="71">
        <f t="shared" si="104"/>
        <v>1.3633488083770486</v>
      </c>
    </row>
    <row r="268" spans="1:98" ht="16">
      <c r="A268" s="36">
        <v>266</v>
      </c>
      <c r="B268" s="37"/>
      <c r="C268" s="37"/>
      <c r="D268" s="37"/>
      <c r="E268" s="38" t="s">
        <v>1303</v>
      </c>
      <c r="F268" s="38" t="s">
        <v>817</v>
      </c>
      <c r="G268" s="38" t="s">
        <v>1304</v>
      </c>
      <c r="H268" s="38" t="s">
        <v>819</v>
      </c>
      <c r="I268" s="72">
        <v>5</v>
      </c>
      <c r="J268" s="53" t="s">
        <v>88</v>
      </c>
      <c r="K268" s="42">
        <v>0</v>
      </c>
      <c r="L268" s="42">
        <v>2</v>
      </c>
      <c r="M268" s="42">
        <v>1</v>
      </c>
      <c r="N268" s="42">
        <f t="shared" si="89"/>
        <v>2</v>
      </c>
      <c r="O268" s="214" t="s">
        <v>1305</v>
      </c>
      <c r="P268" s="53" t="s">
        <v>652</v>
      </c>
      <c r="Q268" s="43">
        <v>29</v>
      </c>
      <c r="R268" s="44">
        <f t="shared" si="105"/>
        <v>3</v>
      </c>
      <c r="S268" s="45">
        <v>1</v>
      </c>
      <c r="T268" s="45">
        <f t="shared" si="90"/>
        <v>3</v>
      </c>
      <c r="V268" s="46"/>
      <c r="W268" s="58" t="s">
        <v>1306</v>
      </c>
      <c r="X268" s="108">
        <v>3.5</v>
      </c>
      <c r="Y268" s="44">
        <f t="shared" si="91"/>
        <v>2</v>
      </c>
      <c r="Z268" s="45">
        <v>1</v>
      </c>
      <c r="AA268" s="45">
        <f t="shared" si="92"/>
        <v>2</v>
      </c>
      <c r="AB268" s="45">
        <v>1</v>
      </c>
      <c r="AD268" s="49" t="s">
        <v>1307</v>
      </c>
      <c r="AE268" s="50" t="s">
        <v>88</v>
      </c>
      <c r="AF268" s="50">
        <v>0</v>
      </c>
      <c r="AG268" s="50">
        <v>3</v>
      </c>
      <c r="AH268" s="50">
        <v>2</v>
      </c>
      <c r="AI268" s="50">
        <f t="shared" si="93"/>
        <v>6</v>
      </c>
      <c r="AJ268" s="50">
        <v>1</v>
      </c>
      <c r="AK268" s="51" t="s">
        <v>165</v>
      </c>
      <c r="AL268" s="61">
        <v>149485</v>
      </c>
      <c r="AM268" s="53" t="s">
        <v>115</v>
      </c>
      <c r="AN268" s="42">
        <v>1</v>
      </c>
      <c r="AO268" s="54">
        <f t="shared" si="106"/>
        <v>3</v>
      </c>
      <c r="AP268" s="53">
        <v>2</v>
      </c>
      <c r="AQ268" s="53">
        <f t="shared" si="94"/>
        <v>6</v>
      </c>
      <c r="AR268" s="53"/>
      <c r="AS268" s="55" t="s">
        <v>1308</v>
      </c>
      <c r="AT268" s="42">
        <v>18.2</v>
      </c>
      <c r="AU268" s="42" t="s">
        <v>88</v>
      </c>
      <c r="AV268" s="56">
        <v>0</v>
      </c>
      <c r="AW268" s="44">
        <f t="shared" si="95"/>
        <v>2</v>
      </c>
      <c r="AX268" s="42">
        <v>1</v>
      </c>
      <c r="AY268" s="42">
        <f t="shared" si="96"/>
        <v>2</v>
      </c>
      <c r="AZ268" s="42"/>
      <c r="BA268" s="42"/>
      <c r="BB268" s="57" t="s">
        <v>602</v>
      </c>
      <c r="BC268" s="58" t="s">
        <v>603</v>
      </c>
      <c r="BD268" s="58" t="s">
        <v>609</v>
      </c>
      <c r="BE268" s="59">
        <v>1</v>
      </c>
      <c r="BF268" s="58">
        <v>2</v>
      </c>
      <c r="BG268" s="58">
        <f t="shared" si="97"/>
        <v>0</v>
      </c>
      <c r="BH268" s="58" t="s">
        <v>605</v>
      </c>
      <c r="BI268" s="58" t="s">
        <v>610</v>
      </c>
      <c r="BJ268" s="60" t="s">
        <v>90</v>
      </c>
      <c r="BK268" s="67">
        <v>1</v>
      </c>
      <c r="BL268" s="62">
        <v>1</v>
      </c>
      <c r="BM268" s="62">
        <f t="shared" si="98"/>
        <v>0</v>
      </c>
      <c r="BN268" s="58" t="s">
        <v>607</v>
      </c>
      <c r="BO268" s="67"/>
      <c r="BP268" s="67">
        <v>20</v>
      </c>
      <c r="BQ268" s="63">
        <f t="shared" si="107"/>
        <v>2</v>
      </c>
      <c r="BR268" s="45">
        <v>1</v>
      </c>
      <c r="BS268" s="45">
        <f t="shared" si="99"/>
        <v>0.3010299956639812</v>
      </c>
      <c r="BU268" s="46"/>
      <c r="BV268" s="64">
        <v>1</v>
      </c>
      <c r="BW268" s="54">
        <f t="shared" si="108"/>
        <v>1</v>
      </c>
      <c r="BX268" s="45">
        <v>1</v>
      </c>
      <c r="BY268" s="45">
        <f t="shared" si="109"/>
        <v>0</v>
      </c>
      <c r="BZ268" s="61" t="s">
        <v>1010</v>
      </c>
      <c r="CA268" s="46"/>
      <c r="CB268" s="65">
        <v>2017</v>
      </c>
      <c r="CC268" s="45">
        <v>2</v>
      </c>
      <c r="CD268" s="45">
        <v>2</v>
      </c>
      <c r="CE268" s="45">
        <f t="shared" si="100"/>
        <v>0.6020599913279624</v>
      </c>
      <c r="CG268" s="46"/>
      <c r="CH268" s="66" t="s">
        <v>92</v>
      </c>
      <c r="CI268" s="67">
        <v>3</v>
      </c>
      <c r="CJ268" s="68">
        <v>2</v>
      </c>
      <c r="CK268" s="68">
        <f t="shared" si="101"/>
        <v>0.95424250943932487</v>
      </c>
      <c r="CL268" s="68"/>
      <c r="CM268" s="69" t="s">
        <v>144</v>
      </c>
      <c r="CO268" s="70">
        <f t="shared" si="110"/>
        <v>2.1111111111111112</v>
      </c>
      <c r="CQ268" s="45">
        <f t="shared" si="102"/>
        <v>0.20637027738125205</v>
      </c>
      <c r="CR268" s="45">
        <f t="shared" si="103"/>
        <v>1.6083119076007948</v>
      </c>
      <c r="CT268" s="71">
        <f t="shared" si="104"/>
        <v>1.0771104092520141</v>
      </c>
    </row>
    <row r="269" spans="1:98" ht="16">
      <c r="A269" s="36">
        <v>267</v>
      </c>
      <c r="B269" s="37"/>
      <c r="C269" s="37"/>
      <c r="D269" s="37"/>
      <c r="E269" s="38" t="s">
        <v>1309</v>
      </c>
      <c r="F269" s="38" t="s">
        <v>1310</v>
      </c>
      <c r="G269" s="38" t="s">
        <v>304</v>
      </c>
      <c r="H269" s="38" t="s">
        <v>152</v>
      </c>
      <c r="I269" s="72">
        <v>17.5</v>
      </c>
      <c r="J269" s="53" t="s">
        <v>88</v>
      </c>
      <c r="K269" s="42">
        <v>0</v>
      </c>
      <c r="L269" s="42">
        <v>1</v>
      </c>
      <c r="M269" s="42">
        <v>1</v>
      </c>
      <c r="N269" s="42">
        <f t="shared" si="89"/>
        <v>1</v>
      </c>
      <c r="O269" s="53"/>
      <c r="P269" s="53"/>
      <c r="Q269" s="43">
        <v>50</v>
      </c>
      <c r="R269" s="44">
        <f t="shared" si="105"/>
        <v>2</v>
      </c>
      <c r="S269" s="45">
        <v>1</v>
      </c>
      <c r="T269" s="45">
        <f t="shared" si="90"/>
        <v>2</v>
      </c>
      <c r="V269" s="46"/>
      <c r="W269" s="58" t="s">
        <v>1302</v>
      </c>
      <c r="X269" s="108">
        <v>2</v>
      </c>
      <c r="Y269" s="44">
        <f t="shared" si="91"/>
        <v>3</v>
      </c>
      <c r="Z269" s="45">
        <v>1</v>
      </c>
      <c r="AA269" s="45">
        <f t="shared" si="92"/>
        <v>3</v>
      </c>
      <c r="AB269" s="45">
        <v>1</v>
      </c>
      <c r="AD269" s="49" t="s">
        <v>155</v>
      </c>
      <c r="AE269" s="50" t="s">
        <v>88</v>
      </c>
      <c r="AF269" s="50">
        <v>0</v>
      </c>
      <c r="AG269" s="50">
        <v>3</v>
      </c>
      <c r="AH269" s="50">
        <v>2</v>
      </c>
      <c r="AI269" s="50">
        <f t="shared" si="93"/>
        <v>6</v>
      </c>
      <c r="AJ269" s="50">
        <v>1</v>
      </c>
      <c r="AK269" s="51" t="s">
        <v>165</v>
      </c>
      <c r="AL269" s="61">
        <v>539520</v>
      </c>
      <c r="AM269" s="53" t="s">
        <v>146</v>
      </c>
      <c r="AN269" s="42">
        <v>2</v>
      </c>
      <c r="AO269" s="54">
        <f t="shared" si="106"/>
        <v>3</v>
      </c>
      <c r="AP269" s="53">
        <v>2</v>
      </c>
      <c r="AQ269" s="53">
        <f t="shared" si="94"/>
        <v>6</v>
      </c>
      <c r="AR269" s="53"/>
      <c r="AS269" s="55" t="s">
        <v>1311</v>
      </c>
      <c r="AT269" s="42">
        <v>31</v>
      </c>
      <c r="AU269" s="42" t="s">
        <v>146</v>
      </c>
      <c r="AV269" s="44">
        <v>2</v>
      </c>
      <c r="AW269" s="44">
        <f t="shared" si="95"/>
        <v>1</v>
      </c>
      <c r="AX269" s="42">
        <v>1</v>
      </c>
      <c r="AY269" s="42">
        <f t="shared" si="96"/>
        <v>1</v>
      </c>
      <c r="AZ269" s="42">
        <v>48</v>
      </c>
      <c r="BA269" s="77" t="s">
        <v>1312</v>
      </c>
      <c r="BB269" s="57" t="s">
        <v>622</v>
      </c>
      <c r="BC269" s="58" t="s">
        <v>622</v>
      </c>
      <c r="BD269" s="58" t="s">
        <v>623</v>
      </c>
      <c r="BE269" s="59">
        <v>3</v>
      </c>
      <c r="BF269" s="58">
        <v>2</v>
      </c>
      <c r="BG269" s="58">
        <f t="shared" si="97"/>
        <v>0.95424250943932487</v>
      </c>
      <c r="BH269" s="58" t="s">
        <v>605</v>
      </c>
      <c r="BI269" s="58" t="s">
        <v>775</v>
      </c>
      <c r="BJ269" s="60" t="s">
        <v>90</v>
      </c>
      <c r="BK269" s="67">
        <v>1</v>
      </c>
      <c r="BL269" s="62">
        <v>1</v>
      </c>
      <c r="BM269" s="62">
        <f t="shared" si="98"/>
        <v>0</v>
      </c>
      <c r="BN269" s="58" t="s">
        <v>607</v>
      </c>
      <c r="BO269" s="67"/>
      <c r="BP269" s="67">
        <v>15.5</v>
      </c>
      <c r="BQ269" s="63">
        <f t="shared" si="107"/>
        <v>2</v>
      </c>
      <c r="BR269" s="45">
        <v>1</v>
      </c>
      <c r="BS269" s="45">
        <f t="shared" si="99"/>
        <v>0.3010299956639812</v>
      </c>
      <c r="BU269" s="46"/>
      <c r="BV269" s="64">
        <v>2</v>
      </c>
      <c r="BW269" s="54">
        <f t="shared" si="108"/>
        <v>1</v>
      </c>
      <c r="BX269" s="45">
        <v>1</v>
      </c>
      <c r="BY269" s="45">
        <f t="shared" si="109"/>
        <v>0</v>
      </c>
      <c r="BZ269" s="61" t="s">
        <v>273</v>
      </c>
      <c r="CA269" s="46"/>
      <c r="CB269" s="65">
        <v>2012</v>
      </c>
      <c r="CC269" s="45">
        <v>2</v>
      </c>
      <c r="CD269" s="45">
        <v>2</v>
      </c>
      <c r="CE269" s="45">
        <f t="shared" si="100"/>
        <v>0.6020599913279624</v>
      </c>
      <c r="CG269" s="46"/>
      <c r="CH269" s="66" t="s">
        <v>250</v>
      </c>
      <c r="CI269" s="67">
        <v>3</v>
      </c>
      <c r="CJ269" s="68">
        <v>2</v>
      </c>
      <c r="CK269" s="68">
        <f t="shared" si="101"/>
        <v>0.95424250943932487</v>
      </c>
      <c r="CL269" s="68"/>
      <c r="CM269" s="69"/>
      <c r="CO269" s="70">
        <f t="shared" si="110"/>
        <v>2</v>
      </c>
      <c r="CQ269" s="45">
        <f t="shared" si="102"/>
        <v>0.31239722287451038</v>
      </c>
      <c r="CR269" s="45">
        <f t="shared" si="103"/>
        <v>2.0530391109397983</v>
      </c>
      <c r="CT269" s="71">
        <f t="shared" si="104"/>
        <v>1.4522022480250061</v>
      </c>
    </row>
    <row r="270" spans="1:98" ht="16">
      <c r="A270" s="36">
        <v>268</v>
      </c>
      <c r="B270" s="37" t="s">
        <v>144</v>
      </c>
      <c r="C270" s="37"/>
      <c r="D270" s="37"/>
      <c r="E270" s="38" t="s">
        <v>1313</v>
      </c>
      <c r="F270" s="38" t="s">
        <v>108</v>
      </c>
      <c r="G270" s="38" t="s">
        <v>1314</v>
      </c>
      <c r="H270" s="38" t="s">
        <v>110</v>
      </c>
      <c r="I270" s="72">
        <v>3</v>
      </c>
      <c r="J270" s="53" t="s">
        <v>115</v>
      </c>
      <c r="K270" s="42">
        <v>1</v>
      </c>
      <c r="L270" s="42">
        <v>3</v>
      </c>
      <c r="M270" s="42">
        <v>1</v>
      </c>
      <c r="N270" s="42">
        <f t="shared" si="89"/>
        <v>3</v>
      </c>
      <c r="O270" s="214" t="s">
        <v>1315</v>
      </c>
      <c r="P270" s="53" t="s">
        <v>652</v>
      </c>
      <c r="Q270" s="43">
        <v>6</v>
      </c>
      <c r="R270" s="44">
        <f t="shared" si="105"/>
        <v>3</v>
      </c>
      <c r="S270" s="45">
        <v>1</v>
      </c>
      <c r="T270" s="45">
        <f t="shared" si="90"/>
        <v>3</v>
      </c>
      <c r="V270" s="46"/>
      <c r="W270" s="58" t="s">
        <v>97</v>
      </c>
      <c r="X270" s="108">
        <v>3.4</v>
      </c>
      <c r="Y270" s="44">
        <f t="shared" si="91"/>
        <v>2</v>
      </c>
      <c r="Z270" s="45">
        <v>1</v>
      </c>
      <c r="AA270" s="45">
        <f t="shared" si="92"/>
        <v>2</v>
      </c>
      <c r="AB270" s="45">
        <v>1</v>
      </c>
      <c r="AD270" s="49" t="s">
        <v>113</v>
      </c>
      <c r="AE270" s="50" t="s">
        <v>88</v>
      </c>
      <c r="AF270" s="50">
        <v>0</v>
      </c>
      <c r="AG270" s="50">
        <v>3</v>
      </c>
      <c r="AH270" s="50">
        <v>2</v>
      </c>
      <c r="AI270" s="50">
        <f t="shared" si="93"/>
        <v>6</v>
      </c>
      <c r="AJ270" s="50">
        <v>1</v>
      </c>
      <c r="AK270" s="51" t="s">
        <v>114</v>
      </c>
      <c r="AL270" s="61">
        <v>14990</v>
      </c>
      <c r="AM270" s="53" t="s">
        <v>146</v>
      </c>
      <c r="AN270" s="42">
        <v>2</v>
      </c>
      <c r="AO270" s="54">
        <f t="shared" si="106"/>
        <v>2</v>
      </c>
      <c r="AP270" s="53">
        <v>2</v>
      </c>
      <c r="AQ270" s="53">
        <f t="shared" si="94"/>
        <v>4</v>
      </c>
      <c r="AR270" s="53"/>
      <c r="AS270" s="55"/>
      <c r="AT270" s="42">
        <v>37.5</v>
      </c>
      <c r="AU270" s="42" t="s">
        <v>115</v>
      </c>
      <c r="AV270" s="44">
        <v>1</v>
      </c>
      <c r="AW270" s="44">
        <f t="shared" si="95"/>
        <v>1</v>
      </c>
      <c r="AX270" s="42">
        <v>1</v>
      </c>
      <c r="AY270" s="42">
        <f t="shared" si="96"/>
        <v>1</v>
      </c>
      <c r="AZ270" s="42">
        <v>48</v>
      </c>
      <c r="BA270" s="53" t="s">
        <v>259</v>
      </c>
      <c r="BB270" s="57" t="s">
        <v>602</v>
      </c>
      <c r="BC270" s="58" t="s">
        <v>603</v>
      </c>
      <c r="BD270" s="58" t="s">
        <v>609</v>
      </c>
      <c r="BE270" s="59">
        <v>1</v>
      </c>
      <c r="BF270" s="58">
        <v>2</v>
      </c>
      <c r="BG270" s="58">
        <f t="shared" si="97"/>
        <v>0</v>
      </c>
      <c r="BH270" s="58" t="s">
        <v>605</v>
      </c>
      <c r="BI270" s="58" t="s">
        <v>610</v>
      </c>
      <c r="BJ270" s="60" t="s">
        <v>90</v>
      </c>
      <c r="BK270" s="67">
        <v>1</v>
      </c>
      <c r="BL270" s="62">
        <v>1</v>
      </c>
      <c r="BM270" s="62">
        <f t="shared" si="98"/>
        <v>0</v>
      </c>
      <c r="BN270" s="58" t="s">
        <v>607</v>
      </c>
      <c r="BO270" s="67"/>
      <c r="BP270" s="67">
        <v>57.5</v>
      </c>
      <c r="BQ270" s="63">
        <f t="shared" si="107"/>
        <v>1</v>
      </c>
      <c r="BR270" s="45">
        <v>1</v>
      </c>
      <c r="BS270" s="45">
        <f t="shared" si="99"/>
        <v>0</v>
      </c>
      <c r="BU270" s="46"/>
      <c r="BV270" s="64">
        <v>1.3333333329999999</v>
      </c>
      <c r="BW270" s="54">
        <f t="shared" si="108"/>
        <v>1</v>
      </c>
      <c r="BX270" s="45">
        <v>1</v>
      </c>
      <c r="BY270" s="45">
        <f t="shared" si="109"/>
        <v>0</v>
      </c>
      <c r="BZ270" s="61" t="s">
        <v>91</v>
      </c>
      <c r="CA270" s="46"/>
      <c r="CB270" s="65">
        <v>2011</v>
      </c>
      <c r="CC270" s="45">
        <v>2</v>
      </c>
      <c r="CD270" s="45">
        <v>2</v>
      </c>
      <c r="CE270" s="45">
        <f t="shared" si="100"/>
        <v>0.6020599913279624</v>
      </c>
      <c r="CG270" s="46"/>
      <c r="CH270" s="66" t="s">
        <v>106</v>
      </c>
      <c r="CI270" s="67">
        <v>3</v>
      </c>
      <c r="CJ270" s="68">
        <v>2</v>
      </c>
      <c r="CK270" s="68">
        <f t="shared" si="101"/>
        <v>0.95424250943932487</v>
      </c>
      <c r="CL270" s="78"/>
      <c r="CM270" s="79" t="s">
        <v>144</v>
      </c>
      <c r="CO270" s="70">
        <f t="shared" si="110"/>
        <v>1.7777777777777777</v>
      </c>
      <c r="CQ270" s="45">
        <f t="shared" si="102"/>
        <v>0.17292250008525414</v>
      </c>
      <c r="CR270" s="45">
        <f t="shared" si="103"/>
        <v>1.4890953247181091</v>
      </c>
      <c r="CT270" s="71">
        <f t="shared" si="104"/>
        <v>1.3164503018173301</v>
      </c>
    </row>
    <row r="271" spans="1:98" ht="16" hidden="1">
      <c r="A271" s="36">
        <v>269</v>
      </c>
      <c r="B271" s="37"/>
      <c r="C271" s="37" t="s">
        <v>144</v>
      </c>
      <c r="D271" s="37" t="s">
        <v>686</v>
      </c>
      <c r="E271" s="38" t="s">
        <v>1316</v>
      </c>
      <c r="F271" s="38" t="s">
        <v>255</v>
      </c>
      <c r="G271" s="38" t="s">
        <v>688</v>
      </c>
      <c r="H271" s="38" t="s">
        <v>257</v>
      </c>
      <c r="I271" s="87"/>
      <c r="J271" s="53"/>
      <c r="K271" s="53"/>
      <c r="L271" s="53"/>
      <c r="M271" s="42">
        <v>1</v>
      </c>
      <c r="N271" s="42">
        <f t="shared" si="89"/>
        <v>0</v>
      </c>
      <c r="O271" s="53"/>
      <c r="P271" s="53"/>
      <c r="Q271" s="43"/>
      <c r="R271" s="44" t="str">
        <f>IF(Q271="","***",IF(Q271&lt;5,3,IF(Q271&lt;15,2,1)))</f>
        <v>***</v>
      </c>
      <c r="S271" s="45">
        <v>1</v>
      </c>
      <c r="T271" s="45" t="e">
        <f t="shared" si="90"/>
        <v>#VALUE!</v>
      </c>
      <c r="V271" s="46"/>
      <c r="W271" s="98"/>
      <c r="X271" s="98"/>
      <c r="Y271" s="44" t="str">
        <f t="shared" si="91"/>
        <v>***</v>
      </c>
      <c r="Z271" s="45">
        <v>1</v>
      </c>
      <c r="AA271" s="45" t="e">
        <f t="shared" si="92"/>
        <v>#VALUE!</v>
      </c>
      <c r="AB271" s="45">
        <v>1</v>
      </c>
      <c r="AD271" s="49" t="s">
        <v>163</v>
      </c>
      <c r="AE271" s="50" t="s">
        <v>146</v>
      </c>
      <c r="AF271" s="50">
        <v>2</v>
      </c>
      <c r="AG271" s="50">
        <v>3</v>
      </c>
      <c r="AH271" s="50">
        <v>2</v>
      </c>
      <c r="AI271" s="50">
        <f t="shared" si="93"/>
        <v>6</v>
      </c>
      <c r="AJ271" s="50" t="s">
        <v>755</v>
      </c>
      <c r="AK271" s="51"/>
      <c r="AL271" s="61"/>
      <c r="AM271" s="53"/>
      <c r="AN271" s="42"/>
      <c r="AO271" s="42"/>
      <c r="AP271" s="53">
        <v>2</v>
      </c>
      <c r="AQ271" s="53">
        <f t="shared" si="94"/>
        <v>0</v>
      </c>
      <c r="AR271" s="53"/>
      <c r="AS271" s="55"/>
      <c r="AT271" s="89"/>
      <c r="AU271" s="89"/>
      <c r="AV271" s="44"/>
      <c r="AW271" s="44" t="str">
        <f t="shared" si="95"/>
        <v>***</v>
      </c>
      <c r="AX271" s="42">
        <v>1</v>
      </c>
      <c r="AY271" s="42" t="e">
        <f t="shared" si="96"/>
        <v>#VALUE!</v>
      </c>
      <c r="AZ271" s="89"/>
      <c r="BA271" s="89"/>
      <c r="BB271" s="57"/>
      <c r="BC271" s="58"/>
      <c r="BD271" s="58"/>
      <c r="BE271" s="58"/>
      <c r="BF271" s="58">
        <v>2</v>
      </c>
      <c r="BG271" s="58" t="e">
        <f t="shared" si="97"/>
        <v>#NUM!</v>
      </c>
      <c r="BH271" s="58" t="s">
        <v>605</v>
      </c>
      <c r="BI271" s="58"/>
      <c r="BJ271" s="60" t="s">
        <v>90</v>
      </c>
      <c r="BK271" s="67">
        <v>1</v>
      </c>
      <c r="BL271" s="62">
        <v>1</v>
      </c>
      <c r="BM271" s="62">
        <f t="shared" si="98"/>
        <v>0</v>
      </c>
      <c r="BN271" s="58" t="s">
        <v>607</v>
      </c>
      <c r="BO271" s="37"/>
      <c r="BP271" s="37"/>
      <c r="BQ271" s="63"/>
      <c r="BR271" s="45">
        <v>1</v>
      </c>
      <c r="BS271" s="45" t="e">
        <f t="shared" si="99"/>
        <v>#NUM!</v>
      </c>
      <c r="BU271" s="46"/>
      <c r="BV271" s="64"/>
      <c r="BW271" s="45"/>
      <c r="BX271" s="45">
        <v>1</v>
      </c>
      <c r="BY271" s="45" t="e">
        <f>BX271*LOG(BV271)</f>
        <v>#NUM!</v>
      </c>
      <c r="BZ271" s="61"/>
      <c r="CA271" s="46"/>
      <c r="CB271" s="65">
        <v>1999</v>
      </c>
      <c r="CC271" s="45">
        <v>2</v>
      </c>
      <c r="CD271" s="45">
        <v>2</v>
      </c>
      <c r="CE271" s="45">
        <f t="shared" si="100"/>
        <v>0.6020599913279624</v>
      </c>
      <c r="CG271" s="46"/>
      <c r="CH271" s="66" t="s">
        <v>92</v>
      </c>
      <c r="CI271" s="67">
        <v>3</v>
      </c>
      <c r="CJ271" s="68">
        <v>1</v>
      </c>
      <c r="CK271" s="68">
        <f t="shared" si="101"/>
        <v>0.47712125471966244</v>
      </c>
      <c r="CL271" s="68"/>
      <c r="CM271" s="69" t="s">
        <v>144</v>
      </c>
      <c r="CO271" s="70" t="e">
        <f>(SUM(N271,T271,AA271,AI271,AQ271,AY271)/SUM(M271,S271,Z271,AH271,AP271,AX271,BF271))</f>
        <v>#VALUE!</v>
      </c>
      <c r="CQ271" s="45" t="e">
        <f t="shared" si="102"/>
        <v>#NUM!</v>
      </c>
      <c r="CR271" s="45" t="e">
        <f t="shared" si="103"/>
        <v>#NUM!</v>
      </c>
      <c r="CT271" s="71" t="e">
        <f t="shared" si="104"/>
        <v>#VALUE!</v>
      </c>
    </row>
    <row r="272" spans="1:98" ht="16">
      <c r="A272" s="36">
        <v>270</v>
      </c>
      <c r="B272" s="37"/>
      <c r="C272" s="37"/>
      <c r="D272" s="37"/>
      <c r="E272" s="38" t="s">
        <v>1317</v>
      </c>
      <c r="F272" s="38" t="s">
        <v>237</v>
      </c>
      <c r="G272" s="38" t="s">
        <v>1318</v>
      </c>
      <c r="H272" s="38" t="s">
        <v>177</v>
      </c>
      <c r="I272" s="72">
        <v>7.5</v>
      </c>
      <c r="J272" s="53" t="s">
        <v>88</v>
      </c>
      <c r="K272" s="42">
        <v>0</v>
      </c>
      <c r="L272" s="42">
        <v>2</v>
      </c>
      <c r="M272" s="42">
        <v>1</v>
      </c>
      <c r="N272" s="42">
        <f t="shared" si="89"/>
        <v>2</v>
      </c>
      <c r="O272" s="53"/>
      <c r="P272" s="53"/>
      <c r="Q272" s="43">
        <v>35</v>
      </c>
      <c r="R272" s="44">
        <f t="shared" ref="R272:R285" si="111">IF(Q272="","***",IF(Q272&lt;30,3,IF(Q272&gt;60,1,2)))</f>
        <v>2</v>
      </c>
      <c r="S272" s="45">
        <v>1</v>
      </c>
      <c r="T272" s="45">
        <f t="shared" si="90"/>
        <v>2</v>
      </c>
      <c r="V272" s="46"/>
      <c r="W272" s="58" t="s">
        <v>1319</v>
      </c>
      <c r="X272" s="108">
        <v>2.2999999999999998</v>
      </c>
      <c r="Y272" s="44">
        <f t="shared" si="91"/>
        <v>3</v>
      </c>
      <c r="Z272" s="45">
        <v>1</v>
      </c>
      <c r="AA272" s="45">
        <f t="shared" si="92"/>
        <v>3</v>
      </c>
      <c r="AB272" s="45">
        <v>1</v>
      </c>
      <c r="AD272" s="49" t="s">
        <v>163</v>
      </c>
      <c r="AE272" s="50" t="s">
        <v>146</v>
      </c>
      <c r="AF272" s="50">
        <v>2</v>
      </c>
      <c r="AG272" s="50">
        <v>3</v>
      </c>
      <c r="AH272" s="50">
        <v>2</v>
      </c>
      <c r="AI272" s="50">
        <f t="shared" si="93"/>
        <v>6</v>
      </c>
      <c r="AJ272" s="50" t="s">
        <v>645</v>
      </c>
      <c r="AK272" s="51" t="s">
        <v>240</v>
      </c>
      <c r="AL272" s="80">
        <v>38487</v>
      </c>
      <c r="AM272" s="53" t="s">
        <v>146</v>
      </c>
      <c r="AN272" s="42">
        <v>2</v>
      </c>
      <c r="AO272" s="54">
        <f t="shared" ref="AO272:AO285" si="112">IF(AL272="","***",IF(AL272&gt;15000,3,IF(AL272&lt;1000,1,2)))</f>
        <v>3</v>
      </c>
      <c r="AP272" s="53">
        <v>2</v>
      </c>
      <c r="AQ272" s="53">
        <f t="shared" si="94"/>
        <v>6</v>
      </c>
      <c r="AR272" s="53"/>
      <c r="AS272" s="55"/>
      <c r="AT272" s="42">
        <v>60.2</v>
      </c>
      <c r="AU272" s="42" t="s">
        <v>88</v>
      </c>
      <c r="AV272" s="56">
        <v>0</v>
      </c>
      <c r="AW272" s="44">
        <f t="shared" si="95"/>
        <v>1</v>
      </c>
      <c r="AX272" s="42">
        <v>1</v>
      </c>
      <c r="AY272" s="42">
        <f t="shared" si="96"/>
        <v>1</v>
      </c>
      <c r="AZ272" s="42"/>
      <c r="BA272" s="42"/>
      <c r="BB272" s="57" t="s">
        <v>602</v>
      </c>
      <c r="BC272" s="58" t="s">
        <v>603</v>
      </c>
      <c r="BD272" s="58" t="s">
        <v>609</v>
      </c>
      <c r="BE272" s="59">
        <v>1</v>
      </c>
      <c r="BF272" s="58">
        <v>2</v>
      </c>
      <c r="BG272" s="58">
        <f t="shared" si="97"/>
        <v>0</v>
      </c>
      <c r="BH272" s="58" t="s">
        <v>605</v>
      </c>
      <c r="BI272" s="58" t="s">
        <v>610</v>
      </c>
      <c r="BJ272" s="60" t="s">
        <v>166</v>
      </c>
      <c r="BK272" s="67">
        <v>3</v>
      </c>
      <c r="BL272" s="62">
        <v>1</v>
      </c>
      <c r="BM272" s="62">
        <f t="shared" si="98"/>
        <v>0.47712125471966244</v>
      </c>
      <c r="BN272" s="58" t="s">
        <v>607</v>
      </c>
      <c r="BO272" s="67"/>
      <c r="BP272" s="67">
        <v>43</v>
      </c>
      <c r="BQ272" s="63">
        <f t="shared" ref="BQ272:BQ285" si="113">IF(BP272&lt;10,3,IF(BP272&lt;30,2,1))</f>
        <v>1</v>
      </c>
      <c r="BR272" s="45">
        <v>1</v>
      </c>
      <c r="BS272" s="45">
        <f t="shared" si="99"/>
        <v>0</v>
      </c>
      <c r="BU272" s="46"/>
      <c r="BV272" s="64">
        <v>2.3333333330000001</v>
      </c>
      <c r="BW272" s="54">
        <f t="shared" ref="BW272:BW285" si="114">IF(BV272&lt;2.5,1,IF(BV272&gt;3.5,3,2))</f>
        <v>1</v>
      </c>
      <c r="BX272" s="45">
        <v>1</v>
      </c>
      <c r="BY272" s="45">
        <f t="shared" ref="BY272:BY285" si="115">BX272*LOG(BW272)</f>
        <v>0</v>
      </c>
      <c r="BZ272" s="61" t="s">
        <v>91</v>
      </c>
      <c r="CA272" s="46"/>
      <c r="CB272" s="65">
        <v>1996</v>
      </c>
      <c r="CC272" s="45">
        <v>2</v>
      </c>
      <c r="CD272" s="45">
        <v>2</v>
      </c>
      <c r="CE272" s="45">
        <f t="shared" si="100"/>
        <v>0.6020599913279624</v>
      </c>
      <c r="CG272" s="46"/>
      <c r="CH272" s="66" t="s">
        <v>106</v>
      </c>
      <c r="CI272" s="67">
        <v>3</v>
      </c>
      <c r="CJ272" s="68">
        <v>2</v>
      </c>
      <c r="CK272" s="68">
        <f t="shared" si="101"/>
        <v>0.95424250943932487</v>
      </c>
      <c r="CL272" s="68"/>
      <c r="CM272" s="69"/>
      <c r="CO272" s="70">
        <f t="shared" ref="CO272:CO285" si="116">(SUM(T272,AA272,AI272,AQ272,AY272)/SUM(S272,Z272,AH272,AP272,AX272,BF272))</f>
        <v>2</v>
      </c>
      <c r="CQ272" s="45">
        <f t="shared" si="102"/>
        <v>0.22593597283188332</v>
      </c>
      <c r="CR272" s="45">
        <f t="shared" si="103"/>
        <v>1.682426006079768</v>
      </c>
      <c r="CT272" s="71">
        <f t="shared" si="104"/>
        <v>1.210663146285532</v>
      </c>
    </row>
    <row r="273" spans="1:99" ht="16">
      <c r="A273" s="36">
        <v>271</v>
      </c>
      <c r="B273" s="37"/>
      <c r="C273" s="37"/>
      <c r="D273" s="37"/>
      <c r="E273" s="38" t="s">
        <v>1320</v>
      </c>
      <c r="F273" s="38" t="s">
        <v>1321</v>
      </c>
      <c r="G273" s="101" t="s">
        <v>1322</v>
      </c>
      <c r="H273" s="38" t="s">
        <v>184</v>
      </c>
      <c r="I273" s="72">
        <v>6</v>
      </c>
      <c r="J273" s="53" t="s">
        <v>88</v>
      </c>
      <c r="K273" s="42">
        <v>0</v>
      </c>
      <c r="L273" s="42">
        <v>2</v>
      </c>
      <c r="M273" s="42">
        <v>1</v>
      </c>
      <c r="N273" s="42">
        <f t="shared" si="89"/>
        <v>2</v>
      </c>
      <c r="O273" s="53"/>
      <c r="P273" s="53"/>
      <c r="Q273" s="43">
        <v>3</v>
      </c>
      <c r="R273" s="44">
        <f t="shared" si="111"/>
        <v>3</v>
      </c>
      <c r="S273" s="45">
        <v>1</v>
      </c>
      <c r="T273" s="45">
        <f t="shared" si="90"/>
        <v>3</v>
      </c>
      <c r="V273" s="46"/>
      <c r="W273" s="58" t="s">
        <v>1323</v>
      </c>
      <c r="X273" s="108">
        <v>3.1</v>
      </c>
      <c r="Y273" s="44">
        <f t="shared" si="91"/>
        <v>2</v>
      </c>
      <c r="Z273" s="45">
        <v>1</v>
      </c>
      <c r="AA273" s="45">
        <f t="shared" si="92"/>
        <v>2</v>
      </c>
      <c r="AB273" s="45">
        <v>1</v>
      </c>
      <c r="AD273" s="49" t="s">
        <v>163</v>
      </c>
      <c r="AE273" s="50" t="s">
        <v>146</v>
      </c>
      <c r="AF273" s="50">
        <v>2</v>
      </c>
      <c r="AG273" s="50">
        <v>3</v>
      </c>
      <c r="AH273" s="50">
        <v>2</v>
      </c>
      <c r="AI273" s="50">
        <f t="shared" si="93"/>
        <v>6</v>
      </c>
      <c r="AJ273" s="50" t="s">
        <v>645</v>
      </c>
      <c r="AK273" s="51" t="s">
        <v>135</v>
      </c>
      <c r="AL273" s="61">
        <v>37975</v>
      </c>
      <c r="AM273" s="53" t="s">
        <v>146</v>
      </c>
      <c r="AN273" s="42">
        <v>2</v>
      </c>
      <c r="AO273" s="54">
        <f t="shared" si="112"/>
        <v>3</v>
      </c>
      <c r="AP273" s="53">
        <v>2</v>
      </c>
      <c r="AQ273" s="53">
        <f t="shared" si="94"/>
        <v>6</v>
      </c>
      <c r="AR273" s="53"/>
      <c r="AS273" s="55"/>
      <c r="AT273" s="42">
        <v>31</v>
      </c>
      <c r="AU273" s="42" t="s">
        <v>88</v>
      </c>
      <c r="AV273" s="56">
        <v>0</v>
      </c>
      <c r="AW273" s="44">
        <f t="shared" si="95"/>
        <v>1</v>
      </c>
      <c r="AX273" s="42">
        <v>1</v>
      </c>
      <c r="AY273" s="42">
        <f t="shared" si="96"/>
        <v>1</v>
      </c>
      <c r="AZ273" s="42"/>
      <c r="BA273" s="42"/>
      <c r="BB273" s="57" t="s">
        <v>602</v>
      </c>
      <c r="BC273" s="58" t="s">
        <v>603</v>
      </c>
      <c r="BD273" s="58" t="s">
        <v>604</v>
      </c>
      <c r="BE273" s="59">
        <v>2</v>
      </c>
      <c r="BF273" s="58">
        <v>2</v>
      </c>
      <c r="BG273" s="58">
        <f t="shared" si="97"/>
        <v>0.6020599913279624</v>
      </c>
      <c r="BH273" s="58" t="s">
        <v>605</v>
      </c>
      <c r="BI273" s="58" t="s">
        <v>1324</v>
      </c>
      <c r="BJ273" s="60" t="s">
        <v>90</v>
      </c>
      <c r="BK273" s="67">
        <v>1</v>
      </c>
      <c r="BL273" s="62">
        <v>1</v>
      </c>
      <c r="BM273" s="62">
        <f t="shared" si="98"/>
        <v>0</v>
      </c>
      <c r="BN273" s="58" t="s">
        <v>607</v>
      </c>
      <c r="BO273" s="67"/>
      <c r="BP273" s="67">
        <v>12.5</v>
      </c>
      <c r="BQ273" s="63">
        <f t="shared" si="113"/>
        <v>2</v>
      </c>
      <c r="BR273" s="45">
        <v>1</v>
      </c>
      <c r="BS273" s="45">
        <f t="shared" si="99"/>
        <v>0.3010299956639812</v>
      </c>
      <c r="BU273" s="46"/>
      <c r="BV273" s="64">
        <v>2</v>
      </c>
      <c r="BW273" s="54">
        <f t="shared" si="114"/>
        <v>1</v>
      </c>
      <c r="BX273" s="45">
        <v>1</v>
      </c>
      <c r="BY273" s="45">
        <f t="shared" si="115"/>
        <v>0</v>
      </c>
      <c r="BZ273" s="61" t="s">
        <v>552</v>
      </c>
      <c r="CA273" s="46"/>
      <c r="CB273" s="65">
        <v>1996</v>
      </c>
      <c r="CC273" s="45">
        <v>2</v>
      </c>
      <c r="CD273" s="45">
        <v>2</v>
      </c>
      <c r="CE273" s="45">
        <f t="shared" si="100"/>
        <v>0.6020599913279624</v>
      </c>
      <c r="CG273" s="46"/>
      <c r="CH273" s="66" t="s">
        <v>106</v>
      </c>
      <c r="CI273" s="67">
        <v>3</v>
      </c>
      <c r="CJ273" s="68">
        <v>2</v>
      </c>
      <c r="CK273" s="68">
        <f t="shared" si="101"/>
        <v>0.95424250943932487</v>
      </c>
      <c r="CL273" s="68"/>
      <c r="CM273" s="69" t="s">
        <v>144</v>
      </c>
      <c r="CO273" s="70">
        <f t="shared" si="116"/>
        <v>2</v>
      </c>
      <c r="CQ273" s="45">
        <f t="shared" si="102"/>
        <v>0.27326583197324783</v>
      </c>
      <c r="CR273" s="45">
        <f t="shared" si="103"/>
        <v>1.8761425449123872</v>
      </c>
      <c r="CT273" s="71">
        <f t="shared" si="104"/>
        <v>1.329520875731387</v>
      </c>
    </row>
    <row r="274" spans="1:99" ht="16">
      <c r="A274" s="36">
        <v>272</v>
      </c>
      <c r="B274" s="37"/>
      <c r="C274" s="37"/>
      <c r="D274" s="37"/>
      <c r="E274" s="38" t="s">
        <v>1325</v>
      </c>
      <c r="F274" s="38" t="s">
        <v>899</v>
      </c>
      <c r="G274" s="38" t="s">
        <v>1326</v>
      </c>
      <c r="H274" s="38" t="s">
        <v>170</v>
      </c>
      <c r="I274" s="72">
        <v>5.5</v>
      </c>
      <c r="J274" s="53" t="s">
        <v>88</v>
      </c>
      <c r="K274" s="42">
        <v>0</v>
      </c>
      <c r="L274" s="42">
        <v>2</v>
      </c>
      <c r="M274" s="42">
        <v>1</v>
      </c>
      <c r="N274" s="42">
        <f t="shared" si="89"/>
        <v>2</v>
      </c>
      <c r="O274" s="53"/>
      <c r="P274" s="53"/>
      <c r="Q274" s="43">
        <v>11</v>
      </c>
      <c r="R274" s="44">
        <f t="shared" si="111"/>
        <v>3</v>
      </c>
      <c r="S274" s="45">
        <v>1</v>
      </c>
      <c r="T274" s="45">
        <f t="shared" si="90"/>
        <v>3</v>
      </c>
      <c r="V274" s="46"/>
      <c r="W274" s="58" t="s">
        <v>1327</v>
      </c>
      <c r="X274" s="108">
        <v>3.4</v>
      </c>
      <c r="Y274" s="44">
        <f t="shared" si="91"/>
        <v>2</v>
      </c>
      <c r="Z274" s="45">
        <v>1</v>
      </c>
      <c r="AA274" s="45">
        <f t="shared" si="92"/>
        <v>2</v>
      </c>
      <c r="AB274" s="45">
        <v>1</v>
      </c>
      <c r="AD274" s="49" t="s">
        <v>172</v>
      </c>
      <c r="AE274" s="50" t="s">
        <v>88</v>
      </c>
      <c r="AF274" s="50">
        <v>0</v>
      </c>
      <c r="AG274" s="50">
        <v>3</v>
      </c>
      <c r="AH274" s="50">
        <v>2</v>
      </c>
      <c r="AI274" s="50">
        <f t="shared" si="93"/>
        <v>6</v>
      </c>
      <c r="AJ274" s="50">
        <v>1</v>
      </c>
      <c r="AK274" s="51" t="s">
        <v>1328</v>
      </c>
      <c r="AL274" s="61">
        <v>1001</v>
      </c>
      <c r="AM274" s="53" t="s">
        <v>88</v>
      </c>
      <c r="AN274" s="42">
        <v>0</v>
      </c>
      <c r="AO274" s="54">
        <f t="shared" si="112"/>
        <v>2</v>
      </c>
      <c r="AP274" s="53">
        <v>2</v>
      </c>
      <c r="AQ274" s="53">
        <f t="shared" si="94"/>
        <v>4</v>
      </c>
      <c r="AR274" s="53"/>
      <c r="AS274" s="55" t="s">
        <v>1329</v>
      </c>
      <c r="AT274" s="53">
        <v>22.75</v>
      </c>
      <c r="AU274" s="42" t="s">
        <v>146</v>
      </c>
      <c r="AV274" s="44">
        <v>2</v>
      </c>
      <c r="AW274" s="44">
        <f t="shared" si="95"/>
        <v>2</v>
      </c>
      <c r="AX274" s="42">
        <v>1</v>
      </c>
      <c r="AY274" s="42">
        <f t="shared" si="96"/>
        <v>2</v>
      </c>
      <c r="AZ274" s="42" t="s">
        <v>902</v>
      </c>
      <c r="BA274" s="53" t="s">
        <v>903</v>
      </c>
      <c r="BB274" s="57" t="s">
        <v>602</v>
      </c>
      <c r="BC274" s="58" t="s">
        <v>603</v>
      </c>
      <c r="BD274" s="58" t="s">
        <v>609</v>
      </c>
      <c r="BE274" s="59">
        <v>1</v>
      </c>
      <c r="BF274" s="58">
        <v>2</v>
      </c>
      <c r="BG274" s="58">
        <f t="shared" si="97"/>
        <v>0</v>
      </c>
      <c r="BH274" s="58" t="s">
        <v>605</v>
      </c>
      <c r="BI274" s="58" t="s">
        <v>610</v>
      </c>
      <c r="BJ274" s="60" t="s">
        <v>90</v>
      </c>
      <c r="BK274" s="67">
        <v>1</v>
      </c>
      <c r="BL274" s="62">
        <v>1</v>
      </c>
      <c r="BM274" s="62">
        <f t="shared" si="98"/>
        <v>0</v>
      </c>
      <c r="BN274" s="58" t="s">
        <v>607</v>
      </c>
      <c r="BO274" s="67"/>
      <c r="BP274" s="67">
        <v>10.5</v>
      </c>
      <c r="BQ274" s="63">
        <f t="shared" si="113"/>
        <v>2</v>
      </c>
      <c r="BR274" s="45">
        <v>1</v>
      </c>
      <c r="BS274" s="45">
        <f t="shared" si="99"/>
        <v>0.3010299956639812</v>
      </c>
      <c r="BU274" s="46"/>
      <c r="BV274" s="64">
        <v>2</v>
      </c>
      <c r="BW274" s="54">
        <f t="shared" si="114"/>
        <v>1</v>
      </c>
      <c r="BX274" s="45">
        <v>1</v>
      </c>
      <c r="BY274" s="45">
        <f t="shared" si="115"/>
        <v>0</v>
      </c>
      <c r="BZ274" s="61" t="s">
        <v>99</v>
      </c>
      <c r="CA274" s="46"/>
      <c r="CB274" s="65">
        <v>1944</v>
      </c>
      <c r="CC274" s="45">
        <v>2</v>
      </c>
      <c r="CD274" s="45">
        <v>2</v>
      </c>
      <c r="CE274" s="45">
        <f t="shared" si="100"/>
        <v>0.6020599913279624</v>
      </c>
      <c r="CG274" s="46"/>
      <c r="CH274" s="66" t="s">
        <v>92</v>
      </c>
      <c r="CI274" s="67">
        <v>3</v>
      </c>
      <c r="CJ274" s="68">
        <v>2</v>
      </c>
      <c r="CK274" s="68">
        <f t="shared" si="101"/>
        <v>0.95424250943932487</v>
      </c>
      <c r="CL274" s="78"/>
      <c r="CM274" s="79" t="s">
        <v>144</v>
      </c>
      <c r="CO274" s="70">
        <f t="shared" si="116"/>
        <v>1.8888888888888888</v>
      </c>
      <c r="CQ274" s="45">
        <f t="shared" si="102"/>
        <v>0.20637027738125205</v>
      </c>
      <c r="CR274" s="45">
        <f t="shared" si="103"/>
        <v>1.6083119076007948</v>
      </c>
      <c r="CT274" s="71">
        <f t="shared" si="104"/>
        <v>1.2667325203702184</v>
      </c>
    </row>
    <row r="275" spans="1:99" ht="16">
      <c r="A275" s="36">
        <v>273</v>
      </c>
      <c r="B275" s="37"/>
      <c r="C275" s="37"/>
      <c r="D275" s="37"/>
      <c r="E275" s="38" t="s">
        <v>1330</v>
      </c>
      <c r="F275" s="38" t="s">
        <v>429</v>
      </c>
      <c r="G275" s="38" t="s">
        <v>534</v>
      </c>
      <c r="H275" s="38" t="s">
        <v>152</v>
      </c>
      <c r="I275" s="72">
        <v>7.7</v>
      </c>
      <c r="J275" s="53" t="s">
        <v>115</v>
      </c>
      <c r="K275" s="42">
        <v>1</v>
      </c>
      <c r="L275" s="42">
        <v>2</v>
      </c>
      <c r="M275" s="42">
        <v>1</v>
      </c>
      <c r="N275" s="42">
        <f t="shared" si="89"/>
        <v>2</v>
      </c>
      <c r="O275" s="42" t="s">
        <v>799</v>
      </c>
      <c r="P275" s="53"/>
      <c r="Q275" s="43">
        <v>8</v>
      </c>
      <c r="R275" s="44">
        <f t="shared" si="111"/>
        <v>3</v>
      </c>
      <c r="S275" s="45">
        <v>1</v>
      </c>
      <c r="T275" s="45">
        <f t="shared" si="90"/>
        <v>3</v>
      </c>
      <c r="V275" s="46"/>
      <c r="W275" s="58" t="s">
        <v>97</v>
      </c>
      <c r="X275" s="108">
        <v>3.4</v>
      </c>
      <c r="Y275" s="44">
        <f t="shared" si="91"/>
        <v>2</v>
      </c>
      <c r="Z275" s="45">
        <v>1</v>
      </c>
      <c r="AA275" s="45">
        <f t="shared" si="92"/>
        <v>2</v>
      </c>
      <c r="AB275" s="45">
        <v>1</v>
      </c>
      <c r="AD275" s="49" t="s">
        <v>362</v>
      </c>
      <c r="AE275" s="50" t="s">
        <v>88</v>
      </c>
      <c r="AF275" s="50">
        <v>0</v>
      </c>
      <c r="AG275" s="50">
        <v>2</v>
      </c>
      <c r="AH275" s="50">
        <v>2</v>
      </c>
      <c r="AI275" s="50">
        <f t="shared" si="93"/>
        <v>4</v>
      </c>
      <c r="AJ275" s="50">
        <v>1</v>
      </c>
      <c r="AK275" s="51" t="s">
        <v>1328</v>
      </c>
      <c r="AL275" s="61">
        <v>539520</v>
      </c>
      <c r="AM275" s="53" t="s">
        <v>146</v>
      </c>
      <c r="AN275" s="42">
        <v>2</v>
      </c>
      <c r="AO275" s="54">
        <f t="shared" si="112"/>
        <v>3</v>
      </c>
      <c r="AP275" s="53">
        <v>2</v>
      </c>
      <c r="AQ275" s="53">
        <f t="shared" si="94"/>
        <v>6</v>
      </c>
      <c r="AR275" s="53"/>
      <c r="AS275" s="55"/>
      <c r="AT275" s="53">
        <v>26.425000000000001</v>
      </c>
      <c r="AU275" s="42" t="s">
        <v>115</v>
      </c>
      <c r="AV275" s="44">
        <v>1</v>
      </c>
      <c r="AW275" s="44">
        <f t="shared" si="95"/>
        <v>2</v>
      </c>
      <c r="AX275" s="42">
        <v>1</v>
      </c>
      <c r="AY275" s="42">
        <f t="shared" si="96"/>
        <v>2</v>
      </c>
      <c r="AZ275" s="42">
        <v>48</v>
      </c>
      <c r="BA275" s="77" t="s">
        <v>540</v>
      </c>
      <c r="BB275" s="57" t="s">
        <v>642</v>
      </c>
      <c r="BC275" s="58" t="s">
        <v>643</v>
      </c>
      <c r="BD275" s="58" t="s">
        <v>609</v>
      </c>
      <c r="BE275" s="59">
        <v>2</v>
      </c>
      <c r="BF275" s="58">
        <v>2</v>
      </c>
      <c r="BG275" s="58">
        <f t="shared" si="97"/>
        <v>0.6020599913279624</v>
      </c>
      <c r="BH275" s="58" t="s">
        <v>605</v>
      </c>
      <c r="BI275" s="58" t="s">
        <v>644</v>
      </c>
      <c r="BJ275" s="60" t="s">
        <v>90</v>
      </c>
      <c r="BK275" s="67">
        <v>1</v>
      </c>
      <c r="BL275" s="62">
        <v>1</v>
      </c>
      <c r="BM275" s="62">
        <f t="shared" si="98"/>
        <v>0</v>
      </c>
      <c r="BN275" s="58" t="s">
        <v>607</v>
      </c>
      <c r="BO275" s="67"/>
      <c r="BP275" s="67">
        <v>21.25</v>
      </c>
      <c r="BQ275" s="63">
        <f t="shared" si="113"/>
        <v>2</v>
      </c>
      <c r="BR275" s="45">
        <v>1</v>
      </c>
      <c r="BS275" s="45">
        <f t="shared" si="99"/>
        <v>0.3010299956639812</v>
      </c>
      <c r="BU275" s="46"/>
      <c r="BV275" s="64">
        <v>1.6666666670000001</v>
      </c>
      <c r="BW275" s="54">
        <f t="shared" si="114"/>
        <v>1</v>
      </c>
      <c r="BX275" s="45">
        <v>1</v>
      </c>
      <c r="BY275" s="45">
        <f t="shared" si="115"/>
        <v>0</v>
      </c>
      <c r="BZ275" s="61" t="s">
        <v>91</v>
      </c>
      <c r="CA275" s="46"/>
      <c r="CB275" s="65">
        <v>1935</v>
      </c>
      <c r="CC275" s="45">
        <v>2</v>
      </c>
      <c r="CD275" s="45">
        <v>2</v>
      </c>
      <c r="CE275" s="45">
        <f t="shared" si="100"/>
        <v>0.6020599913279624</v>
      </c>
      <c r="CG275" s="46"/>
      <c r="CH275" s="66" t="s">
        <v>137</v>
      </c>
      <c r="CI275" s="67">
        <v>2</v>
      </c>
      <c r="CJ275" s="68">
        <v>2</v>
      </c>
      <c r="CK275" s="68">
        <f t="shared" si="101"/>
        <v>0.6020599913279624</v>
      </c>
      <c r="CL275" s="68"/>
      <c r="CM275" s="69"/>
      <c r="CO275" s="70">
        <f t="shared" si="116"/>
        <v>1.8888888888888888</v>
      </c>
      <c r="CQ275" s="45">
        <f t="shared" si="102"/>
        <v>0.23413444107198536</v>
      </c>
      <c r="CR275" s="45">
        <f t="shared" si="103"/>
        <v>1.7144879657061456</v>
      </c>
      <c r="CT275" s="71">
        <f t="shared" si="104"/>
        <v>1.3210075527314271</v>
      </c>
    </row>
    <row r="276" spans="1:99" ht="16">
      <c r="A276" s="36">
        <v>274</v>
      </c>
      <c r="B276" s="37"/>
      <c r="C276" s="37"/>
      <c r="D276" s="37"/>
      <c r="E276" s="38" t="s">
        <v>1331</v>
      </c>
      <c r="F276" s="38" t="s">
        <v>1332</v>
      </c>
      <c r="G276" s="38" t="s">
        <v>1333</v>
      </c>
      <c r="H276" s="38" t="s">
        <v>847</v>
      </c>
      <c r="I276" s="72">
        <v>5</v>
      </c>
      <c r="J276" s="53" t="s">
        <v>88</v>
      </c>
      <c r="K276" s="42">
        <v>0</v>
      </c>
      <c r="L276" s="42">
        <v>2</v>
      </c>
      <c r="M276" s="42">
        <v>1</v>
      </c>
      <c r="N276" s="42">
        <f t="shared" si="89"/>
        <v>2</v>
      </c>
      <c r="O276" s="53"/>
      <c r="P276" s="53"/>
      <c r="Q276" s="43">
        <v>16</v>
      </c>
      <c r="R276" s="44">
        <f t="shared" si="111"/>
        <v>3</v>
      </c>
      <c r="S276" s="45">
        <v>1</v>
      </c>
      <c r="T276" s="45">
        <f t="shared" si="90"/>
        <v>3</v>
      </c>
      <c r="V276" s="46"/>
      <c r="W276" s="58" t="s">
        <v>1334</v>
      </c>
      <c r="X276" s="108">
        <v>2.9</v>
      </c>
      <c r="Y276" s="44">
        <f t="shared" si="91"/>
        <v>2</v>
      </c>
      <c r="Z276" s="45">
        <v>1</v>
      </c>
      <c r="AA276" s="45">
        <f t="shared" si="92"/>
        <v>2</v>
      </c>
      <c r="AB276" s="45">
        <v>1</v>
      </c>
      <c r="AD276" s="49" t="s">
        <v>163</v>
      </c>
      <c r="AE276" s="50" t="s">
        <v>146</v>
      </c>
      <c r="AF276" s="50">
        <v>2</v>
      </c>
      <c r="AG276" s="50">
        <v>3</v>
      </c>
      <c r="AH276" s="50">
        <v>2</v>
      </c>
      <c r="AI276" s="50">
        <f t="shared" si="93"/>
        <v>6</v>
      </c>
      <c r="AJ276" s="50" t="s">
        <v>849</v>
      </c>
      <c r="AK276" s="51"/>
      <c r="AL276" s="61">
        <v>233</v>
      </c>
      <c r="AM276" s="53" t="s">
        <v>146</v>
      </c>
      <c r="AN276" s="42">
        <v>2</v>
      </c>
      <c r="AO276" s="54">
        <f t="shared" si="112"/>
        <v>1</v>
      </c>
      <c r="AP276" s="53">
        <v>2</v>
      </c>
      <c r="AQ276" s="53">
        <f t="shared" si="94"/>
        <v>2</v>
      </c>
      <c r="AR276" s="53"/>
      <c r="AS276" s="55"/>
      <c r="AT276" s="42">
        <v>23.9</v>
      </c>
      <c r="AU276" s="42" t="s">
        <v>146</v>
      </c>
      <c r="AV276" s="44">
        <v>2</v>
      </c>
      <c r="AW276" s="44">
        <f t="shared" si="95"/>
        <v>2</v>
      </c>
      <c r="AX276" s="42">
        <v>1</v>
      </c>
      <c r="AY276" s="42">
        <f t="shared" si="96"/>
        <v>2</v>
      </c>
      <c r="AZ276" s="42">
        <v>48</v>
      </c>
      <c r="BA276" s="53" t="s">
        <v>1335</v>
      </c>
      <c r="BB276" s="57" t="s">
        <v>602</v>
      </c>
      <c r="BC276" s="58" t="s">
        <v>603</v>
      </c>
      <c r="BD276" s="58" t="s">
        <v>609</v>
      </c>
      <c r="BE276" s="59">
        <v>1</v>
      </c>
      <c r="BF276" s="58">
        <v>2</v>
      </c>
      <c r="BG276" s="58">
        <f t="shared" si="97"/>
        <v>0</v>
      </c>
      <c r="BH276" s="58" t="s">
        <v>605</v>
      </c>
      <c r="BI276" s="58" t="s">
        <v>731</v>
      </c>
      <c r="BJ276" s="60" t="s">
        <v>90</v>
      </c>
      <c r="BK276" s="67">
        <v>1</v>
      </c>
      <c r="BL276" s="62">
        <v>1</v>
      </c>
      <c r="BM276" s="62">
        <f t="shared" si="98"/>
        <v>0</v>
      </c>
      <c r="BN276" s="58" t="s">
        <v>607</v>
      </c>
      <c r="BO276" s="67"/>
      <c r="BP276" s="67">
        <v>21.5</v>
      </c>
      <c r="BQ276" s="63">
        <f t="shared" si="113"/>
        <v>2</v>
      </c>
      <c r="BR276" s="45">
        <v>1</v>
      </c>
      <c r="BS276" s="45">
        <f t="shared" si="99"/>
        <v>0.3010299956639812</v>
      </c>
      <c r="BU276" s="46"/>
      <c r="BV276" s="64">
        <v>2.3333333330000001</v>
      </c>
      <c r="BW276" s="54">
        <f t="shared" si="114"/>
        <v>1</v>
      </c>
      <c r="BX276" s="45">
        <v>1</v>
      </c>
      <c r="BY276" s="45">
        <f t="shared" si="115"/>
        <v>0</v>
      </c>
      <c r="BZ276" s="61" t="s">
        <v>91</v>
      </c>
      <c r="CA276" s="46"/>
      <c r="CB276" s="65">
        <v>1916</v>
      </c>
      <c r="CC276" s="45">
        <v>2</v>
      </c>
      <c r="CD276" s="45">
        <v>2</v>
      </c>
      <c r="CE276" s="45">
        <f t="shared" si="100"/>
        <v>0.6020599913279624</v>
      </c>
      <c r="CG276" s="46"/>
      <c r="CH276" s="66" t="s">
        <v>92</v>
      </c>
      <c r="CI276" s="67">
        <v>3</v>
      </c>
      <c r="CJ276" s="68">
        <v>2</v>
      </c>
      <c r="CK276" s="68">
        <f t="shared" si="101"/>
        <v>0.95424250943932487</v>
      </c>
      <c r="CL276" s="78"/>
      <c r="CM276" s="79" t="s">
        <v>144</v>
      </c>
      <c r="CO276" s="70">
        <f t="shared" si="116"/>
        <v>1.6666666666666667</v>
      </c>
      <c r="CQ276" s="45">
        <f t="shared" si="102"/>
        <v>0.20637027738125205</v>
      </c>
      <c r="CR276" s="45">
        <f t="shared" si="103"/>
        <v>1.6083119076007948</v>
      </c>
      <c r="CT276" s="71">
        <f t="shared" si="104"/>
        <v>1.4655446614507166</v>
      </c>
    </row>
    <row r="277" spans="1:99" ht="16">
      <c r="A277" s="36">
        <v>275</v>
      </c>
      <c r="B277" s="37"/>
      <c r="C277" s="37"/>
      <c r="D277" s="37"/>
      <c r="E277" s="38" t="s">
        <v>1336</v>
      </c>
      <c r="F277" s="38" t="s">
        <v>124</v>
      </c>
      <c r="G277" s="38" t="s">
        <v>1337</v>
      </c>
      <c r="H277" s="38" t="s">
        <v>83</v>
      </c>
      <c r="I277" s="72">
        <v>8</v>
      </c>
      <c r="J277" s="53" t="s">
        <v>88</v>
      </c>
      <c r="K277" s="42">
        <v>0</v>
      </c>
      <c r="L277" s="42">
        <v>2</v>
      </c>
      <c r="M277" s="42">
        <v>1</v>
      </c>
      <c r="N277" s="42">
        <f t="shared" si="89"/>
        <v>2</v>
      </c>
      <c r="O277" s="214" t="s">
        <v>1338</v>
      </c>
      <c r="P277" s="53" t="s">
        <v>665</v>
      </c>
      <c r="Q277" s="43">
        <v>9</v>
      </c>
      <c r="R277" s="44">
        <f t="shared" si="111"/>
        <v>3</v>
      </c>
      <c r="S277" s="45">
        <v>1</v>
      </c>
      <c r="T277" s="45">
        <f t="shared" si="90"/>
        <v>3</v>
      </c>
      <c r="V277" s="46"/>
      <c r="W277" s="58" t="s">
        <v>1339</v>
      </c>
      <c r="X277" s="108">
        <v>2.7</v>
      </c>
      <c r="Y277" s="44">
        <f t="shared" si="91"/>
        <v>2</v>
      </c>
      <c r="Z277" s="45">
        <v>1</v>
      </c>
      <c r="AA277" s="45">
        <f t="shared" si="92"/>
        <v>2</v>
      </c>
      <c r="AB277" s="45">
        <v>1</v>
      </c>
      <c r="AD277" s="49" t="s">
        <v>680</v>
      </c>
      <c r="AE277" s="50" t="s">
        <v>88</v>
      </c>
      <c r="AF277" s="50">
        <v>0</v>
      </c>
      <c r="AG277" s="50">
        <v>3</v>
      </c>
      <c r="AH277" s="50">
        <v>2</v>
      </c>
      <c r="AI277" s="50">
        <f t="shared" si="93"/>
        <v>6</v>
      </c>
      <c r="AJ277" s="50">
        <v>1</v>
      </c>
      <c r="AK277" s="51" t="s">
        <v>89</v>
      </c>
      <c r="AL277" s="52">
        <v>12730</v>
      </c>
      <c r="AM277" s="53" t="s">
        <v>115</v>
      </c>
      <c r="AN277" s="42">
        <v>1</v>
      </c>
      <c r="AO277" s="54">
        <f t="shared" si="112"/>
        <v>2</v>
      </c>
      <c r="AP277" s="53">
        <v>2</v>
      </c>
      <c r="AQ277" s="53">
        <f t="shared" si="94"/>
        <v>4</v>
      </c>
      <c r="AR277" s="53"/>
      <c r="AS277" s="55"/>
      <c r="AT277" s="42">
        <v>12.4</v>
      </c>
      <c r="AU277" s="42" t="s">
        <v>88</v>
      </c>
      <c r="AV277" s="56">
        <v>0</v>
      </c>
      <c r="AW277" s="44">
        <f t="shared" si="95"/>
        <v>3</v>
      </c>
      <c r="AX277" s="42">
        <v>1</v>
      </c>
      <c r="AY277" s="42">
        <f t="shared" si="96"/>
        <v>3</v>
      </c>
      <c r="AZ277" s="42"/>
      <c r="BA277" s="42"/>
      <c r="BB277" s="57" t="s">
        <v>622</v>
      </c>
      <c r="BC277" s="58" t="s">
        <v>622</v>
      </c>
      <c r="BD277" s="58" t="s">
        <v>623</v>
      </c>
      <c r="BE277" s="59">
        <v>3</v>
      </c>
      <c r="BF277" s="58">
        <v>2</v>
      </c>
      <c r="BG277" s="58">
        <f t="shared" si="97"/>
        <v>0.95424250943932487</v>
      </c>
      <c r="BH277" s="58" t="s">
        <v>605</v>
      </c>
      <c r="BI277" s="58" t="s">
        <v>624</v>
      </c>
      <c r="BJ277" s="60" t="s">
        <v>90</v>
      </c>
      <c r="BK277" s="67">
        <v>1</v>
      </c>
      <c r="BL277" s="62">
        <v>1</v>
      </c>
      <c r="BM277" s="62">
        <f t="shared" si="98"/>
        <v>0</v>
      </c>
      <c r="BN277" s="58" t="s">
        <v>607</v>
      </c>
      <c r="BO277" s="67"/>
      <c r="BP277" s="67">
        <v>13</v>
      </c>
      <c r="BQ277" s="63">
        <f t="shared" si="113"/>
        <v>2</v>
      </c>
      <c r="BR277" s="45">
        <v>1</v>
      </c>
      <c r="BS277" s="45">
        <f t="shared" si="99"/>
        <v>0.3010299956639812</v>
      </c>
      <c r="BU277" s="46"/>
      <c r="BV277" s="64">
        <v>1.5</v>
      </c>
      <c r="BW277" s="54">
        <f t="shared" si="114"/>
        <v>1</v>
      </c>
      <c r="BX277" s="45">
        <v>1</v>
      </c>
      <c r="BY277" s="45">
        <f t="shared" si="115"/>
        <v>0</v>
      </c>
      <c r="BZ277" s="61" t="s">
        <v>381</v>
      </c>
      <c r="CA277" s="46"/>
      <c r="CB277" s="65">
        <v>1912</v>
      </c>
      <c r="CC277" s="45">
        <v>2</v>
      </c>
      <c r="CD277" s="45">
        <v>2</v>
      </c>
      <c r="CE277" s="45">
        <f t="shared" si="100"/>
        <v>0.6020599913279624</v>
      </c>
      <c r="CG277" s="46"/>
      <c r="CH277" s="66" t="s">
        <v>106</v>
      </c>
      <c r="CI277" s="67">
        <v>3</v>
      </c>
      <c r="CJ277" s="68">
        <v>2</v>
      </c>
      <c r="CK277" s="68">
        <f t="shared" si="101"/>
        <v>0.95424250943932487</v>
      </c>
      <c r="CL277" s="68"/>
      <c r="CM277" s="69"/>
      <c r="CO277" s="70">
        <f t="shared" si="116"/>
        <v>2</v>
      </c>
      <c r="CQ277" s="45">
        <f t="shared" si="102"/>
        <v>0.31239722287451038</v>
      </c>
      <c r="CR277" s="45">
        <f t="shared" si="103"/>
        <v>2.0530391109397983</v>
      </c>
      <c r="CT277" s="71">
        <f t="shared" si="104"/>
        <v>1.4522022480250061</v>
      </c>
    </row>
    <row r="278" spans="1:99" ht="16">
      <c r="A278" s="36">
        <v>276</v>
      </c>
      <c r="B278" s="37"/>
      <c r="C278" s="37"/>
      <c r="D278" s="37"/>
      <c r="E278" s="38" t="s">
        <v>1340</v>
      </c>
      <c r="F278" s="38" t="s">
        <v>124</v>
      </c>
      <c r="G278" s="38" t="s">
        <v>1341</v>
      </c>
      <c r="H278" s="38" t="s">
        <v>83</v>
      </c>
      <c r="I278" s="72">
        <v>4.5</v>
      </c>
      <c r="J278" s="53" t="s">
        <v>88</v>
      </c>
      <c r="K278" s="42">
        <v>0</v>
      </c>
      <c r="L278" s="42">
        <v>3</v>
      </c>
      <c r="M278" s="42">
        <v>1</v>
      </c>
      <c r="N278" s="42">
        <f t="shared" si="89"/>
        <v>3</v>
      </c>
      <c r="O278" s="53"/>
      <c r="P278" s="53"/>
      <c r="Q278" s="43">
        <v>11</v>
      </c>
      <c r="R278" s="44">
        <f t="shared" si="111"/>
        <v>3</v>
      </c>
      <c r="S278" s="45">
        <v>1</v>
      </c>
      <c r="T278" s="45">
        <f t="shared" si="90"/>
        <v>3</v>
      </c>
      <c r="V278" s="46"/>
      <c r="W278" s="58" t="s">
        <v>1342</v>
      </c>
      <c r="X278" s="108">
        <v>2.7</v>
      </c>
      <c r="Y278" s="44">
        <f t="shared" si="91"/>
        <v>2</v>
      </c>
      <c r="Z278" s="45">
        <v>1</v>
      </c>
      <c r="AA278" s="45">
        <f t="shared" si="92"/>
        <v>2</v>
      </c>
      <c r="AB278" s="45">
        <v>1</v>
      </c>
      <c r="AD278" s="49" t="s">
        <v>1343</v>
      </c>
      <c r="AE278" s="50" t="s">
        <v>88</v>
      </c>
      <c r="AF278" s="50">
        <v>0</v>
      </c>
      <c r="AG278" s="50">
        <v>3</v>
      </c>
      <c r="AH278" s="50">
        <v>2</v>
      </c>
      <c r="AI278" s="50">
        <f t="shared" si="93"/>
        <v>6</v>
      </c>
      <c r="AJ278" s="50">
        <v>1</v>
      </c>
      <c r="AK278" s="51" t="s">
        <v>89</v>
      </c>
      <c r="AL278" s="52">
        <v>12730</v>
      </c>
      <c r="AM278" s="53" t="s">
        <v>115</v>
      </c>
      <c r="AN278" s="42">
        <v>1</v>
      </c>
      <c r="AO278" s="54">
        <f t="shared" si="112"/>
        <v>2</v>
      </c>
      <c r="AP278" s="53">
        <v>2</v>
      </c>
      <c r="AQ278" s="53">
        <f t="shared" si="94"/>
        <v>4</v>
      </c>
      <c r="AR278" s="53"/>
      <c r="AS278" s="55"/>
      <c r="AT278" s="42">
        <v>18</v>
      </c>
      <c r="AU278" s="42" t="s">
        <v>115</v>
      </c>
      <c r="AV278" s="44">
        <v>1</v>
      </c>
      <c r="AW278" s="44">
        <f t="shared" si="95"/>
        <v>2</v>
      </c>
      <c r="AX278" s="42">
        <v>1</v>
      </c>
      <c r="AY278" s="42">
        <f t="shared" si="96"/>
        <v>2</v>
      </c>
      <c r="AZ278" s="42" t="s">
        <v>197</v>
      </c>
      <c r="BA278" s="53" t="s">
        <v>1344</v>
      </c>
      <c r="BB278" s="57" t="s">
        <v>602</v>
      </c>
      <c r="BC278" s="58" t="s">
        <v>603</v>
      </c>
      <c r="BD278" s="58" t="s">
        <v>604</v>
      </c>
      <c r="BE278" s="59">
        <v>2</v>
      </c>
      <c r="BF278" s="58">
        <v>2</v>
      </c>
      <c r="BG278" s="58">
        <f t="shared" si="97"/>
        <v>0.6020599913279624</v>
      </c>
      <c r="BH278" s="58" t="s">
        <v>605</v>
      </c>
      <c r="BI278" s="58" t="s">
        <v>774</v>
      </c>
      <c r="BJ278" s="60" t="s">
        <v>90</v>
      </c>
      <c r="BK278" s="67">
        <v>1</v>
      </c>
      <c r="BL278" s="62">
        <v>1</v>
      </c>
      <c r="BM278" s="62">
        <f t="shared" si="98"/>
        <v>0</v>
      </c>
      <c r="BN278" s="58" t="s">
        <v>607</v>
      </c>
      <c r="BO278" s="67"/>
      <c r="BP278" s="67">
        <v>13</v>
      </c>
      <c r="BQ278" s="63">
        <f t="shared" si="113"/>
        <v>2</v>
      </c>
      <c r="BR278" s="45">
        <v>1</v>
      </c>
      <c r="BS278" s="45">
        <f t="shared" si="99"/>
        <v>0.3010299956639812</v>
      </c>
      <c r="BU278" s="46"/>
      <c r="BV278" s="64">
        <v>1.6666666670000001</v>
      </c>
      <c r="BW278" s="54">
        <f t="shared" si="114"/>
        <v>1</v>
      </c>
      <c r="BX278" s="45">
        <v>1</v>
      </c>
      <c r="BY278" s="45">
        <f t="shared" si="115"/>
        <v>0</v>
      </c>
      <c r="BZ278" s="61" t="s">
        <v>381</v>
      </c>
      <c r="CA278" s="46"/>
      <c r="CB278" s="65">
        <v>1905</v>
      </c>
      <c r="CC278" s="45">
        <v>2</v>
      </c>
      <c r="CD278" s="45">
        <v>2</v>
      </c>
      <c r="CE278" s="45">
        <f t="shared" si="100"/>
        <v>0.6020599913279624</v>
      </c>
      <c r="CG278" s="46"/>
      <c r="CH278" s="66" t="s">
        <v>106</v>
      </c>
      <c r="CI278" s="67">
        <v>3</v>
      </c>
      <c r="CJ278" s="68">
        <v>2</v>
      </c>
      <c r="CK278" s="68">
        <f t="shared" si="101"/>
        <v>0.95424250943932487</v>
      </c>
      <c r="CL278" s="68"/>
      <c r="CM278" s="69"/>
      <c r="CO278" s="70">
        <f t="shared" si="116"/>
        <v>1.8888888888888888</v>
      </c>
      <c r="CQ278" s="45">
        <f t="shared" si="102"/>
        <v>0.27326583197324783</v>
      </c>
      <c r="CR278" s="45">
        <f t="shared" si="103"/>
        <v>1.8761425449123872</v>
      </c>
      <c r="CT278" s="71">
        <f t="shared" si="104"/>
        <v>1.4149889258365671</v>
      </c>
    </row>
    <row r="279" spans="1:99" ht="16">
      <c r="A279" s="36">
        <v>277</v>
      </c>
      <c r="B279" s="37"/>
      <c r="C279" s="37"/>
      <c r="D279" s="37"/>
      <c r="E279" s="38" t="s">
        <v>1345</v>
      </c>
      <c r="F279" s="38" t="s">
        <v>1346</v>
      </c>
      <c r="G279" s="38" t="s">
        <v>1347</v>
      </c>
      <c r="H279" s="38" t="s">
        <v>310</v>
      </c>
      <c r="I279" s="72">
        <v>20</v>
      </c>
      <c r="J279" s="53" t="s">
        <v>88</v>
      </c>
      <c r="K279" s="42">
        <v>0</v>
      </c>
      <c r="L279" s="42">
        <v>1</v>
      </c>
      <c r="M279" s="42">
        <v>1</v>
      </c>
      <c r="N279" s="42">
        <f t="shared" si="89"/>
        <v>1</v>
      </c>
      <c r="O279" s="214" t="s">
        <v>1348</v>
      </c>
      <c r="P279" s="53" t="s">
        <v>665</v>
      </c>
      <c r="Q279" s="43">
        <v>130</v>
      </c>
      <c r="R279" s="44">
        <f t="shared" si="111"/>
        <v>1</v>
      </c>
      <c r="S279" s="45">
        <v>1</v>
      </c>
      <c r="T279" s="45">
        <f t="shared" si="90"/>
        <v>1</v>
      </c>
      <c r="V279" s="46"/>
      <c r="W279" s="58" t="s">
        <v>1349</v>
      </c>
      <c r="X279" s="108">
        <v>4.5</v>
      </c>
      <c r="Y279" s="44">
        <f t="shared" si="91"/>
        <v>1</v>
      </c>
      <c r="Z279" s="45">
        <v>1</v>
      </c>
      <c r="AA279" s="45">
        <f t="shared" si="92"/>
        <v>1</v>
      </c>
      <c r="AB279" s="45">
        <v>1</v>
      </c>
      <c r="AD279" s="49" t="s">
        <v>1350</v>
      </c>
      <c r="AE279" s="50" t="s">
        <v>88</v>
      </c>
      <c r="AF279" s="50">
        <v>0</v>
      </c>
      <c r="AG279" s="50">
        <v>3</v>
      </c>
      <c r="AH279" s="50">
        <v>2</v>
      </c>
      <c r="AI279" s="50">
        <f t="shared" si="93"/>
        <v>6</v>
      </c>
      <c r="AJ279" s="50">
        <v>1</v>
      </c>
      <c r="AK279" s="51" t="s">
        <v>165</v>
      </c>
      <c r="AL279" s="61">
        <v>200</v>
      </c>
      <c r="AM279" s="53" t="s">
        <v>88</v>
      </c>
      <c r="AN279" s="42">
        <v>0</v>
      </c>
      <c r="AO279" s="54">
        <f t="shared" si="112"/>
        <v>1</v>
      </c>
      <c r="AP279" s="53">
        <v>2</v>
      </c>
      <c r="AQ279" s="53">
        <f t="shared" si="94"/>
        <v>2</v>
      </c>
      <c r="AR279" s="53"/>
      <c r="AS279" s="55" t="s">
        <v>1351</v>
      </c>
      <c r="AT279" s="42">
        <v>71</v>
      </c>
      <c r="AU279" s="42" t="s">
        <v>88</v>
      </c>
      <c r="AV279" s="56">
        <v>0</v>
      </c>
      <c r="AW279" s="44">
        <f t="shared" si="95"/>
        <v>1</v>
      </c>
      <c r="AX279" s="42">
        <v>1</v>
      </c>
      <c r="AY279" s="42">
        <f t="shared" si="96"/>
        <v>1</v>
      </c>
      <c r="AZ279" s="42"/>
      <c r="BA279" s="42"/>
      <c r="BB279" s="57" t="s">
        <v>602</v>
      </c>
      <c r="BC279" s="58" t="s">
        <v>603</v>
      </c>
      <c r="BD279" s="58" t="s">
        <v>609</v>
      </c>
      <c r="BE279" s="59">
        <v>1</v>
      </c>
      <c r="BF279" s="58">
        <v>2</v>
      </c>
      <c r="BG279" s="58">
        <f t="shared" si="97"/>
        <v>0</v>
      </c>
      <c r="BH279" s="58" t="s">
        <v>605</v>
      </c>
      <c r="BI279" s="58" t="s">
        <v>610</v>
      </c>
      <c r="BJ279" s="60" t="s">
        <v>90</v>
      </c>
      <c r="BK279" s="67">
        <v>1</v>
      </c>
      <c r="BL279" s="62">
        <v>1</v>
      </c>
      <c r="BM279" s="62">
        <f t="shared" si="98"/>
        <v>0</v>
      </c>
      <c r="BN279" s="58" t="s">
        <v>607</v>
      </c>
      <c r="BO279" s="67"/>
      <c r="BP279" s="67">
        <v>29</v>
      </c>
      <c r="BQ279" s="63">
        <f t="shared" si="113"/>
        <v>2</v>
      </c>
      <c r="BR279" s="45">
        <v>1</v>
      </c>
      <c r="BS279" s="45">
        <f t="shared" si="99"/>
        <v>0.3010299956639812</v>
      </c>
      <c r="BU279" s="46"/>
      <c r="BV279" s="64">
        <v>2.25</v>
      </c>
      <c r="BW279" s="54">
        <f t="shared" si="114"/>
        <v>1</v>
      </c>
      <c r="BX279" s="45">
        <v>1</v>
      </c>
      <c r="BY279" s="45">
        <f t="shared" si="115"/>
        <v>0</v>
      </c>
      <c r="BZ279" s="61" t="s">
        <v>273</v>
      </c>
      <c r="CA279" s="46"/>
      <c r="CB279" s="65">
        <v>1902</v>
      </c>
      <c r="CC279" s="45">
        <v>2</v>
      </c>
      <c r="CD279" s="45">
        <v>2</v>
      </c>
      <c r="CE279" s="45">
        <f t="shared" si="100"/>
        <v>0.6020599913279624</v>
      </c>
      <c r="CG279" s="46"/>
      <c r="CH279" s="66" t="s">
        <v>106</v>
      </c>
      <c r="CI279" s="67">
        <v>3</v>
      </c>
      <c r="CJ279" s="68">
        <v>2</v>
      </c>
      <c r="CK279" s="68">
        <f t="shared" si="101"/>
        <v>0.95424250943932487</v>
      </c>
      <c r="CL279" s="78"/>
      <c r="CM279" s="79" t="s">
        <v>144</v>
      </c>
      <c r="CO279" s="70">
        <f t="shared" si="116"/>
        <v>1.2222222222222223</v>
      </c>
      <c r="CQ279" s="45">
        <f t="shared" si="102"/>
        <v>0.20637027738125205</v>
      </c>
      <c r="CR279" s="45">
        <f t="shared" si="103"/>
        <v>1.6083119076007948</v>
      </c>
      <c r="CT279" s="71">
        <f t="shared" si="104"/>
        <v>1.8789723798101481</v>
      </c>
    </row>
    <row r="280" spans="1:99" ht="16">
      <c r="A280" s="36">
        <v>278</v>
      </c>
      <c r="B280" s="37"/>
      <c r="C280" s="37"/>
      <c r="D280" s="37"/>
      <c r="E280" s="38" t="s">
        <v>1352</v>
      </c>
      <c r="F280" s="38" t="s">
        <v>444</v>
      </c>
      <c r="G280" s="38" t="s">
        <v>1353</v>
      </c>
      <c r="H280" s="38" t="s">
        <v>152</v>
      </c>
      <c r="I280" s="72">
        <v>10</v>
      </c>
      <c r="J280" s="53" t="s">
        <v>88</v>
      </c>
      <c r="K280" s="42">
        <v>0</v>
      </c>
      <c r="L280" s="42">
        <v>2</v>
      </c>
      <c r="M280" s="42">
        <v>1</v>
      </c>
      <c r="N280" s="42">
        <f t="shared" si="89"/>
        <v>2</v>
      </c>
      <c r="O280" s="214" t="s">
        <v>1354</v>
      </c>
      <c r="P280" s="53" t="s">
        <v>652</v>
      </c>
      <c r="Q280" s="43">
        <v>13</v>
      </c>
      <c r="R280" s="44">
        <f t="shared" si="111"/>
        <v>3</v>
      </c>
      <c r="S280" s="45">
        <v>1</v>
      </c>
      <c r="T280" s="45">
        <f t="shared" si="90"/>
        <v>3</v>
      </c>
      <c r="V280" s="46"/>
      <c r="W280" s="58" t="s">
        <v>1355</v>
      </c>
      <c r="X280" s="108">
        <v>3.5</v>
      </c>
      <c r="Y280" s="44">
        <f t="shared" si="91"/>
        <v>2</v>
      </c>
      <c r="Z280" s="45">
        <v>1</v>
      </c>
      <c r="AA280" s="45">
        <f t="shared" si="92"/>
        <v>2</v>
      </c>
      <c r="AB280" s="45">
        <v>1</v>
      </c>
      <c r="AD280" s="49" t="s">
        <v>155</v>
      </c>
      <c r="AE280" s="50" t="s">
        <v>88</v>
      </c>
      <c r="AF280" s="50">
        <v>0</v>
      </c>
      <c r="AG280" s="50">
        <v>2</v>
      </c>
      <c r="AH280" s="50">
        <v>2</v>
      </c>
      <c r="AI280" s="50">
        <f t="shared" si="93"/>
        <v>4</v>
      </c>
      <c r="AJ280" s="50">
        <v>1</v>
      </c>
      <c r="AK280" s="51" t="s">
        <v>1328</v>
      </c>
      <c r="AL280" s="61">
        <v>539520</v>
      </c>
      <c r="AM280" s="53" t="s">
        <v>146</v>
      </c>
      <c r="AN280" s="42">
        <v>2</v>
      </c>
      <c r="AO280" s="54">
        <f t="shared" si="112"/>
        <v>3</v>
      </c>
      <c r="AP280" s="53">
        <v>2</v>
      </c>
      <c r="AQ280" s="53">
        <f t="shared" si="94"/>
        <v>6</v>
      </c>
      <c r="AR280" s="53"/>
      <c r="AS280" s="55"/>
      <c r="AT280" s="53">
        <v>28.65</v>
      </c>
      <c r="AU280" s="42" t="s">
        <v>115</v>
      </c>
      <c r="AV280" s="44">
        <v>1</v>
      </c>
      <c r="AW280" s="44">
        <f t="shared" si="95"/>
        <v>2</v>
      </c>
      <c r="AX280" s="42">
        <v>1</v>
      </c>
      <c r="AY280" s="42">
        <f t="shared" si="96"/>
        <v>2</v>
      </c>
      <c r="AZ280" s="42" t="s">
        <v>1356</v>
      </c>
      <c r="BA280" s="53" t="s">
        <v>1219</v>
      </c>
      <c r="BB280" s="57" t="s">
        <v>602</v>
      </c>
      <c r="BC280" s="58" t="s">
        <v>603</v>
      </c>
      <c r="BD280" s="58" t="s">
        <v>609</v>
      </c>
      <c r="BE280" s="59">
        <v>1</v>
      </c>
      <c r="BF280" s="58">
        <v>2</v>
      </c>
      <c r="BG280" s="58">
        <f t="shared" si="97"/>
        <v>0</v>
      </c>
      <c r="BH280" s="58" t="s">
        <v>605</v>
      </c>
      <c r="BI280" s="58" t="s">
        <v>610</v>
      </c>
      <c r="BJ280" s="60" t="s">
        <v>90</v>
      </c>
      <c r="BK280" s="67">
        <v>1</v>
      </c>
      <c r="BL280" s="62">
        <v>1</v>
      </c>
      <c r="BM280" s="62">
        <f t="shared" si="98"/>
        <v>0</v>
      </c>
      <c r="BN280" s="58" t="s">
        <v>607</v>
      </c>
      <c r="BO280" s="67"/>
      <c r="BP280" s="67">
        <v>15.5</v>
      </c>
      <c r="BQ280" s="63">
        <f t="shared" si="113"/>
        <v>2</v>
      </c>
      <c r="BR280" s="45">
        <v>1</v>
      </c>
      <c r="BS280" s="45">
        <f t="shared" si="99"/>
        <v>0.3010299956639812</v>
      </c>
      <c r="BU280" s="46"/>
      <c r="BV280" s="64">
        <v>2.75</v>
      </c>
      <c r="BW280" s="54">
        <f t="shared" si="114"/>
        <v>2</v>
      </c>
      <c r="BX280" s="45">
        <v>1</v>
      </c>
      <c r="BY280" s="45">
        <f t="shared" si="115"/>
        <v>0.3010299956639812</v>
      </c>
      <c r="BZ280" s="61" t="s">
        <v>99</v>
      </c>
      <c r="CA280" s="46"/>
      <c r="CB280" s="65">
        <v>1876</v>
      </c>
      <c r="CC280" s="45">
        <v>2</v>
      </c>
      <c r="CD280" s="45">
        <v>2</v>
      </c>
      <c r="CE280" s="45">
        <f t="shared" si="100"/>
        <v>0.6020599913279624</v>
      </c>
      <c r="CG280" s="46"/>
      <c r="CH280" s="66" t="s">
        <v>92</v>
      </c>
      <c r="CI280" s="67">
        <v>3</v>
      </c>
      <c r="CJ280" s="68">
        <v>2</v>
      </c>
      <c r="CK280" s="68">
        <f t="shared" si="101"/>
        <v>0.95424250943932487</v>
      </c>
      <c r="CL280" s="78"/>
      <c r="CM280" s="79" t="s">
        <v>144</v>
      </c>
      <c r="CO280" s="70">
        <f t="shared" si="116"/>
        <v>1.8888888888888888</v>
      </c>
      <c r="CQ280" s="45">
        <f t="shared" si="102"/>
        <v>0.23981805467724998</v>
      </c>
      <c r="CR280" s="45">
        <f t="shared" si="103"/>
        <v>1.7370729389807016</v>
      </c>
      <c r="CT280" s="71">
        <f t="shared" si="104"/>
        <v>1.333358323412059</v>
      </c>
    </row>
    <row r="281" spans="1:99" ht="16">
      <c r="A281" s="36">
        <v>279</v>
      </c>
      <c r="B281" s="37"/>
      <c r="C281" s="37"/>
      <c r="D281" s="37"/>
      <c r="E281" s="38" t="s">
        <v>1357</v>
      </c>
      <c r="F281" s="38" t="s">
        <v>1358</v>
      </c>
      <c r="G281" s="38" t="s">
        <v>1359</v>
      </c>
      <c r="H281" s="38" t="s">
        <v>152</v>
      </c>
      <c r="I281" s="72">
        <v>7.7</v>
      </c>
      <c r="J281" s="53" t="s">
        <v>146</v>
      </c>
      <c r="K281" s="42">
        <v>2</v>
      </c>
      <c r="L281" s="42">
        <v>2</v>
      </c>
      <c r="M281" s="42">
        <v>1</v>
      </c>
      <c r="N281" s="42">
        <f t="shared" si="89"/>
        <v>2</v>
      </c>
      <c r="O281" s="42" t="s">
        <v>799</v>
      </c>
      <c r="P281" s="53"/>
      <c r="Q281" s="43">
        <v>39.6</v>
      </c>
      <c r="R281" s="44">
        <f t="shared" si="111"/>
        <v>2</v>
      </c>
      <c r="S281" s="45">
        <v>1</v>
      </c>
      <c r="T281" s="45">
        <f t="shared" si="90"/>
        <v>2</v>
      </c>
      <c r="V281" s="46"/>
      <c r="W281" s="58" t="s">
        <v>1360</v>
      </c>
      <c r="X281" s="108">
        <v>3.6</v>
      </c>
      <c r="Y281" s="44">
        <f t="shared" si="91"/>
        <v>1</v>
      </c>
      <c r="Z281" s="45">
        <v>1</v>
      </c>
      <c r="AA281" s="45">
        <f t="shared" si="92"/>
        <v>1</v>
      </c>
      <c r="AB281" s="45">
        <v>1</v>
      </c>
      <c r="AD281" s="49" t="s">
        <v>346</v>
      </c>
      <c r="AE281" s="50" t="s">
        <v>88</v>
      </c>
      <c r="AF281" s="50">
        <v>0</v>
      </c>
      <c r="AG281" s="50">
        <v>2</v>
      </c>
      <c r="AH281" s="50">
        <v>2</v>
      </c>
      <c r="AI281" s="50">
        <f t="shared" si="93"/>
        <v>4</v>
      </c>
      <c r="AJ281" s="50">
        <v>1</v>
      </c>
      <c r="AK281" s="51" t="s">
        <v>1328</v>
      </c>
      <c r="AL281" s="61">
        <v>539520</v>
      </c>
      <c r="AM281" s="53" t="s">
        <v>146</v>
      </c>
      <c r="AN281" s="42">
        <v>2</v>
      </c>
      <c r="AO281" s="54">
        <f t="shared" si="112"/>
        <v>3</v>
      </c>
      <c r="AP281" s="53">
        <v>2</v>
      </c>
      <c r="AQ281" s="53">
        <f t="shared" si="94"/>
        <v>6</v>
      </c>
      <c r="AR281" s="53"/>
      <c r="AS281" s="55"/>
      <c r="AT281" s="42">
        <v>23.9</v>
      </c>
      <c r="AU281" s="42" t="s">
        <v>88</v>
      </c>
      <c r="AV281" s="56">
        <v>0</v>
      </c>
      <c r="AW281" s="44">
        <f t="shared" si="95"/>
        <v>2</v>
      </c>
      <c r="AX281" s="42">
        <v>1</v>
      </c>
      <c r="AY281" s="42">
        <f t="shared" si="96"/>
        <v>2</v>
      </c>
      <c r="AZ281" s="42"/>
      <c r="BA281" s="42"/>
      <c r="BB281" s="57" t="s">
        <v>602</v>
      </c>
      <c r="BC281" s="58" t="s">
        <v>603</v>
      </c>
      <c r="BD281" s="58" t="s">
        <v>604</v>
      </c>
      <c r="BE281" s="59">
        <v>2</v>
      </c>
      <c r="BF281" s="58">
        <v>2</v>
      </c>
      <c r="BG281" s="58">
        <f t="shared" si="97"/>
        <v>0.6020599913279624</v>
      </c>
      <c r="BH281" s="58" t="s">
        <v>605</v>
      </c>
      <c r="BI281" s="58" t="s">
        <v>626</v>
      </c>
      <c r="BJ281" s="60" t="s">
        <v>90</v>
      </c>
      <c r="BK281" s="67">
        <v>1</v>
      </c>
      <c r="BL281" s="62">
        <v>1</v>
      </c>
      <c r="BM281" s="62">
        <f t="shared" si="98"/>
        <v>0</v>
      </c>
      <c r="BN281" s="58" t="s">
        <v>607</v>
      </c>
      <c r="BO281" s="67"/>
      <c r="BP281" s="67">
        <v>21</v>
      </c>
      <c r="BQ281" s="63">
        <f t="shared" si="113"/>
        <v>2</v>
      </c>
      <c r="BR281" s="45">
        <v>1</v>
      </c>
      <c r="BS281" s="45">
        <f t="shared" si="99"/>
        <v>0.3010299956639812</v>
      </c>
      <c r="BU281" s="46"/>
      <c r="BV281" s="64">
        <v>3</v>
      </c>
      <c r="BW281" s="54">
        <f t="shared" si="114"/>
        <v>2</v>
      </c>
      <c r="BX281" s="45">
        <v>1</v>
      </c>
      <c r="BY281" s="45">
        <f t="shared" si="115"/>
        <v>0.3010299956639812</v>
      </c>
      <c r="BZ281" s="61" t="s">
        <v>273</v>
      </c>
      <c r="CA281" s="46"/>
      <c r="CB281" s="65">
        <v>1823</v>
      </c>
      <c r="CC281" s="45">
        <v>2</v>
      </c>
      <c r="CD281" s="45">
        <v>2</v>
      </c>
      <c r="CE281" s="45">
        <f t="shared" si="100"/>
        <v>0.6020599913279624</v>
      </c>
      <c r="CG281" s="46"/>
      <c r="CH281" s="66" t="s">
        <v>106</v>
      </c>
      <c r="CI281" s="67">
        <v>3</v>
      </c>
      <c r="CJ281" s="68">
        <v>2</v>
      </c>
      <c r="CK281" s="68">
        <f t="shared" si="101"/>
        <v>0.95424250943932487</v>
      </c>
      <c r="CL281" s="78"/>
      <c r="CM281" s="79" t="s">
        <v>144</v>
      </c>
      <c r="CO281" s="70">
        <f t="shared" si="116"/>
        <v>1.6666666666666667</v>
      </c>
      <c r="CQ281" s="45">
        <f t="shared" si="102"/>
        <v>0.30671360926924573</v>
      </c>
      <c r="CR281" s="45">
        <f t="shared" si="103"/>
        <v>2.0263460271828198</v>
      </c>
      <c r="CT281" s="71">
        <f t="shared" si="104"/>
        <v>1.6826062953916863</v>
      </c>
    </row>
    <row r="282" spans="1:99" ht="16">
      <c r="A282" s="36">
        <v>280</v>
      </c>
      <c r="B282" s="37"/>
      <c r="C282" s="37"/>
      <c r="D282" s="37"/>
      <c r="E282" s="38" t="s">
        <v>1361</v>
      </c>
      <c r="F282" s="38" t="s">
        <v>255</v>
      </c>
      <c r="G282" s="38" t="s">
        <v>1362</v>
      </c>
      <c r="H282" s="38" t="s">
        <v>257</v>
      </c>
      <c r="I282" s="72">
        <v>8.5</v>
      </c>
      <c r="J282" s="53" t="s">
        <v>88</v>
      </c>
      <c r="K282" s="42">
        <v>0</v>
      </c>
      <c r="L282" s="42">
        <v>2</v>
      </c>
      <c r="M282" s="42">
        <v>1</v>
      </c>
      <c r="N282" s="42">
        <f t="shared" si="89"/>
        <v>2</v>
      </c>
      <c r="O282" s="53" t="s">
        <v>1363</v>
      </c>
      <c r="P282" s="53" t="s">
        <v>652</v>
      </c>
      <c r="Q282" s="43">
        <v>20</v>
      </c>
      <c r="R282" s="44">
        <f t="shared" si="111"/>
        <v>3</v>
      </c>
      <c r="S282" s="45">
        <v>1</v>
      </c>
      <c r="T282" s="45">
        <f t="shared" si="90"/>
        <v>3</v>
      </c>
      <c r="V282" s="46"/>
      <c r="W282" s="58" t="s">
        <v>1364</v>
      </c>
      <c r="X282" s="108">
        <v>2.7</v>
      </c>
      <c r="Y282" s="44">
        <f t="shared" si="91"/>
        <v>2</v>
      </c>
      <c r="Z282" s="45">
        <v>1</v>
      </c>
      <c r="AA282" s="45">
        <f t="shared" si="92"/>
        <v>2</v>
      </c>
      <c r="AB282" s="45">
        <v>1</v>
      </c>
      <c r="AD282" s="49" t="s">
        <v>179</v>
      </c>
      <c r="AE282" s="50" t="s">
        <v>88</v>
      </c>
      <c r="AF282" s="50">
        <v>0</v>
      </c>
      <c r="AG282" s="50">
        <v>3</v>
      </c>
      <c r="AH282" s="50">
        <v>2</v>
      </c>
      <c r="AI282" s="50">
        <f t="shared" si="93"/>
        <v>6</v>
      </c>
      <c r="AJ282" s="50">
        <v>1</v>
      </c>
      <c r="AK282" s="51"/>
      <c r="AL282" s="61">
        <v>822667</v>
      </c>
      <c r="AM282" s="53" t="s">
        <v>115</v>
      </c>
      <c r="AN282" s="42">
        <v>1</v>
      </c>
      <c r="AO282" s="54">
        <f t="shared" si="112"/>
        <v>3</v>
      </c>
      <c r="AP282" s="53">
        <v>2</v>
      </c>
      <c r="AQ282" s="53">
        <f t="shared" si="94"/>
        <v>6</v>
      </c>
      <c r="AR282" s="53"/>
      <c r="AS282" s="55"/>
      <c r="AT282" s="42">
        <v>23.5</v>
      </c>
      <c r="AU282" s="42" t="s">
        <v>115</v>
      </c>
      <c r="AV282" s="44">
        <v>1</v>
      </c>
      <c r="AW282" s="44">
        <f t="shared" si="95"/>
        <v>2</v>
      </c>
      <c r="AX282" s="42">
        <v>1</v>
      </c>
      <c r="AY282" s="42">
        <f t="shared" si="96"/>
        <v>2</v>
      </c>
      <c r="AZ282" s="42" t="s">
        <v>1365</v>
      </c>
      <c r="BA282" s="53" t="s">
        <v>1366</v>
      </c>
      <c r="BB282" s="57" t="s">
        <v>642</v>
      </c>
      <c r="BC282" s="58" t="s">
        <v>643</v>
      </c>
      <c r="BD282" s="58" t="s">
        <v>604</v>
      </c>
      <c r="BE282" s="59">
        <v>3</v>
      </c>
      <c r="BF282" s="58">
        <v>2</v>
      </c>
      <c r="BG282" s="58">
        <f t="shared" si="97"/>
        <v>0.95424250943932487</v>
      </c>
      <c r="BH282" s="58" t="s">
        <v>605</v>
      </c>
      <c r="BI282" s="58" t="s">
        <v>940</v>
      </c>
      <c r="BJ282" s="60" t="s">
        <v>90</v>
      </c>
      <c r="BK282" s="67">
        <v>1</v>
      </c>
      <c r="BL282" s="62">
        <v>1</v>
      </c>
      <c r="BM282" s="62">
        <f t="shared" si="98"/>
        <v>0</v>
      </c>
      <c r="BN282" s="58" t="s">
        <v>607</v>
      </c>
      <c r="BO282" s="67"/>
      <c r="BP282" s="67">
        <v>7</v>
      </c>
      <c r="BQ282" s="63">
        <f t="shared" si="113"/>
        <v>3</v>
      </c>
      <c r="BR282" s="45">
        <v>1</v>
      </c>
      <c r="BS282" s="45">
        <f t="shared" si="99"/>
        <v>0.47712125471966244</v>
      </c>
      <c r="BU282" s="46"/>
      <c r="BV282" s="64">
        <v>1.875</v>
      </c>
      <c r="BW282" s="54">
        <f t="shared" si="114"/>
        <v>1</v>
      </c>
      <c r="BX282" s="45">
        <v>1</v>
      </c>
      <c r="BY282" s="45">
        <f t="shared" si="115"/>
        <v>0</v>
      </c>
      <c r="BZ282" s="61" t="s">
        <v>99</v>
      </c>
      <c r="CA282" s="46"/>
      <c r="CB282" s="65">
        <v>1817</v>
      </c>
      <c r="CC282" s="45">
        <v>2</v>
      </c>
      <c r="CD282" s="45">
        <v>2</v>
      </c>
      <c r="CE282" s="45">
        <f t="shared" si="100"/>
        <v>0.6020599913279624</v>
      </c>
      <c r="CG282" s="46"/>
      <c r="CH282" s="66" t="s">
        <v>92</v>
      </c>
      <c r="CI282" s="67">
        <v>3</v>
      </c>
      <c r="CJ282" s="68">
        <v>2</v>
      </c>
      <c r="CK282" s="68">
        <f t="shared" si="101"/>
        <v>0.95424250943932487</v>
      </c>
      <c r="CL282" s="68"/>
      <c r="CM282" s="69" t="s">
        <v>144</v>
      </c>
      <c r="CO282" s="70">
        <f t="shared" si="116"/>
        <v>2.1111111111111112</v>
      </c>
      <c r="CQ282" s="45">
        <f t="shared" si="102"/>
        <v>0.33196291832514163</v>
      </c>
      <c r="CR282" s="45">
        <f t="shared" si="103"/>
        <v>2.1476470922214639</v>
      </c>
      <c r="CT282" s="71">
        <f t="shared" si="104"/>
        <v>1.4516257455262029</v>
      </c>
    </row>
    <row r="283" spans="1:99" ht="16">
      <c r="A283" s="36">
        <v>281</v>
      </c>
      <c r="B283" s="37"/>
      <c r="C283" s="37"/>
      <c r="D283" s="37"/>
      <c r="E283" s="38" t="s">
        <v>1367</v>
      </c>
      <c r="F283" s="38" t="s">
        <v>168</v>
      </c>
      <c r="G283" s="38" t="s">
        <v>1368</v>
      </c>
      <c r="H283" s="38" t="s">
        <v>170</v>
      </c>
      <c r="I283" s="72">
        <v>5</v>
      </c>
      <c r="J283" s="53" t="s">
        <v>88</v>
      </c>
      <c r="K283" s="42">
        <v>0</v>
      </c>
      <c r="L283" s="42">
        <v>2</v>
      </c>
      <c r="M283" s="42">
        <v>1</v>
      </c>
      <c r="N283" s="42">
        <f t="shared" si="89"/>
        <v>2</v>
      </c>
      <c r="O283" s="214" t="s">
        <v>1369</v>
      </c>
      <c r="P283" s="53" t="s">
        <v>652</v>
      </c>
      <c r="Q283" s="43">
        <v>10</v>
      </c>
      <c r="R283" s="44">
        <f t="shared" si="111"/>
        <v>3</v>
      </c>
      <c r="S283" s="45">
        <v>1</v>
      </c>
      <c r="T283" s="45">
        <f t="shared" si="90"/>
        <v>3</v>
      </c>
      <c r="V283" s="46"/>
      <c r="W283" s="58" t="s">
        <v>1302</v>
      </c>
      <c r="X283" s="108">
        <v>2</v>
      </c>
      <c r="Y283" s="44">
        <f t="shared" si="91"/>
        <v>3</v>
      </c>
      <c r="Z283" s="45">
        <v>1</v>
      </c>
      <c r="AA283" s="45">
        <f t="shared" si="92"/>
        <v>3</v>
      </c>
      <c r="AB283" s="45">
        <v>1</v>
      </c>
      <c r="AD283" s="49" t="s">
        <v>172</v>
      </c>
      <c r="AE283" s="50" t="s">
        <v>88</v>
      </c>
      <c r="AF283" s="50">
        <v>0</v>
      </c>
      <c r="AG283" s="50">
        <v>3</v>
      </c>
      <c r="AH283" s="50">
        <v>2</v>
      </c>
      <c r="AI283" s="50">
        <f t="shared" si="93"/>
        <v>6</v>
      </c>
      <c r="AJ283" s="50">
        <v>1</v>
      </c>
      <c r="AK283" s="51" t="s">
        <v>1328</v>
      </c>
      <c r="AL283" s="61">
        <v>4936</v>
      </c>
      <c r="AM283" s="53" t="s">
        <v>115</v>
      </c>
      <c r="AN283" s="42">
        <v>1</v>
      </c>
      <c r="AO283" s="54">
        <f t="shared" si="112"/>
        <v>2</v>
      </c>
      <c r="AP283" s="53">
        <v>2</v>
      </c>
      <c r="AQ283" s="53">
        <f t="shared" si="94"/>
        <v>4</v>
      </c>
      <c r="AR283" s="53"/>
      <c r="AS283" s="55" t="s">
        <v>746</v>
      </c>
      <c r="AT283" s="53">
        <v>44</v>
      </c>
      <c r="AU283" s="42" t="s">
        <v>146</v>
      </c>
      <c r="AV283" s="44">
        <v>2</v>
      </c>
      <c r="AW283" s="44">
        <f t="shared" si="95"/>
        <v>1</v>
      </c>
      <c r="AX283" s="42">
        <v>1</v>
      </c>
      <c r="AY283" s="42">
        <f t="shared" si="96"/>
        <v>1</v>
      </c>
      <c r="AZ283" s="42" t="s">
        <v>173</v>
      </c>
      <c r="BA283" s="53" t="s">
        <v>632</v>
      </c>
      <c r="BB283" s="57" t="s">
        <v>602</v>
      </c>
      <c r="BC283" s="58" t="s">
        <v>603</v>
      </c>
      <c r="BD283" s="58" t="s">
        <v>609</v>
      </c>
      <c r="BE283" s="59">
        <v>1</v>
      </c>
      <c r="BF283" s="58">
        <v>2</v>
      </c>
      <c r="BG283" s="58">
        <f t="shared" si="97"/>
        <v>0</v>
      </c>
      <c r="BH283" s="58" t="s">
        <v>605</v>
      </c>
      <c r="BI283" s="58" t="s">
        <v>610</v>
      </c>
      <c r="BJ283" s="60" t="s">
        <v>90</v>
      </c>
      <c r="BK283" s="67">
        <v>1</v>
      </c>
      <c r="BL283" s="62">
        <v>1</v>
      </c>
      <c r="BM283" s="62">
        <f t="shared" si="98"/>
        <v>0</v>
      </c>
      <c r="BN283" s="58" t="s">
        <v>607</v>
      </c>
      <c r="BO283" s="67"/>
      <c r="BP283" s="67">
        <v>5</v>
      </c>
      <c r="BQ283" s="63">
        <f t="shared" si="113"/>
        <v>3</v>
      </c>
      <c r="BR283" s="45">
        <v>1</v>
      </c>
      <c r="BS283" s="45">
        <f t="shared" si="99"/>
        <v>0.47712125471966244</v>
      </c>
      <c r="BU283" s="46"/>
      <c r="BV283" s="64">
        <v>3</v>
      </c>
      <c r="BW283" s="54">
        <f t="shared" si="114"/>
        <v>2</v>
      </c>
      <c r="BX283" s="45">
        <v>1</v>
      </c>
      <c r="BY283" s="45">
        <f t="shared" si="115"/>
        <v>0.3010299956639812</v>
      </c>
      <c r="BZ283" s="61">
        <v>46</v>
      </c>
      <c r="CA283" s="46"/>
      <c r="CB283" s="65">
        <v>1806</v>
      </c>
      <c r="CC283" s="45">
        <v>2</v>
      </c>
      <c r="CD283" s="45">
        <v>2</v>
      </c>
      <c r="CE283" s="45">
        <f t="shared" si="100"/>
        <v>0.6020599913279624</v>
      </c>
      <c r="CG283" s="46"/>
      <c r="CH283" s="66" t="s">
        <v>92</v>
      </c>
      <c r="CI283" s="67">
        <v>3</v>
      </c>
      <c r="CJ283" s="68">
        <v>2</v>
      </c>
      <c r="CK283" s="68">
        <f t="shared" si="101"/>
        <v>0.95424250943932487</v>
      </c>
      <c r="CL283" s="78"/>
      <c r="CM283" s="79" t="s">
        <v>144</v>
      </c>
      <c r="CO283" s="70">
        <f t="shared" si="116"/>
        <v>1.8888888888888888</v>
      </c>
      <c r="CQ283" s="45">
        <f t="shared" si="102"/>
        <v>0.25938375012788117</v>
      </c>
      <c r="CR283" s="45">
        <f t="shared" si="103"/>
        <v>1.8171205928321397</v>
      </c>
      <c r="CT283" s="71">
        <f t="shared" si="104"/>
        <v>1.3792222317179039</v>
      </c>
    </row>
    <row r="284" spans="1:99" ht="16">
      <c r="A284" s="36">
        <v>282</v>
      </c>
      <c r="B284" s="37"/>
      <c r="C284" s="37"/>
      <c r="D284" s="37"/>
      <c r="E284" s="38" t="s">
        <v>1370</v>
      </c>
      <c r="F284" s="38" t="s">
        <v>211</v>
      </c>
      <c r="G284" s="38" t="s">
        <v>1371</v>
      </c>
      <c r="H284" s="38" t="s">
        <v>177</v>
      </c>
      <c r="I284" s="72">
        <v>10</v>
      </c>
      <c r="J284" s="53" t="s">
        <v>88</v>
      </c>
      <c r="K284" s="42">
        <v>0</v>
      </c>
      <c r="L284" s="42">
        <v>2</v>
      </c>
      <c r="M284" s="42">
        <v>1</v>
      </c>
      <c r="N284" s="42">
        <f t="shared" si="89"/>
        <v>2</v>
      </c>
      <c r="O284" s="53"/>
      <c r="P284" s="53"/>
      <c r="Q284" s="43">
        <v>40</v>
      </c>
      <c r="R284" s="44">
        <f t="shared" si="111"/>
        <v>2</v>
      </c>
      <c r="S284" s="45">
        <v>1</v>
      </c>
      <c r="T284" s="45">
        <f t="shared" si="90"/>
        <v>2</v>
      </c>
      <c r="V284" s="46"/>
      <c r="W284" s="58"/>
      <c r="X284" s="98">
        <v>2</v>
      </c>
      <c r="Y284" s="44">
        <f t="shared" si="91"/>
        <v>3</v>
      </c>
      <c r="Z284" s="45">
        <v>1</v>
      </c>
      <c r="AA284" s="45">
        <f t="shared" si="92"/>
        <v>3</v>
      </c>
      <c r="AB284" s="45">
        <v>54</v>
      </c>
      <c r="AC284" s="45" t="s">
        <v>1372</v>
      </c>
      <c r="AD284" s="49" t="s">
        <v>163</v>
      </c>
      <c r="AE284" s="50" t="s">
        <v>146</v>
      </c>
      <c r="AF284" s="50">
        <v>2</v>
      </c>
      <c r="AG284" s="50">
        <v>3</v>
      </c>
      <c r="AH284" s="50">
        <v>2</v>
      </c>
      <c r="AI284" s="50">
        <f t="shared" si="93"/>
        <v>6</v>
      </c>
      <c r="AJ284" s="50" t="s">
        <v>645</v>
      </c>
      <c r="AK284" s="51" t="s">
        <v>240</v>
      </c>
      <c r="AL284" s="61">
        <v>22101</v>
      </c>
      <c r="AM284" s="53" t="s">
        <v>115</v>
      </c>
      <c r="AN284" s="42">
        <v>1</v>
      </c>
      <c r="AO284" s="54">
        <f t="shared" si="112"/>
        <v>3</v>
      </c>
      <c r="AP284" s="53">
        <v>2</v>
      </c>
      <c r="AQ284" s="53">
        <f t="shared" si="94"/>
        <v>6</v>
      </c>
      <c r="AR284" s="53"/>
      <c r="AS284" s="55"/>
      <c r="AT284" s="53">
        <v>45.5</v>
      </c>
      <c r="AU284" s="42" t="s">
        <v>115</v>
      </c>
      <c r="AV284" s="44">
        <v>1</v>
      </c>
      <c r="AW284" s="44">
        <f t="shared" si="95"/>
        <v>1</v>
      </c>
      <c r="AX284" s="42">
        <v>1</v>
      </c>
      <c r="AY284" s="42">
        <f t="shared" si="96"/>
        <v>1</v>
      </c>
      <c r="AZ284" s="42"/>
      <c r="BA284" s="53" t="s">
        <v>1373</v>
      </c>
      <c r="BB284" s="57" t="s">
        <v>602</v>
      </c>
      <c r="BC284" s="58" t="s">
        <v>603</v>
      </c>
      <c r="BD284" s="58" t="s">
        <v>604</v>
      </c>
      <c r="BE284" s="59">
        <v>2</v>
      </c>
      <c r="BF284" s="58">
        <v>2</v>
      </c>
      <c r="BG284" s="58">
        <f t="shared" si="97"/>
        <v>0.6020599913279624</v>
      </c>
      <c r="BH284" s="58" t="s">
        <v>605</v>
      </c>
      <c r="BI284" s="58" t="s">
        <v>1374</v>
      </c>
      <c r="BJ284" s="60" t="s">
        <v>166</v>
      </c>
      <c r="BK284" s="67">
        <v>3</v>
      </c>
      <c r="BL284" s="62">
        <v>1</v>
      </c>
      <c r="BM284" s="62">
        <f t="shared" si="98"/>
        <v>0.47712125471966244</v>
      </c>
      <c r="BN284" s="58" t="s">
        <v>607</v>
      </c>
      <c r="BO284" s="67"/>
      <c r="BP284" s="67">
        <v>15.5</v>
      </c>
      <c r="BQ284" s="63">
        <f t="shared" si="113"/>
        <v>2</v>
      </c>
      <c r="BR284" s="45">
        <v>1</v>
      </c>
      <c r="BS284" s="45">
        <f t="shared" si="99"/>
        <v>0.3010299956639812</v>
      </c>
      <c r="BU284" s="46"/>
      <c r="BV284" s="64">
        <v>1.875</v>
      </c>
      <c r="BW284" s="54">
        <f t="shared" si="114"/>
        <v>1</v>
      </c>
      <c r="BX284" s="45">
        <v>1</v>
      </c>
      <c r="BY284" s="45">
        <f t="shared" si="115"/>
        <v>0</v>
      </c>
      <c r="BZ284" s="61" t="s">
        <v>99</v>
      </c>
      <c r="CA284" s="46"/>
      <c r="CB284" s="65">
        <v>1802</v>
      </c>
      <c r="CC284" s="45">
        <v>2</v>
      </c>
      <c r="CD284" s="45">
        <v>2</v>
      </c>
      <c r="CE284" s="45">
        <f t="shared" si="100"/>
        <v>0.6020599913279624</v>
      </c>
      <c r="CG284" s="46"/>
      <c r="CH284" s="66" t="s">
        <v>216</v>
      </c>
      <c r="CI284" s="67">
        <v>3</v>
      </c>
      <c r="CJ284" s="68">
        <v>2</v>
      </c>
      <c r="CK284" s="68">
        <f t="shared" si="101"/>
        <v>0.95424250943932487</v>
      </c>
      <c r="CL284" s="78"/>
      <c r="CM284" s="79" t="s">
        <v>144</v>
      </c>
      <c r="CO284" s="70">
        <f t="shared" si="116"/>
        <v>2</v>
      </c>
      <c r="CQ284" s="45">
        <f t="shared" si="102"/>
        <v>0.32627930471987704</v>
      </c>
      <c r="CR284" s="45">
        <f t="shared" si="103"/>
        <v>2.1197239399504597</v>
      </c>
      <c r="CT284" s="71">
        <f t="shared" si="104"/>
        <v>1.5012600380008057</v>
      </c>
    </row>
    <row r="285" spans="1:99" ht="16">
      <c r="A285" s="109">
        <v>283</v>
      </c>
      <c r="B285" s="110"/>
      <c r="C285" s="110"/>
      <c r="D285" s="110"/>
      <c r="E285" s="111" t="s">
        <v>1375</v>
      </c>
      <c r="F285" s="111" t="s">
        <v>349</v>
      </c>
      <c r="G285" s="111" t="s">
        <v>1376</v>
      </c>
      <c r="H285" s="111" t="s">
        <v>318</v>
      </c>
      <c r="I285" s="112">
        <v>11.5</v>
      </c>
      <c r="J285" s="113" t="s">
        <v>88</v>
      </c>
      <c r="K285" s="114">
        <v>0</v>
      </c>
      <c r="L285" s="114">
        <v>2</v>
      </c>
      <c r="M285" s="114">
        <v>1</v>
      </c>
      <c r="N285" s="114">
        <f t="shared" si="89"/>
        <v>2</v>
      </c>
      <c r="O285" s="113"/>
      <c r="P285" s="113"/>
      <c r="Q285" s="115">
        <v>24</v>
      </c>
      <c r="R285" s="44">
        <f t="shared" si="111"/>
        <v>3</v>
      </c>
      <c r="S285" s="116">
        <v>1</v>
      </c>
      <c r="T285" s="116">
        <f t="shared" si="90"/>
        <v>3</v>
      </c>
      <c r="U285" s="116"/>
      <c r="V285" s="117"/>
      <c r="W285" s="118" t="s">
        <v>1377</v>
      </c>
      <c r="X285" s="119">
        <v>3.6</v>
      </c>
      <c r="Y285" s="120">
        <f t="shared" si="91"/>
        <v>1</v>
      </c>
      <c r="Z285" s="116">
        <v>1</v>
      </c>
      <c r="AA285" s="116">
        <f t="shared" si="92"/>
        <v>1</v>
      </c>
      <c r="AB285" s="116">
        <v>1</v>
      </c>
      <c r="AC285" s="116"/>
      <c r="AD285" s="121" t="s">
        <v>163</v>
      </c>
      <c r="AE285" s="122" t="s">
        <v>146</v>
      </c>
      <c r="AF285" s="122">
        <v>2</v>
      </c>
      <c r="AG285" s="122">
        <v>3</v>
      </c>
      <c r="AH285" s="122">
        <v>2</v>
      </c>
      <c r="AI285" s="122">
        <f t="shared" si="93"/>
        <v>6</v>
      </c>
      <c r="AJ285" s="122" t="s">
        <v>645</v>
      </c>
      <c r="AK285" s="123"/>
      <c r="AL285" s="124">
        <v>42230</v>
      </c>
      <c r="AM285" s="113" t="s">
        <v>146</v>
      </c>
      <c r="AN285" s="114">
        <v>2</v>
      </c>
      <c r="AO285" s="54">
        <f t="shared" si="112"/>
        <v>3</v>
      </c>
      <c r="AP285" s="113">
        <v>2</v>
      </c>
      <c r="AQ285" s="113">
        <f t="shared" si="94"/>
        <v>6</v>
      </c>
      <c r="AR285" s="113"/>
      <c r="AS285" s="125"/>
      <c r="AT285" s="114">
        <v>40</v>
      </c>
      <c r="AU285" s="114" t="s">
        <v>88</v>
      </c>
      <c r="AV285" s="126">
        <v>0</v>
      </c>
      <c r="AW285" s="120">
        <f t="shared" si="95"/>
        <v>1</v>
      </c>
      <c r="AX285" s="114">
        <v>1</v>
      </c>
      <c r="AY285" s="114">
        <f t="shared" si="96"/>
        <v>1</v>
      </c>
      <c r="AZ285" s="114"/>
      <c r="BA285" s="114"/>
      <c r="BB285" s="127" t="s">
        <v>602</v>
      </c>
      <c r="BC285" s="118" t="s">
        <v>603</v>
      </c>
      <c r="BD285" s="118" t="s">
        <v>609</v>
      </c>
      <c r="BE285" s="128">
        <v>1</v>
      </c>
      <c r="BF285" s="118">
        <v>2</v>
      </c>
      <c r="BG285" s="118">
        <f t="shared" si="97"/>
        <v>0</v>
      </c>
      <c r="BH285" s="118" t="s">
        <v>605</v>
      </c>
      <c r="BI285" s="118" t="s">
        <v>610</v>
      </c>
      <c r="BJ285" s="129" t="s">
        <v>90</v>
      </c>
      <c r="BK285" s="130">
        <v>1</v>
      </c>
      <c r="BL285" s="131">
        <v>1</v>
      </c>
      <c r="BM285" s="131">
        <f t="shared" si="98"/>
        <v>0</v>
      </c>
      <c r="BN285" s="118" t="s">
        <v>607</v>
      </c>
      <c r="BO285" s="130"/>
      <c r="BP285" s="130">
        <v>15.5</v>
      </c>
      <c r="BQ285" s="132">
        <f t="shared" si="113"/>
        <v>2</v>
      </c>
      <c r="BR285" s="116">
        <v>1</v>
      </c>
      <c r="BS285" s="116">
        <f t="shared" si="99"/>
        <v>0.3010299956639812</v>
      </c>
      <c r="BT285" s="116"/>
      <c r="BU285" s="117"/>
      <c r="BV285" s="133">
        <v>2.125</v>
      </c>
      <c r="BW285" s="54">
        <f t="shared" si="114"/>
        <v>1</v>
      </c>
      <c r="BX285" s="116">
        <v>1</v>
      </c>
      <c r="BY285" s="45">
        <f t="shared" si="115"/>
        <v>0</v>
      </c>
      <c r="BZ285" s="124" t="s">
        <v>99</v>
      </c>
      <c r="CA285" s="117"/>
      <c r="CB285" s="134">
        <v>1793</v>
      </c>
      <c r="CC285" s="116">
        <v>2</v>
      </c>
      <c r="CD285" s="116">
        <v>2</v>
      </c>
      <c r="CE285" s="116">
        <f t="shared" si="100"/>
        <v>0.6020599913279624</v>
      </c>
      <c r="CF285" s="116"/>
      <c r="CG285" s="117"/>
      <c r="CH285" s="135" t="s">
        <v>92</v>
      </c>
      <c r="CI285" s="130">
        <v>3</v>
      </c>
      <c r="CJ285" s="68">
        <v>2</v>
      </c>
      <c r="CK285" s="136">
        <f t="shared" si="101"/>
        <v>0.95424250943932487</v>
      </c>
      <c r="CL285" s="136"/>
      <c r="CM285" s="137" t="s">
        <v>144</v>
      </c>
      <c r="CN285" s="116"/>
      <c r="CO285" s="70">
        <f t="shared" si="116"/>
        <v>1.8888888888888888</v>
      </c>
      <c r="CP285" s="116"/>
      <c r="CQ285" s="116">
        <f t="shared" si="102"/>
        <v>0.20637027738125205</v>
      </c>
      <c r="CR285" s="116">
        <f t="shared" si="103"/>
        <v>1.6083119076007948</v>
      </c>
      <c r="CS285" s="116"/>
      <c r="CT285" s="138">
        <f t="shared" si="104"/>
        <v>1.2667325203702184</v>
      </c>
      <c r="CU285" s="116"/>
    </row>
    <row r="286" spans="1:99" ht="15">
      <c r="M286" s="45"/>
      <c r="N286" s="45"/>
      <c r="O286" s="45"/>
      <c r="P286" s="45"/>
      <c r="AD286" s="36"/>
      <c r="AE286" s="36"/>
      <c r="AF286" s="36"/>
      <c r="AG286" s="36"/>
      <c r="AH286" s="36"/>
      <c r="AI286" s="36"/>
      <c r="AJ286" s="36"/>
      <c r="AK286" s="36"/>
      <c r="AT286" s="45"/>
      <c r="AU286" s="45"/>
      <c r="AV286" s="45"/>
      <c r="AW286" s="45"/>
      <c r="AX286" s="45"/>
      <c r="AY286" s="45"/>
      <c r="AZ286" s="45"/>
      <c r="BA286" s="45"/>
      <c r="CM286" s="46"/>
      <c r="CO286" s="70"/>
    </row>
    <row r="287" spans="1:99" ht="15">
      <c r="M287" s="45"/>
      <c r="N287" s="45"/>
      <c r="O287" s="45"/>
      <c r="P287" s="45"/>
      <c r="AD287" s="36"/>
      <c r="AE287" s="36"/>
      <c r="AF287" s="36"/>
      <c r="AG287" s="36"/>
      <c r="AH287" s="36"/>
      <c r="AI287" s="36"/>
      <c r="AJ287" s="36"/>
      <c r="AK287" s="36"/>
      <c r="AT287" s="45"/>
      <c r="AU287" s="45"/>
      <c r="AV287" s="45"/>
      <c r="AW287" s="45"/>
      <c r="AX287" s="45"/>
      <c r="AY287" s="45"/>
      <c r="AZ287" s="45"/>
      <c r="BA287" s="45"/>
      <c r="CM287" s="46"/>
      <c r="CO287" s="70"/>
    </row>
    <row r="288" spans="1:99" ht="15">
      <c r="M288" s="45"/>
      <c r="N288" s="45"/>
      <c r="O288" s="45"/>
      <c r="P288" s="45"/>
      <c r="AD288" s="36"/>
      <c r="AE288" s="36"/>
      <c r="AF288" s="36"/>
      <c r="AG288" s="36"/>
      <c r="AH288" s="36"/>
      <c r="AI288" s="36"/>
      <c r="AJ288" s="36"/>
      <c r="AK288" s="36"/>
      <c r="AT288" s="45"/>
      <c r="AU288" s="45"/>
      <c r="AV288" s="45"/>
      <c r="AW288" s="45"/>
      <c r="AX288" s="45"/>
      <c r="AY288" s="45"/>
      <c r="AZ288" s="45"/>
      <c r="BA288" s="45"/>
      <c r="CM288" s="46"/>
      <c r="CO288" s="70"/>
    </row>
    <row r="289" spans="13:93" ht="15">
      <c r="M289" s="45"/>
      <c r="N289" s="45"/>
      <c r="O289" s="45"/>
      <c r="P289" s="45"/>
      <c r="AD289" s="36"/>
      <c r="AE289" s="36"/>
      <c r="AF289" s="36"/>
      <c r="AG289" s="36"/>
      <c r="AH289" s="36"/>
      <c r="AI289" s="36"/>
      <c r="AJ289" s="36"/>
      <c r="AK289" s="36"/>
      <c r="AT289" s="45"/>
      <c r="AU289" s="45"/>
      <c r="AV289" s="45"/>
      <c r="AW289" s="45"/>
      <c r="AX289" s="45"/>
      <c r="AY289" s="45"/>
      <c r="AZ289" s="45"/>
      <c r="BA289" s="45"/>
      <c r="CM289" s="46"/>
      <c r="CO289" s="70"/>
    </row>
    <row r="290" spans="13:93" ht="15">
      <c r="M290" s="45"/>
      <c r="N290" s="45"/>
      <c r="O290" s="45"/>
      <c r="P290" s="45"/>
      <c r="AD290" s="36"/>
      <c r="AE290" s="36"/>
      <c r="AF290" s="36"/>
      <c r="AG290" s="36"/>
      <c r="AH290" s="36"/>
      <c r="AI290" s="36"/>
      <c r="AJ290" s="36"/>
      <c r="AK290" s="36"/>
      <c r="AT290" s="45"/>
      <c r="AU290" s="45"/>
      <c r="AV290" s="45"/>
      <c r="AW290" s="45"/>
      <c r="AX290" s="45"/>
      <c r="AY290" s="45"/>
      <c r="AZ290" s="45"/>
      <c r="BA290" s="45"/>
      <c r="CM290" s="46"/>
      <c r="CO290" s="70"/>
    </row>
    <row r="291" spans="13:93" ht="15">
      <c r="M291" s="45"/>
      <c r="N291" s="45"/>
      <c r="O291" s="45"/>
      <c r="P291" s="45"/>
      <c r="AD291" s="36"/>
      <c r="AE291" s="36"/>
      <c r="AF291" s="36"/>
      <c r="AG291" s="36"/>
      <c r="AH291" s="36"/>
      <c r="AI291" s="36"/>
      <c r="AJ291" s="36"/>
      <c r="AK291" s="36"/>
      <c r="AT291" s="45"/>
      <c r="AU291" s="45"/>
      <c r="AV291" s="45"/>
      <c r="AW291" s="45"/>
      <c r="AX291" s="45"/>
      <c r="AY291" s="45"/>
      <c r="AZ291" s="45"/>
      <c r="BA291" s="45"/>
      <c r="CM291" s="46"/>
      <c r="CO291" s="70"/>
    </row>
    <row r="292" spans="13:93" ht="15">
      <c r="M292" s="45"/>
      <c r="N292" s="45"/>
      <c r="O292" s="45"/>
      <c r="P292" s="45"/>
      <c r="AD292" s="36"/>
      <c r="AE292" s="36"/>
      <c r="AF292" s="36"/>
      <c r="AG292" s="36"/>
      <c r="AH292" s="36"/>
      <c r="AI292" s="36"/>
      <c r="AJ292" s="36"/>
      <c r="AK292" s="36"/>
      <c r="AT292" s="45"/>
      <c r="AU292" s="45"/>
      <c r="AV292" s="45"/>
      <c r="AW292" s="45"/>
      <c r="AX292" s="45"/>
      <c r="AY292" s="45"/>
      <c r="AZ292" s="45"/>
      <c r="BA292" s="45"/>
      <c r="CM292" s="46"/>
      <c r="CO292" s="70"/>
    </row>
    <row r="293" spans="13:93" ht="15">
      <c r="M293" s="45"/>
      <c r="N293" s="45"/>
      <c r="O293" s="45"/>
      <c r="P293" s="45"/>
      <c r="AD293" s="36"/>
      <c r="AE293" s="36"/>
      <c r="AF293" s="36"/>
      <c r="AG293" s="36"/>
      <c r="AH293" s="36"/>
      <c r="AI293" s="36"/>
      <c r="AJ293" s="36"/>
      <c r="AK293" s="36"/>
      <c r="AT293" s="45"/>
      <c r="AU293" s="45"/>
      <c r="AV293" s="45"/>
      <c r="AW293" s="45"/>
      <c r="AX293" s="45"/>
      <c r="AY293" s="45"/>
      <c r="AZ293" s="45"/>
      <c r="BA293" s="45"/>
      <c r="CM293" s="46"/>
      <c r="CO293" s="70"/>
    </row>
    <row r="294" spans="13:93" ht="15">
      <c r="M294" s="45"/>
      <c r="N294" s="45"/>
      <c r="O294" s="45"/>
      <c r="P294" s="45"/>
      <c r="AD294" s="36"/>
      <c r="AE294" s="36"/>
      <c r="AF294" s="36"/>
      <c r="AG294" s="36"/>
      <c r="AH294" s="36"/>
      <c r="AI294" s="36"/>
      <c r="AJ294" s="36"/>
      <c r="AK294" s="36"/>
      <c r="AT294" s="45"/>
      <c r="AU294" s="45"/>
      <c r="AV294" s="45"/>
      <c r="AW294" s="45"/>
      <c r="AX294" s="45"/>
      <c r="AY294" s="45"/>
      <c r="AZ294" s="45"/>
      <c r="BA294" s="45"/>
      <c r="CM294" s="46"/>
      <c r="CO294" s="70"/>
    </row>
    <row r="295" spans="13:93" ht="15">
      <c r="M295" s="45"/>
      <c r="N295" s="45"/>
      <c r="O295" s="45"/>
      <c r="P295" s="45"/>
      <c r="AD295" s="36"/>
      <c r="AE295" s="36"/>
      <c r="AF295" s="36"/>
      <c r="AG295" s="36"/>
      <c r="AH295" s="36"/>
      <c r="AI295" s="36"/>
      <c r="AJ295" s="36"/>
      <c r="AK295" s="36"/>
      <c r="AT295" s="45"/>
      <c r="AU295" s="45"/>
      <c r="AV295" s="45"/>
      <c r="AW295" s="45"/>
      <c r="AX295" s="45"/>
      <c r="AY295" s="45"/>
      <c r="AZ295" s="45"/>
      <c r="BA295" s="45"/>
      <c r="CM295" s="46"/>
      <c r="CO295" s="70"/>
    </row>
    <row r="296" spans="13:93" ht="15">
      <c r="M296" s="45"/>
      <c r="N296" s="45"/>
      <c r="O296" s="45"/>
      <c r="P296" s="45"/>
      <c r="AD296" s="36"/>
      <c r="AE296" s="36"/>
      <c r="AF296" s="36"/>
      <c r="AG296" s="36"/>
      <c r="AH296" s="36"/>
      <c r="AI296" s="36"/>
      <c r="AJ296" s="36"/>
      <c r="AK296" s="36"/>
      <c r="AT296" s="45"/>
      <c r="AU296" s="45"/>
      <c r="AV296" s="45"/>
      <c r="AW296" s="45"/>
      <c r="AX296" s="45"/>
      <c r="AY296" s="45"/>
      <c r="AZ296" s="45"/>
      <c r="BA296" s="45"/>
      <c r="CM296" s="46"/>
      <c r="CO296" s="70"/>
    </row>
    <row r="297" spans="13:93" ht="15">
      <c r="M297" s="45"/>
      <c r="N297" s="45"/>
      <c r="O297" s="45"/>
      <c r="P297" s="45"/>
      <c r="AD297" s="36"/>
      <c r="AE297" s="36"/>
      <c r="AF297" s="36"/>
      <c r="AG297" s="36"/>
      <c r="AH297" s="36"/>
      <c r="AI297" s="36"/>
      <c r="AJ297" s="36"/>
      <c r="AK297" s="36"/>
      <c r="AT297" s="45"/>
      <c r="AU297" s="45"/>
      <c r="AV297" s="45"/>
      <c r="AW297" s="45"/>
      <c r="AX297" s="45"/>
      <c r="AY297" s="45"/>
      <c r="AZ297" s="45"/>
      <c r="BA297" s="45"/>
      <c r="CM297" s="46"/>
      <c r="CO297" s="70"/>
    </row>
    <row r="298" spans="13:93" ht="15">
      <c r="M298" s="45"/>
      <c r="N298" s="45"/>
      <c r="O298" s="45"/>
      <c r="P298" s="45"/>
      <c r="AD298" s="36"/>
      <c r="AE298" s="36"/>
      <c r="AF298" s="36"/>
      <c r="AG298" s="36"/>
      <c r="AH298" s="36"/>
      <c r="AI298" s="36"/>
      <c r="AJ298" s="36"/>
      <c r="AK298" s="36"/>
      <c r="AT298" s="45"/>
      <c r="AU298" s="45"/>
      <c r="AV298" s="45"/>
      <c r="AW298" s="45"/>
      <c r="AX298" s="45"/>
      <c r="AY298" s="45"/>
      <c r="AZ298" s="45"/>
      <c r="BA298" s="45"/>
      <c r="CM298" s="46"/>
      <c r="CO298" s="70"/>
    </row>
    <row r="299" spans="13:93" ht="15">
      <c r="M299" s="45"/>
      <c r="N299" s="45"/>
      <c r="O299" s="45"/>
      <c r="P299" s="45"/>
      <c r="AD299" s="36"/>
      <c r="AE299" s="36"/>
      <c r="AF299" s="36"/>
      <c r="AG299" s="36"/>
      <c r="AH299" s="36"/>
      <c r="AI299" s="36"/>
      <c r="AJ299" s="36"/>
      <c r="AK299" s="36"/>
      <c r="AT299" s="45"/>
      <c r="AU299" s="45"/>
      <c r="AV299" s="45"/>
      <c r="AW299" s="45"/>
      <c r="AX299" s="45"/>
      <c r="AY299" s="45"/>
      <c r="AZ299" s="45"/>
      <c r="BA299" s="45"/>
      <c r="CM299" s="46"/>
      <c r="CO299" s="70"/>
    </row>
    <row r="300" spans="13:93" ht="15">
      <c r="M300" s="45"/>
      <c r="N300" s="45"/>
      <c r="O300" s="45"/>
      <c r="P300" s="45"/>
      <c r="AD300" s="36"/>
      <c r="AE300" s="36"/>
      <c r="AF300" s="36"/>
      <c r="AG300" s="36"/>
      <c r="AH300" s="36"/>
      <c r="AI300" s="36"/>
      <c r="AJ300" s="36"/>
      <c r="AK300" s="36"/>
      <c r="AT300" s="45"/>
      <c r="AU300" s="45"/>
      <c r="AV300" s="45"/>
      <c r="AW300" s="45"/>
      <c r="AX300" s="45"/>
      <c r="AY300" s="45"/>
      <c r="AZ300" s="45"/>
      <c r="BA300" s="45"/>
      <c r="CM300" s="46"/>
      <c r="CO300" s="70"/>
    </row>
    <row r="301" spans="13:93" ht="15">
      <c r="M301" s="45"/>
      <c r="N301" s="45"/>
      <c r="O301" s="45"/>
      <c r="P301" s="45"/>
      <c r="AD301" s="36"/>
      <c r="AE301" s="36"/>
      <c r="AF301" s="36"/>
      <c r="AG301" s="36"/>
      <c r="AH301" s="36"/>
      <c r="AI301" s="36"/>
      <c r="AJ301" s="36"/>
      <c r="AK301" s="36"/>
      <c r="AT301" s="45"/>
      <c r="AU301" s="45"/>
      <c r="AV301" s="45"/>
      <c r="AW301" s="45"/>
      <c r="AX301" s="45"/>
      <c r="AY301" s="45"/>
      <c r="AZ301" s="45"/>
      <c r="BA301" s="45"/>
      <c r="CM301" s="46"/>
      <c r="CO301" s="70"/>
    </row>
    <row r="302" spans="13:93" ht="15">
      <c r="M302" s="45"/>
      <c r="N302" s="45"/>
      <c r="O302" s="45"/>
      <c r="P302" s="45"/>
      <c r="AD302" s="36"/>
      <c r="AE302" s="36"/>
      <c r="AF302" s="36"/>
      <c r="AG302" s="36"/>
      <c r="AH302" s="36"/>
      <c r="AI302" s="36"/>
      <c r="AJ302" s="36"/>
      <c r="AK302" s="36"/>
      <c r="AT302" s="45"/>
      <c r="AU302" s="45"/>
      <c r="AV302" s="45"/>
      <c r="AW302" s="45"/>
      <c r="AX302" s="45"/>
      <c r="AY302" s="45"/>
      <c r="AZ302" s="45"/>
      <c r="BA302" s="45"/>
      <c r="CM302" s="46"/>
      <c r="CO302" s="70"/>
    </row>
    <row r="303" spans="13:93" ht="15">
      <c r="M303" s="45"/>
      <c r="N303" s="45"/>
      <c r="O303" s="45"/>
      <c r="P303" s="45"/>
      <c r="AD303" s="36"/>
      <c r="AE303" s="36"/>
      <c r="AF303" s="36"/>
      <c r="AG303" s="36"/>
      <c r="AH303" s="36"/>
      <c r="AI303" s="36"/>
      <c r="AJ303" s="36"/>
      <c r="AK303" s="36"/>
      <c r="AT303" s="45"/>
      <c r="AU303" s="45"/>
      <c r="AV303" s="45"/>
      <c r="AW303" s="45"/>
      <c r="AX303" s="45"/>
      <c r="AY303" s="45"/>
      <c r="AZ303" s="45"/>
      <c r="BA303" s="45"/>
      <c r="CM303" s="46"/>
      <c r="CO303" s="70"/>
    </row>
    <row r="304" spans="13:93" ht="15">
      <c r="M304" s="45"/>
      <c r="N304" s="45"/>
      <c r="O304" s="45"/>
      <c r="P304" s="45"/>
      <c r="AD304" s="36"/>
      <c r="AE304" s="36"/>
      <c r="AF304" s="36"/>
      <c r="AG304" s="36"/>
      <c r="AH304" s="36"/>
      <c r="AI304" s="36"/>
      <c r="AJ304" s="36"/>
      <c r="AK304" s="36"/>
      <c r="AT304" s="45"/>
      <c r="AU304" s="45"/>
      <c r="AV304" s="45"/>
      <c r="AW304" s="45"/>
      <c r="AX304" s="45"/>
      <c r="AY304" s="45"/>
      <c r="AZ304" s="45"/>
      <c r="BA304" s="45"/>
      <c r="CM304" s="46"/>
      <c r="CO304" s="70"/>
    </row>
    <row r="305" spans="13:93" ht="15">
      <c r="M305" s="45"/>
      <c r="N305" s="45"/>
      <c r="O305" s="45"/>
      <c r="P305" s="45"/>
      <c r="AD305" s="36"/>
      <c r="AE305" s="36"/>
      <c r="AF305" s="36"/>
      <c r="AG305" s="36"/>
      <c r="AH305" s="36"/>
      <c r="AI305" s="36"/>
      <c r="AJ305" s="36"/>
      <c r="AK305" s="36"/>
      <c r="AT305" s="45"/>
      <c r="AU305" s="45"/>
      <c r="AV305" s="45"/>
      <c r="AW305" s="45"/>
      <c r="AX305" s="45"/>
      <c r="AY305" s="45"/>
      <c r="AZ305" s="45"/>
      <c r="BA305" s="45"/>
      <c r="CM305" s="46"/>
      <c r="CO305" s="70"/>
    </row>
    <row r="306" spans="13:93" ht="15">
      <c r="M306" s="45"/>
      <c r="N306" s="45"/>
      <c r="O306" s="45"/>
      <c r="P306" s="45"/>
      <c r="AD306" s="36"/>
      <c r="AE306" s="36"/>
      <c r="AF306" s="36"/>
      <c r="AG306" s="36"/>
      <c r="AH306" s="36"/>
      <c r="AI306" s="36"/>
      <c r="AJ306" s="36"/>
      <c r="AK306" s="36"/>
      <c r="AT306" s="45"/>
      <c r="AU306" s="45"/>
      <c r="AV306" s="45"/>
      <c r="AW306" s="45"/>
      <c r="AX306" s="45"/>
      <c r="AY306" s="45"/>
      <c r="AZ306" s="45"/>
      <c r="BA306" s="45"/>
      <c r="CM306" s="46"/>
      <c r="CO306" s="70"/>
    </row>
    <row r="307" spans="13:93" ht="15">
      <c r="M307" s="45"/>
      <c r="N307" s="45"/>
      <c r="O307" s="45"/>
      <c r="P307" s="45"/>
      <c r="AD307" s="36"/>
      <c r="AE307" s="36"/>
      <c r="AF307" s="36"/>
      <c r="AG307" s="36"/>
      <c r="AH307" s="36"/>
      <c r="AI307" s="36"/>
      <c r="AJ307" s="36"/>
      <c r="AK307" s="36"/>
      <c r="AT307" s="45"/>
      <c r="AU307" s="45"/>
      <c r="AV307" s="45"/>
      <c r="AW307" s="45"/>
      <c r="AX307" s="45"/>
      <c r="AY307" s="45"/>
      <c r="AZ307" s="45"/>
      <c r="BA307" s="45"/>
      <c r="CM307" s="46"/>
      <c r="CO307" s="70"/>
    </row>
    <row r="308" spans="13:93" ht="15">
      <c r="M308" s="45"/>
      <c r="N308" s="45"/>
      <c r="O308" s="45"/>
      <c r="P308" s="45"/>
      <c r="AD308" s="36"/>
      <c r="AE308" s="36"/>
      <c r="AF308" s="36"/>
      <c r="AG308" s="36"/>
      <c r="AH308" s="36"/>
      <c r="AI308" s="36"/>
      <c r="AJ308" s="36"/>
      <c r="AK308" s="36"/>
      <c r="AT308" s="45"/>
      <c r="AU308" s="45"/>
      <c r="AV308" s="45"/>
      <c r="AW308" s="45"/>
      <c r="AX308" s="45"/>
      <c r="AY308" s="45"/>
      <c r="AZ308" s="45"/>
      <c r="BA308" s="45"/>
      <c r="CM308" s="46"/>
      <c r="CO308" s="70"/>
    </row>
    <row r="309" spans="13:93" ht="15">
      <c r="M309" s="45"/>
      <c r="N309" s="45"/>
      <c r="O309" s="45"/>
      <c r="P309" s="45"/>
      <c r="AD309" s="36"/>
      <c r="AE309" s="36"/>
      <c r="AF309" s="36"/>
      <c r="AG309" s="36"/>
      <c r="AH309" s="36"/>
      <c r="AI309" s="36"/>
      <c r="AJ309" s="36"/>
      <c r="AK309" s="36"/>
      <c r="AT309" s="45"/>
      <c r="AU309" s="45"/>
      <c r="AV309" s="45"/>
      <c r="AW309" s="45"/>
      <c r="AX309" s="45"/>
      <c r="AY309" s="45"/>
      <c r="AZ309" s="45"/>
      <c r="BA309" s="45"/>
      <c r="CM309" s="46"/>
      <c r="CO309" s="70"/>
    </row>
    <row r="310" spans="13:93" ht="15">
      <c r="M310" s="45"/>
      <c r="N310" s="45"/>
      <c r="O310" s="45"/>
      <c r="P310" s="45"/>
      <c r="AD310" s="36"/>
      <c r="AE310" s="36"/>
      <c r="AF310" s="36"/>
      <c r="AG310" s="36"/>
      <c r="AH310" s="36"/>
      <c r="AI310" s="36"/>
      <c r="AJ310" s="36"/>
      <c r="AK310" s="36"/>
      <c r="AT310" s="45"/>
      <c r="AU310" s="45"/>
      <c r="AV310" s="45"/>
      <c r="AW310" s="45"/>
      <c r="AX310" s="45"/>
      <c r="AY310" s="45"/>
      <c r="AZ310" s="45"/>
      <c r="BA310" s="45"/>
      <c r="CM310" s="46"/>
      <c r="CO310" s="70"/>
    </row>
    <row r="311" spans="13:93" ht="15">
      <c r="M311" s="45"/>
      <c r="N311" s="45"/>
      <c r="O311" s="45"/>
      <c r="P311" s="45"/>
      <c r="AD311" s="36"/>
      <c r="AE311" s="36"/>
      <c r="AF311" s="36"/>
      <c r="AG311" s="36"/>
      <c r="AH311" s="36"/>
      <c r="AI311" s="36"/>
      <c r="AJ311" s="36"/>
      <c r="AK311" s="36"/>
      <c r="AT311" s="45"/>
      <c r="AU311" s="45"/>
      <c r="AV311" s="45"/>
      <c r="AW311" s="45"/>
      <c r="AX311" s="45"/>
      <c r="AY311" s="45"/>
      <c r="AZ311" s="45"/>
      <c r="BA311" s="45"/>
      <c r="CM311" s="46"/>
      <c r="CO311" s="70"/>
    </row>
    <row r="312" spans="13:93" ht="15">
      <c r="M312" s="45"/>
      <c r="N312" s="45"/>
      <c r="O312" s="45"/>
      <c r="P312" s="45"/>
      <c r="AD312" s="36"/>
      <c r="AE312" s="36"/>
      <c r="AF312" s="36"/>
      <c r="AG312" s="36"/>
      <c r="AH312" s="36"/>
      <c r="AI312" s="36"/>
      <c r="AJ312" s="36"/>
      <c r="AK312" s="36"/>
      <c r="AT312" s="45"/>
      <c r="AU312" s="45"/>
      <c r="AV312" s="45"/>
      <c r="AW312" s="45"/>
      <c r="AX312" s="45"/>
      <c r="AY312" s="45"/>
      <c r="AZ312" s="45"/>
      <c r="BA312" s="45"/>
      <c r="CM312" s="46"/>
      <c r="CO312" s="70"/>
    </row>
    <row r="313" spans="13:93" ht="15">
      <c r="M313" s="45"/>
      <c r="N313" s="45"/>
      <c r="O313" s="45"/>
      <c r="P313" s="45"/>
      <c r="AD313" s="36"/>
      <c r="AE313" s="36"/>
      <c r="AF313" s="36"/>
      <c r="AG313" s="36"/>
      <c r="AH313" s="36"/>
      <c r="AI313" s="36"/>
      <c r="AJ313" s="36"/>
      <c r="AK313" s="36"/>
      <c r="AT313" s="45"/>
      <c r="AU313" s="45"/>
      <c r="AV313" s="45"/>
      <c r="AW313" s="45"/>
      <c r="AX313" s="45"/>
      <c r="AY313" s="45"/>
      <c r="AZ313" s="45"/>
      <c r="BA313" s="45"/>
      <c r="CM313" s="46"/>
      <c r="CO313" s="70"/>
    </row>
    <row r="314" spans="13:93" ht="15">
      <c r="M314" s="45"/>
      <c r="N314" s="45"/>
      <c r="O314" s="45"/>
      <c r="P314" s="45"/>
      <c r="AD314" s="36"/>
      <c r="AE314" s="36"/>
      <c r="AF314" s="36"/>
      <c r="AG314" s="36"/>
      <c r="AH314" s="36"/>
      <c r="AI314" s="36"/>
      <c r="AJ314" s="36"/>
      <c r="AK314" s="36"/>
      <c r="AT314" s="45"/>
      <c r="AU314" s="45"/>
      <c r="AV314" s="45"/>
      <c r="AW314" s="45"/>
      <c r="AX314" s="45"/>
      <c r="AY314" s="45"/>
      <c r="AZ314" s="45"/>
      <c r="BA314" s="45"/>
      <c r="CM314" s="46"/>
      <c r="CO314" s="70"/>
    </row>
    <row r="315" spans="13:93" ht="15">
      <c r="M315" s="45"/>
      <c r="N315" s="45"/>
      <c r="O315" s="45"/>
      <c r="P315" s="45"/>
      <c r="AD315" s="36"/>
      <c r="AE315" s="36"/>
      <c r="AF315" s="36"/>
      <c r="AG315" s="36"/>
      <c r="AH315" s="36"/>
      <c r="AI315" s="36"/>
      <c r="AJ315" s="36"/>
      <c r="AK315" s="36"/>
      <c r="AT315" s="45"/>
      <c r="AU315" s="45"/>
      <c r="AV315" s="45"/>
      <c r="AW315" s="45"/>
      <c r="AX315" s="45"/>
      <c r="AY315" s="45"/>
      <c r="AZ315" s="45"/>
      <c r="BA315" s="45"/>
      <c r="CM315" s="46"/>
      <c r="CO315" s="70"/>
    </row>
    <row r="316" spans="13:93" ht="15">
      <c r="M316" s="45"/>
      <c r="N316" s="45"/>
      <c r="O316" s="45"/>
      <c r="P316" s="45"/>
      <c r="AD316" s="36"/>
      <c r="AE316" s="36"/>
      <c r="AF316" s="36"/>
      <c r="AG316" s="36"/>
      <c r="AH316" s="36"/>
      <c r="AI316" s="36"/>
      <c r="AJ316" s="36"/>
      <c r="AK316" s="36"/>
      <c r="AT316" s="45"/>
      <c r="AU316" s="45"/>
      <c r="AV316" s="45"/>
      <c r="AW316" s="45"/>
      <c r="AX316" s="45"/>
      <c r="AY316" s="45"/>
      <c r="AZ316" s="45"/>
      <c r="BA316" s="45"/>
      <c r="CM316" s="46"/>
      <c r="CO316" s="70"/>
    </row>
    <row r="317" spans="13:93" ht="15">
      <c r="M317" s="45"/>
      <c r="N317" s="45"/>
      <c r="O317" s="45"/>
      <c r="P317" s="45"/>
      <c r="AD317" s="36"/>
      <c r="AE317" s="36"/>
      <c r="AF317" s="36"/>
      <c r="AG317" s="36"/>
      <c r="AH317" s="36"/>
      <c r="AI317" s="36"/>
      <c r="AJ317" s="36"/>
      <c r="AK317" s="36"/>
      <c r="AT317" s="45"/>
      <c r="AU317" s="45"/>
      <c r="AV317" s="45"/>
      <c r="AW317" s="45"/>
      <c r="AX317" s="45"/>
      <c r="AY317" s="45"/>
      <c r="AZ317" s="45"/>
      <c r="BA317" s="45"/>
      <c r="CM317" s="46"/>
      <c r="CO317" s="70"/>
    </row>
    <row r="318" spans="13:93" ht="15">
      <c r="M318" s="45"/>
      <c r="N318" s="45"/>
      <c r="O318" s="45"/>
      <c r="P318" s="45"/>
      <c r="AD318" s="36"/>
      <c r="AE318" s="36"/>
      <c r="AF318" s="36"/>
      <c r="AG318" s="36"/>
      <c r="AH318" s="36"/>
      <c r="AI318" s="36"/>
      <c r="AJ318" s="36"/>
      <c r="AK318" s="36"/>
      <c r="AT318" s="45"/>
      <c r="AU318" s="45"/>
      <c r="AV318" s="45"/>
      <c r="AW318" s="45"/>
      <c r="AX318" s="45"/>
      <c r="AY318" s="45"/>
      <c r="AZ318" s="45"/>
      <c r="BA318" s="45"/>
      <c r="CM318" s="46"/>
      <c r="CO318" s="70"/>
    </row>
    <row r="319" spans="13:93" ht="15">
      <c r="M319" s="45"/>
      <c r="N319" s="45"/>
      <c r="O319" s="45"/>
      <c r="P319" s="45"/>
      <c r="AD319" s="36"/>
      <c r="AE319" s="36"/>
      <c r="AF319" s="36"/>
      <c r="AG319" s="36"/>
      <c r="AH319" s="36"/>
      <c r="AI319" s="36"/>
      <c r="AJ319" s="36"/>
      <c r="AK319" s="36"/>
      <c r="AT319" s="45"/>
      <c r="AU319" s="45"/>
      <c r="AV319" s="45"/>
      <c r="AW319" s="45"/>
      <c r="AX319" s="45"/>
      <c r="AY319" s="45"/>
      <c r="AZ319" s="45"/>
      <c r="BA319" s="45"/>
      <c r="CM319" s="46"/>
      <c r="CO319" s="70"/>
    </row>
    <row r="320" spans="13:93" ht="15">
      <c r="M320" s="45"/>
      <c r="N320" s="45"/>
      <c r="O320" s="45"/>
      <c r="P320" s="45"/>
      <c r="AD320" s="36"/>
      <c r="AE320" s="36"/>
      <c r="AF320" s="36"/>
      <c r="AG320" s="36"/>
      <c r="AH320" s="36"/>
      <c r="AI320" s="36"/>
      <c r="AJ320" s="36"/>
      <c r="AK320" s="36"/>
      <c r="AT320" s="45"/>
      <c r="AU320" s="45"/>
      <c r="AV320" s="45"/>
      <c r="AW320" s="45"/>
      <c r="AX320" s="45"/>
      <c r="AY320" s="45"/>
      <c r="AZ320" s="45"/>
      <c r="BA320" s="45"/>
      <c r="CM320" s="46"/>
      <c r="CO320" s="70"/>
    </row>
    <row r="321" spans="13:93" ht="15">
      <c r="M321" s="45"/>
      <c r="N321" s="45"/>
      <c r="O321" s="45"/>
      <c r="P321" s="45"/>
      <c r="AD321" s="36"/>
      <c r="AE321" s="36"/>
      <c r="AF321" s="36"/>
      <c r="AG321" s="36"/>
      <c r="AH321" s="36"/>
      <c r="AI321" s="36"/>
      <c r="AJ321" s="36"/>
      <c r="AK321" s="36"/>
      <c r="AT321" s="45"/>
      <c r="AU321" s="45"/>
      <c r="AV321" s="45"/>
      <c r="AW321" s="45"/>
      <c r="AX321" s="45"/>
      <c r="AY321" s="45"/>
      <c r="AZ321" s="45"/>
      <c r="BA321" s="45"/>
      <c r="CM321" s="46"/>
      <c r="CO321" s="70"/>
    </row>
    <row r="322" spans="13:93" ht="15">
      <c r="M322" s="45"/>
      <c r="N322" s="45"/>
      <c r="O322" s="45"/>
      <c r="P322" s="45"/>
      <c r="AD322" s="36"/>
      <c r="AE322" s="36"/>
      <c r="AF322" s="36"/>
      <c r="AG322" s="36"/>
      <c r="AH322" s="36"/>
      <c r="AI322" s="36"/>
      <c r="AJ322" s="36"/>
      <c r="AK322" s="36"/>
      <c r="AT322" s="45"/>
      <c r="AU322" s="45"/>
      <c r="AV322" s="45"/>
      <c r="AW322" s="45"/>
      <c r="AX322" s="45"/>
      <c r="AY322" s="45"/>
      <c r="AZ322" s="45"/>
      <c r="BA322" s="45"/>
      <c r="CM322" s="46"/>
      <c r="CO322" s="70"/>
    </row>
    <row r="323" spans="13:93" ht="15">
      <c r="M323" s="45"/>
      <c r="N323" s="45"/>
      <c r="O323" s="45"/>
      <c r="P323" s="45"/>
      <c r="AD323" s="36"/>
      <c r="AE323" s="36"/>
      <c r="AF323" s="36"/>
      <c r="AG323" s="36"/>
      <c r="AH323" s="36"/>
      <c r="AI323" s="36"/>
      <c r="AJ323" s="36"/>
      <c r="AK323" s="36"/>
      <c r="AT323" s="45"/>
      <c r="AU323" s="45"/>
      <c r="AV323" s="45"/>
      <c r="AW323" s="45"/>
      <c r="AX323" s="45"/>
      <c r="AY323" s="45"/>
      <c r="AZ323" s="45"/>
      <c r="BA323" s="45"/>
      <c r="CM323" s="46"/>
      <c r="CO323" s="70"/>
    </row>
    <row r="324" spans="13:93" ht="15">
      <c r="M324" s="45"/>
      <c r="N324" s="45"/>
      <c r="O324" s="45"/>
      <c r="P324" s="45"/>
      <c r="AD324" s="36"/>
      <c r="AE324" s="36"/>
      <c r="AF324" s="36"/>
      <c r="AG324" s="36"/>
      <c r="AH324" s="36"/>
      <c r="AI324" s="36"/>
      <c r="AJ324" s="36"/>
      <c r="AK324" s="36"/>
      <c r="AT324" s="45"/>
      <c r="AU324" s="45"/>
      <c r="AV324" s="45"/>
      <c r="AW324" s="45"/>
      <c r="AX324" s="45"/>
      <c r="AY324" s="45"/>
      <c r="AZ324" s="45"/>
      <c r="BA324" s="45"/>
      <c r="CM324" s="46"/>
      <c r="CO324" s="70"/>
    </row>
    <row r="325" spans="13:93" ht="15">
      <c r="M325" s="45"/>
      <c r="N325" s="45"/>
      <c r="O325" s="45"/>
      <c r="P325" s="45"/>
      <c r="AD325" s="36"/>
      <c r="AE325" s="36"/>
      <c r="AF325" s="36"/>
      <c r="AG325" s="36"/>
      <c r="AH325" s="36"/>
      <c r="AI325" s="36"/>
      <c r="AJ325" s="36"/>
      <c r="AK325" s="36"/>
      <c r="AT325" s="45"/>
      <c r="AU325" s="45"/>
      <c r="AV325" s="45"/>
      <c r="AW325" s="45"/>
      <c r="AX325" s="45"/>
      <c r="AY325" s="45"/>
      <c r="AZ325" s="45"/>
      <c r="BA325" s="45"/>
      <c r="CM325" s="46"/>
      <c r="CO325" s="70"/>
    </row>
    <row r="326" spans="13:93" ht="15">
      <c r="M326" s="45"/>
      <c r="N326" s="45"/>
      <c r="O326" s="45"/>
      <c r="P326" s="45"/>
      <c r="AD326" s="36"/>
      <c r="AE326" s="36"/>
      <c r="AF326" s="36"/>
      <c r="AG326" s="36"/>
      <c r="AH326" s="36"/>
      <c r="AI326" s="36"/>
      <c r="AJ326" s="36"/>
      <c r="AK326" s="36"/>
      <c r="AT326" s="45"/>
      <c r="AU326" s="45"/>
      <c r="AV326" s="45"/>
      <c r="AW326" s="45"/>
      <c r="AX326" s="45"/>
      <c r="AY326" s="45"/>
      <c r="AZ326" s="45"/>
      <c r="BA326" s="45"/>
      <c r="CM326" s="46"/>
      <c r="CO326" s="70"/>
    </row>
    <row r="327" spans="13:93" ht="15">
      <c r="M327" s="45"/>
      <c r="N327" s="45"/>
      <c r="O327" s="45"/>
      <c r="P327" s="45"/>
      <c r="AD327" s="36"/>
      <c r="AE327" s="36"/>
      <c r="AF327" s="36"/>
      <c r="AG327" s="36"/>
      <c r="AH327" s="36"/>
      <c r="AI327" s="36"/>
      <c r="AJ327" s="36"/>
      <c r="AK327" s="36"/>
      <c r="AT327" s="45"/>
      <c r="AU327" s="45"/>
      <c r="AV327" s="45"/>
      <c r="AW327" s="45"/>
      <c r="AX327" s="45"/>
      <c r="AY327" s="45"/>
      <c r="AZ327" s="45"/>
      <c r="BA327" s="45"/>
      <c r="CM327" s="46"/>
      <c r="CO327" s="70"/>
    </row>
    <row r="328" spans="13:93" ht="15">
      <c r="M328" s="45"/>
      <c r="N328" s="45"/>
      <c r="O328" s="45"/>
      <c r="P328" s="45"/>
      <c r="AD328" s="36"/>
      <c r="AE328" s="36"/>
      <c r="AF328" s="36"/>
      <c r="AG328" s="36"/>
      <c r="AH328" s="36"/>
      <c r="AI328" s="36"/>
      <c r="AJ328" s="36"/>
      <c r="AK328" s="36"/>
      <c r="AT328" s="45"/>
      <c r="AU328" s="45"/>
      <c r="AV328" s="45"/>
      <c r="AW328" s="45"/>
      <c r="AX328" s="45"/>
      <c r="AY328" s="45"/>
      <c r="AZ328" s="45"/>
      <c r="BA328" s="45"/>
      <c r="CM328" s="46"/>
      <c r="CO328" s="70"/>
    </row>
    <row r="329" spans="13:93" ht="15">
      <c r="M329" s="45"/>
      <c r="N329" s="45"/>
      <c r="O329" s="45"/>
      <c r="P329" s="45"/>
      <c r="AD329" s="36"/>
      <c r="AE329" s="36"/>
      <c r="AF329" s="36"/>
      <c r="AG329" s="36"/>
      <c r="AH329" s="36"/>
      <c r="AI329" s="36"/>
      <c r="AJ329" s="36"/>
      <c r="AK329" s="36"/>
      <c r="AT329" s="45"/>
      <c r="AU329" s="45"/>
      <c r="AV329" s="45"/>
      <c r="AW329" s="45"/>
      <c r="AX329" s="45"/>
      <c r="AY329" s="45"/>
      <c r="AZ329" s="45"/>
      <c r="BA329" s="45"/>
      <c r="CM329" s="46"/>
      <c r="CO329" s="70"/>
    </row>
    <row r="330" spans="13:93" ht="15">
      <c r="M330" s="45"/>
      <c r="N330" s="45"/>
      <c r="O330" s="45"/>
      <c r="P330" s="45"/>
      <c r="AD330" s="36"/>
      <c r="AE330" s="36"/>
      <c r="AF330" s="36"/>
      <c r="AG330" s="36"/>
      <c r="AH330" s="36"/>
      <c r="AI330" s="36"/>
      <c r="AJ330" s="36"/>
      <c r="AK330" s="36"/>
      <c r="AT330" s="45"/>
      <c r="AU330" s="45"/>
      <c r="AV330" s="45"/>
      <c r="AW330" s="45"/>
      <c r="AX330" s="45"/>
      <c r="AY330" s="45"/>
      <c r="AZ330" s="45"/>
      <c r="BA330" s="45"/>
      <c r="CM330" s="46"/>
      <c r="CO330" s="70"/>
    </row>
    <row r="331" spans="13:93" ht="15">
      <c r="M331" s="45"/>
      <c r="N331" s="45"/>
      <c r="O331" s="45"/>
      <c r="P331" s="45"/>
      <c r="AD331" s="36"/>
      <c r="AE331" s="36"/>
      <c r="AF331" s="36"/>
      <c r="AG331" s="36"/>
      <c r="AH331" s="36"/>
      <c r="AI331" s="36"/>
      <c r="AJ331" s="36"/>
      <c r="AK331" s="36"/>
      <c r="AT331" s="45"/>
      <c r="AU331" s="45"/>
      <c r="AV331" s="45"/>
      <c r="AW331" s="45"/>
      <c r="AX331" s="45"/>
      <c r="AY331" s="45"/>
      <c r="AZ331" s="45"/>
      <c r="BA331" s="45"/>
      <c r="CM331" s="46"/>
      <c r="CO331" s="70"/>
    </row>
    <row r="332" spans="13:93" ht="15">
      <c r="M332" s="45"/>
      <c r="N332" s="45"/>
      <c r="O332" s="45"/>
      <c r="P332" s="45"/>
      <c r="AD332" s="36"/>
      <c r="AE332" s="36"/>
      <c r="AF332" s="36"/>
      <c r="AG332" s="36"/>
      <c r="AH332" s="36"/>
      <c r="AI332" s="36"/>
      <c r="AJ332" s="36"/>
      <c r="AK332" s="36"/>
      <c r="AT332" s="45"/>
      <c r="AU332" s="45"/>
      <c r="AV332" s="45"/>
      <c r="AW332" s="45"/>
      <c r="AX332" s="45"/>
      <c r="AY332" s="45"/>
      <c r="AZ332" s="45"/>
      <c r="BA332" s="45"/>
      <c r="CM332" s="46"/>
      <c r="CO332" s="70"/>
    </row>
    <row r="333" spans="13:93" ht="15">
      <c r="M333" s="45"/>
      <c r="N333" s="45"/>
      <c r="O333" s="45"/>
      <c r="P333" s="45"/>
      <c r="AD333" s="36"/>
      <c r="AE333" s="36"/>
      <c r="AF333" s="36"/>
      <c r="AG333" s="36"/>
      <c r="AH333" s="36"/>
      <c r="AI333" s="36"/>
      <c r="AJ333" s="36"/>
      <c r="AK333" s="36"/>
      <c r="AT333" s="45"/>
      <c r="AU333" s="45"/>
      <c r="AV333" s="45"/>
      <c r="AW333" s="45"/>
      <c r="AX333" s="45"/>
      <c r="AY333" s="45"/>
      <c r="AZ333" s="45"/>
      <c r="BA333" s="45"/>
      <c r="CM333" s="46"/>
      <c r="CO333" s="70"/>
    </row>
    <row r="334" spans="13:93" ht="15">
      <c r="M334" s="45"/>
      <c r="N334" s="45"/>
      <c r="O334" s="45"/>
      <c r="P334" s="45"/>
      <c r="AD334" s="36"/>
      <c r="AE334" s="36"/>
      <c r="AF334" s="36"/>
      <c r="AG334" s="36"/>
      <c r="AH334" s="36"/>
      <c r="AI334" s="36"/>
      <c r="AJ334" s="36"/>
      <c r="AK334" s="36"/>
      <c r="AT334" s="45"/>
      <c r="AU334" s="45"/>
      <c r="AV334" s="45"/>
      <c r="AW334" s="45"/>
      <c r="AX334" s="45"/>
      <c r="AY334" s="45"/>
      <c r="AZ334" s="45"/>
      <c r="BA334" s="45"/>
      <c r="CM334" s="46"/>
      <c r="CO334" s="70"/>
    </row>
    <row r="335" spans="13:93" ht="15">
      <c r="M335" s="45"/>
      <c r="N335" s="45"/>
      <c r="O335" s="45"/>
      <c r="P335" s="45"/>
      <c r="AD335" s="36"/>
      <c r="AE335" s="36"/>
      <c r="AF335" s="36"/>
      <c r="AG335" s="36"/>
      <c r="AH335" s="36"/>
      <c r="AI335" s="36"/>
      <c r="AJ335" s="36"/>
      <c r="AK335" s="36"/>
      <c r="AT335" s="45"/>
      <c r="AU335" s="45"/>
      <c r="AV335" s="45"/>
      <c r="AW335" s="45"/>
      <c r="AX335" s="45"/>
      <c r="AY335" s="45"/>
      <c r="AZ335" s="45"/>
      <c r="BA335" s="45"/>
      <c r="CM335" s="46"/>
      <c r="CO335" s="70"/>
    </row>
    <row r="336" spans="13:93" ht="15">
      <c r="M336" s="45"/>
      <c r="N336" s="45"/>
      <c r="O336" s="45"/>
      <c r="P336" s="45"/>
      <c r="AD336" s="36"/>
      <c r="AE336" s="36"/>
      <c r="AF336" s="36"/>
      <c r="AG336" s="36"/>
      <c r="AH336" s="36"/>
      <c r="AI336" s="36"/>
      <c r="AJ336" s="36"/>
      <c r="AK336" s="36"/>
      <c r="AT336" s="45"/>
      <c r="AU336" s="45"/>
      <c r="AV336" s="45"/>
      <c r="AW336" s="45"/>
      <c r="AX336" s="45"/>
      <c r="AY336" s="45"/>
      <c r="AZ336" s="45"/>
      <c r="BA336" s="45"/>
      <c r="CM336" s="46"/>
      <c r="CO336" s="70"/>
    </row>
    <row r="337" spans="13:93" ht="15">
      <c r="M337" s="45"/>
      <c r="N337" s="45"/>
      <c r="O337" s="45"/>
      <c r="P337" s="45"/>
      <c r="AD337" s="36"/>
      <c r="AE337" s="36"/>
      <c r="AF337" s="36"/>
      <c r="AG337" s="36"/>
      <c r="AH337" s="36"/>
      <c r="AI337" s="36"/>
      <c r="AJ337" s="36"/>
      <c r="AK337" s="36"/>
      <c r="AT337" s="45"/>
      <c r="AU337" s="45"/>
      <c r="AV337" s="45"/>
      <c r="AW337" s="45"/>
      <c r="AX337" s="45"/>
      <c r="AY337" s="45"/>
      <c r="AZ337" s="45"/>
      <c r="BA337" s="45"/>
      <c r="CM337" s="46"/>
      <c r="CO337" s="70"/>
    </row>
    <row r="338" spans="13:93" ht="15">
      <c r="M338" s="45"/>
      <c r="N338" s="45"/>
      <c r="O338" s="45"/>
      <c r="P338" s="45"/>
      <c r="AD338" s="36"/>
      <c r="AE338" s="36"/>
      <c r="AF338" s="36"/>
      <c r="AG338" s="36"/>
      <c r="AH338" s="36"/>
      <c r="AI338" s="36"/>
      <c r="AJ338" s="36"/>
      <c r="AK338" s="36"/>
      <c r="AT338" s="45"/>
      <c r="AU338" s="45"/>
      <c r="AV338" s="45"/>
      <c r="AW338" s="45"/>
      <c r="AX338" s="45"/>
      <c r="AY338" s="45"/>
      <c r="AZ338" s="45"/>
      <c r="BA338" s="45"/>
      <c r="CM338" s="46"/>
      <c r="CO338" s="70"/>
    </row>
    <row r="339" spans="13:93" ht="15">
      <c r="M339" s="45"/>
      <c r="N339" s="45"/>
      <c r="O339" s="45"/>
      <c r="P339" s="45"/>
      <c r="AD339" s="36"/>
      <c r="AE339" s="36"/>
      <c r="AF339" s="36"/>
      <c r="AG339" s="36"/>
      <c r="AH339" s="36"/>
      <c r="AI339" s="36"/>
      <c r="AJ339" s="36"/>
      <c r="AK339" s="36"/>
      <c r="AT339" s="45"/>
      <c r="AU339" s="45"/>
      <c r="AV339" s="45"/>
      <c r="AW339" s="45"/>
      <c r="AX339" s="45"/>
      <c r="AY339" s="45"/>
      <c r="AZ339" s="45"/>
      <c r="BA339" s="45"/>
      <c r="CM339" s="46"/>
      <c r="CO339" s="70"/>
    </row>
    <row r="340" spans="13:93" ht="15">
      <c r="M340" s="45"/>
      <c r="N340" s="45"/>
      <c r="O340" s="45"/>
      <c r="P340" s="45"/>
      <c r="AD340" s="36"/>
      <c r="AE340" s="36"/>
      <c r="AF340" s="36"/>
      <c r="AG340" s="36"/>
      <c r="AH340" s="36"/>
      <c r="AI340" s="36"/>
      <c r="AJ340" s="36"/>
      <c r="AK340" s="36"/>
      <c r="AT340" s="45"/>
      <c r="AU340" s="45"/>
      <c r="AV340" s="45"/>
      <c r="AW340" s="45"/>
      <c r="AX340" s="45"/>
      <c r="AY340" s="45"/>
      <c r="AZ340" s="45"/>
      <c r="BA340" s="45"/>
      <c r="CM340" s="46"/>
      <c r="CO340" s="70"/>
    </row>
    <row r="341" spans="13:93" ht="15">
      <c r="M341" s="45"/>
      <c r="N341" s="45"/>
      <c r="O341" s="45"/>
      <c r="P341" s="45"/>
      <c r="AD341" s="36"/>
      <c r="AE341" s="36"/>
      <c r="AF341" s="36"/>
      <c r="AG341" s="36"/>
      <c r="AH341" s="36"/>
      <c r="AI341" s="36"/>
      <c r="AJ341" s="36"/>
      <c r="AK341" s="36"/>
      <c r="AT341" s="45"/>
      <c r="AU341" s="45"/>
      <c r="AV341" s="45"/>
      <c r="AW341" s="45"/>
      <c r="AX341" s="45"/>
      <c r="AY341" s="45"/>
      <c r="AZ341" s="45"/>
      <c r="BA341" s="45"/>
      <c r="CM341" s="46"/>
      <c r="CO341" s="70"/>
    </row>
    <row r="342" spans="13:93" ht="15">
      <c r="M342" s="45"/>
      <c r="N342" s="45"/>
      <c r="O342" s="45"/>
      <c r="P342" s="45"/>
      <c r="AD342" s="36"/>
      <c r="AE342" s="36"/>
      <c r="AF342" s="36"/>
      <c r="AG342" s="36"/>
      <c r="AH342" s="36"/>
      <c r="AI342" s="36"/>
      <c r="AJ342" s="36"/>
      <c r="AK342" s="36"/>
      <c r="AT342" s="45"/>
      <c r="AU342" s="45"/>
      <c r="AV342" s="45"/>
      <c r="AW342" s="45"/>
      <c r="AX342" s="45"/>
      <c r="AY342" s="45"/>
      <c r="AZ342" s="45"/>
      <c r="BA342" s="45"/>
      <c r="CM342" s="46"/>
      <c r="CO342" s="70"/>
    </row>
    <row r="343" spans="13:93" ht="15">
      <c r="M343" s="45"/>
      <c r="N343" s="45"/>
      <c r="O343" s="45"/>
      <c r="P343" s="45"/>
      <c r="AD343" s="36"/>
      <c r="AE343" s="36"/>
      <c r="AF343" s="36"/>
      <c r="AG343" s="36"/>
      <c r="AH343" s="36"/>
      <c r="AI343" s="36"/>
      <c r="AJ343" s="36"/>
      <c r="AK343" s="36"/>
      <c r="AT343" s="45"/>
      <c r="AU343" s="45"/>
      <c r="AV343" s="45"/>
      <c r="AW343" s="45"/>
      <c r="AX343" s="45"/>
      <c r="AY343" s="45"/>
      <c r="AZ343" s="45"/>
      <c r="BA343" s="45"/>
      <c r="CM343" s="46"/>
      <c r="CO343" s="70"/>
    </row>
    <row r="344" spans="13:93" ht="15">
      <c r="M344" s="45"/>
      <c r="N344" s="45"/>
      <c r="O344" s="45"/>
      <c r="P344" s="45"/>
      <c r="AD344" s="36"/>
      <c r="AE344" s="36"/>
      <c r="AF344" s="36"/>
      <c r="AG344" s="36"/>
      <c r="AH344" s="36"/>
      <c r="AI344" s="36"/>
      <c r="AJ344" s="36"/>
      <c r="AK344" s="36"/>
      <c r="AT344" s="45"/>
      <c r="AU344" s="45"/>
      <c r="AV344" s="45"/>
      <c r="AW344" s="45"/>
      <c r="AX344" s="45"/>
      <c r="AY344" s="45"/>
      <c r="AZ344" s="45"/>
      <c r="BA344" s="45"/>
      <c r="CM344" s="46"/>
      <c r="CO344" s="70"/>
    </row>
    <row r="345" spans="13:93" ht="15">
      <c r="M345" s="45"/>
      <c r="N345" s="45"/>
      <c r="O345" s="45"/>
      <c r="P345" s="45"/>
      <c r="AD345" s="36"/>
      <c r="AE345" s="36"/>
      <c r="AF345" s="36"/>
      <c r="AG345" s="36"/>
      <c r="AH345" s="36"/>
      <c r="AI345" s="36"/>
      <c r="AJ345" s="36"/>
      <c r="AK345" s="36"/>
      <c r="AT345" s="45"/>
      <c r="AU345" s="45"/>
      <c r="AV345" s="45"/>
      <c r="AW345" s="45"/>
      <c r="AX345" s="45"/>
      <c r="AY345" s="45"/>
      <c r="AZ345" s="45"/>
      <c r="BA345" s="45"/>
      <c r="CM345" s="46"/>
      <c r="CO345" s="70"/>
    </row>
    <row r="346" spans="13:93" ht="15">
      <c r="M346" s="45"/>
      <c r="N346" s="45"/>
      <c r="O346" s="45"/>
      <c r="P346" s="45"/>
      <c r="AD346" s="36"/>
      <c r="AE346" s="36"/>
      <c r="AF346" s="36"/>
      <c r="AG346" s="36"/>
      <c r="AH346" s="36"/>
      <c r="AI346" s="36"/>
      <c r="AJ346" s="36"/>
      <c r="AK346" s="36"/>
      <c r="AT346" s="45"/>
      <c r="AU346" s="45"/>
      <c r="AV346" s="45"/>
      <c r="AW346" s="45"/>
      <c r="AX346" s="45"/>
      <c r="AY346" s="45"/>
      <c r="AZ346" s="45"/>
      <c r="BA346" s="45"/>
      <c r="CM346" s="46"/>
      <c r="CO346" s="70"/>
    </row>
    <row r="347" spans="13:93" ht="15">
      <c r="M347" s="45"/>
      <c r="N347" s="45"/>
      <c r="O347" s="45"/>
      <c r="P347" s="45"/>
      <c r="AD347" s="36"/>
      <c r="AE347" s="36"/>
      <c r="AF347" s="36"/>
      <c r="AG347" s="36"/>
      <c r="AH347" s="36"/>
      <c r="AI347" s="36"/>
      <c r="AJ347" s="36"/>
      <c r="AK347" s="36"/>
      <c r="AT347" s="45"/>
      <c r="AU347" s="45"/>
      <c r="AV347" s="45"/>
      <c r="AW347" s="45"/>
      <c r="AX347" s="45"/>
      <c r="AY347" s="45"/>
      <c r="AZ347" s="45"/>
      <c r="BA347" s="45"/>
      <c r="CM347" s="46"/>
      <c r="CO347" s="70"/>
    </row>
    <row r="348" spans="13:93" ht="15">
      <c r="M348" s="45"/>
      <c r="N348" s="45"/>
      <c r="O348" s="45"/>
      <c r="P348" s="45"/>
      <c r="AD348" s="36"/>
      <c r="AE348" s="36"/>
      <c r="AF348" s="36"/>
      <c r="AG348" s="36"/>
      <c r="AH348" s="36"/>
      <c r="AI348" s="36"/>
      <c r="AJ348" s="36"/>
      <c r="AK348" s="36"/>
      <c r="AT348" s="45"/>
      <c r="AU348" s="45"/>
      <c r="AV348" s="45"/>
      <c r="AW348" s="45"/>
      <c r="AX348" s="45"/>
      <c r="AY348" s="45"/>
      <c r="AZ348" s="45"/>
      <c r="BA348" s="45"/>
      <c r="CM348" s="46"/>
      <c r="CO348" s="70"/>
    </row>
    <row r="349" spans="13:93" ht="15">
      <c r="M349" s="45"/>
      <c r="N349" s="45"/>
      <c r="O349" s="45"/>
      <c r="P349" s="45"/>
      <c r="AD349" s="36"/>
      <c r="AE349" s="36"/>
      <c r="AF349" s="36"/>
      <c r="AG349" s="36"/>
      <c r="AH349" s="36"/>
      <c r="AI349" s="36"/>
      <c r="AJ349" s="36"/>
      <c r="AK349" s="36"/>
      <c r="AT349" s="45"/>
      <c r="AU349" s="45"/>
      <c r="AV349" s="45"/>
      <c r="AW349" s="45"/>
      <c r="AX349" s="45"/>
      <c r="AY349" s="45"/>
      <c r="AZ349" s="45"/>
      <c r="BA349" s="45"/>
      <c r="CM349" s="46"/>
      <c r="CO349" s="70"/>
    </row>
    <row r="350" spans="13:93" ht="15">
      <c r="M350" s="45"/>
      <c r="N350" s="45"/>
      <c r="O350" s="45"/>
      <c r="P350" s="45"/>
      <c r="AD350" s="36"/>
      <c r="AE350" s="36"/>
      <c r="AF350" s="36"/>
      <c r="AG350" s="36"/>
      <c r="AH350" s="36"/>
      <c r="AI350" s="36"/>
      <c r="AJ350" s="36"/>
      <c r="AK350" s="36"/>
      <c r="AT350" s="45"/>
      <c r="AU350" s="45"/>
      <c r="AV350" s="45"/>
      <c r="AW350" s="45"/>
      <c r="AX350" s="45"/>
      <c r="AY350" s="45"/>
      <c r="AZ350" s="45"/>
      <c r="BA350" s="45"/>
      <c r="CM350" s="46"/>
      <c r="CO350" s="70"/>
    </row>
    <row r="351" spans="13:93" ht="15">
      <c r="M351" s="45"/>
      <c r="N351" s="45"/>
      <c r="O351" s="45"/>
      <c r="P351" s="45"/>
      <c r="AD351" s="36"/>
      <c r="AE351" s="36"/>
      <c r="AF351" s="36"/>
      <c r="AG351" s="36"/>
      <c r="AH351" s="36"/>
      <c r="AI351" s="36"/>
      <c r="AJ351" s="36"/>
      <c r="AK351" s="36"/>
      <c r="AT351" s="45"/>
      <c r="AU351" s="45"/>
      <c r="AV351" s="45"/>
      <c r="AW351" s="45"/>
      <c r="AX351" s="45"/>
      <c r="AY351" s="45"/>
      <c r="AZ351" s="45"/>
      <c r="BA351" s="45"/>
      <c r="CM351" s="46"/>
      <c r="CO351" s="70"/>
    </row>
    <row r="352" spans="13:93" ht="15">
      <c r="M352" s="45"/>
      <c r="N352" s="45"/>
      <c r="O352" s="45"/>
      <c r="P352" s="45"/>
      <c r="AD352" s="36"/>
      <c r="AE352" s="36"/>
      <c r="AF352" s="36"/>
      <c r="AG352" s="36"/>
      <c r="AH352" s="36"/>
      <c r="AI352" s="36"/>
      <c r="AJ352" s="36"/>
      <c r="AK352" s="36"/>
      <c r="AT352" s="45"/>
      <c r="AU352" s="45"/>
      <c r="AV352" s="45"/>
      <c r="AW352" s="45"/>
      <c r="AX352" s="45"/>
      <c r="AY352" s="45"/>
      <c r="AZ352" s="45"/>
      <c r="BA352" s="45"/>
      <c r="CM352" s="46"/>
      <c r="CO352" s="70"/>
    </row>
    <row r="353" spans="13:93" ht="15">
      <c r="M353" s="45"/>
      <c r="N353" s="45"/>
      <c r="O353" s="45"/>
      <c r="P353" s="45"/>
      <c r="AD353" s="36"/>
      <c r="AE353" s="36"/>
      <c r="AF353" s="36"/>
      <c r="AG353" s="36"/>
      <c r="AH353" s="36"/>
      <c r="AI353" s="36"/>
      <c r="AJ353" s="36"/>
      <c r="AK353" s="36"/>
      <c r="AT353" s="45"/>
      <c r="AU353" s="45"/>
      <c r="AV353" s="45"/>
      <c r="AW353" s="45"/>
      <c r="AX353" s="45"/>
      <c r="AY353" s="45"/>
      <c r="AZ353" s="45"/>
      <c r="BA353" s="45"/>
      <c r="CM353" s="46"/>
      <c r="CO353" s="70"/>
    </row>
    <row r="354" spans="13:93" ht="15">
      <c r="M354" s="45"/>
      <c r="N354" s="45"/>
      <c r="O354" s="45"/>
      <c r="P354" s="45"/>
      <c r="AD354" s="36"/>
      <c r="AE354" s="36"/>
      <c r="AF354" s="36"/>
      <c r="AG354" s="36"/>
      <c r="AH354" s="36"/>
      <c r="AI354" s="36"/>
      <c r="AJ354" s="36"/>
      <c r="AK354" s="36"/>
      <c r="AT354" s="45"/>
      <c r="AU354" s="45"/>
      <c r="AV354" s="45"/>
      <c r="AW354" s="45"/>
      <c r="AX354" s="45"/>
      <c r="AY354" s="45"/>
      <c r="AZ354" s="45"/>
      <c r="BA354" s="45"/>
      <c r="CM354" s="46"/>
      <c r="CO354" s="70"/>
    </row>
    <row r="355" spans="13:93" ht="15">
      <c r="M355" s="45"/>
      <c r="N355" s="45"/>
      <c r="O355" s="45"/>
      <c r="P355" s="45"/>
      <c r="AD355" s="36"/>
      <c r="AE355" s="36"/>
      <c r="AF355" s="36"/>
      <c r="AG355" s="36"/>
      <c r="AH355" s="36"/>
      <c r="AI355" s="36"/>
      <c r="AJ355" s="36"/>
      <c r="AK355" s="36"/>
      <c r="AT355" s="45"/>
      <c r="AU355" s="45"/>
      <c r="AV355" s="45"/>
      <c r="AW355" s="45"/>
      <c r="AX355" s="45"/>
      <c r="AY355" s="45"/>
      <c r="AZ355" s="45"/>
      <c r="BA355" s="45"/>
      <c r="CM355" s="46"/>
      <c r="CO355" s="70"/>
    </row>
    <row r="356" spans="13:93" ht="15">
      <c r="M356" s="45"/>
      <c r="N356" s="45"/>
      <c r="O356" s="45"/>
      <c r="P356" s="45"/>
      <c r="AD356" s="36"/>
      <c r="AE356" s="36"/>
      <c r="AF356" s="36"/>
      <c r="AG356" s="36"/>
      <c r="AH356" s="36"/>
      <c r="AI356" s="36"/>
      <c r="AJ356" s="36"/>
      <c r="AK356" s="36"/>
      <c r="AT356" s="45"/>
      <c r="AU356" s="45"/>
      <c r="AV356" s="45"/>
      <c r="AW356" s="45"/>
      <c r="AX356" s="45"/>
      <c r="AY356" s="45"/>
      <c r="AZ356" s="45"/>
      <c r="BA356" s="45"/>
      <c r="CM356" s="46"/>
      <c r="CO356" s="70"/>
    </row>
    <row r="357" spans="13:93" ht="15">
      <c r="M357" s="45"/>
      <c r="N357" s="45"/>
      <c r="O357" s="45"/>
      <c r="P357" s="45"/>
      <c r="AD357" s="36"/>
      <c r="AE357" s="36"/>
      <c r="AF357" s="36"/>
      <c r="AG357" s="36"/>
      <c r="AH357" s="36"/>
      <c r="AI357" s="36"/>
      <c r="AJ357" s="36"/>
      <c r="AK357" s="36"/>
      <c r="AT357" s="45"/>
      <c r="AU357" s="45"/>
      <c r="AV357" s="45"/>
      <c r="AW357" s="45"/>
      <c r="AX357" s="45"/>
      <c r="AY357" s="45"/>
      <c r="AZ357" s="45"/>
      <c r="BA357" s="45"/>
      <c r="CM357" s="46"/>
      <c r="CO357" s="70"/>
    </row>
    <row r="358" spans="13:93" ht="15">
      <c r="M358" s="45"/>
      <c r="N358" s="45"/>
      <c r="O358" s="45"/>
      <c r="P358" s="45"/>
      <c r="AD358" s="36"/>
      <c r="AE358" s="36"/>
      <c r="AF358" s="36"/>
      <c r="AG358" s="36"/>
      <c r="AH358" s="36"/>
      <c r="AI358" s="36"/>
      <c r="AJ358" s="36"/>
      <c r="AK358" s="36"/>
      <c r="AT358" s="45"/>
      <c r="AU358" s="45"/>
      <c r="AV358" s="45"/>
      <c r="AW358" s="45"/>
      <c r="AX358" s="45"/>
      <c r="AY358" s="45"/>
      <c r="AZ358" s="45"/>
      <c r="BA358" s="45"/>
      <c r="CM358" s="46"/>
      <c r="CO358" s="70"/>
    </row>
    <row r="359" spans="13:93" ht="15">
      <c r="M359" s="45"/>
      <c r="N359" s="45"/>
      <c r="O359" s="45"/>
      <c r="P359" s="45"/>
      <c r="AD359" s="36"/>
      <c r="AE359" s="36"/>
      <c r="AF359" s="36"/>
      <c r="AG359" s="36"/>
      <c r="AH359" s="36"/>
      <c r="AI359" s="36"/>
      <c r="AJ359" s="36"/>
      <c r="AK359" s="36"/>
      <c r="AT359" s="45"/>
      <c r="AU359" s="45"/>
      <c r="AV359" s="45"/>
      <c r="AW359" s="45"/>
      <c r="AX359" s="45"/>
      <c r="AY359" s="45"/>
      <c r="AZ359" s="45"/>
      <c r="BA359" s="45"/>
      <c r="CM359" s="46"/>
      <c r="CO359" s="70"/>
    </row>
    <row r="360" spans="13:93" ht="15">
      <c r="M360" s="45"/>
      <c r="N360" s="45"/>
      <c r="O360" s="45"/>
      <c r="P360" s="45"/>
      <c r="AD360" s="36"/>
      <c r="AE360" s="36"/>
      <c r="AF360" s="36"/>
      <c r="AG360" s="36"/>
      <c r="AH360" s="36"/>
      <c r="AI360" s="36"/>
      <c r="AJ360" s="36"/>
      <c r="AK360" s="36"/>
      <c r="AT360" s="45"/>
      <c r="AU360" s="45"/>
      <c r="AV360" s="45"/>
      <c r="AW360" s="45"/>
      <c r="AX360" s="45"/>
      <c r="AY360" s="45"/>
      <c r="AZ360" s="45"/>
      <c r="BA360" s="45"/>
      <c r="CM360" s="46"/>
      <c r="CO360" s="70"/>
    </row>
    <row r="361" spans="13:93" ht="15">
      <c r="M361" s="45"/>
      <c r="N361" s="45"/>
      <c r="O361" s="45"/>
      <c r="P361" s="45"/>
      <c r="AD361" s="36"/>
      <c r="AE361" s="36"/>
      <c r="AF361" s="36"/>
      <c r="AG361" s="36"/>
      <c r="AH361" s="36"/>
      <c r="AI361" s="36"/>
      <c r="AJ361" s="36"/>
      <c r="AK361" s="36"/>
      <c r="AT361" s="45"/>
      <c r="AU361" s="45"/>
      <c r="AV361" s="45"/>
      <c r="AW361" s="45"/>
      <c r="AX361" s="45"/>
      <c r="AY361" s="45"/>
      <c r="AZ361" s="45"/>
      <c r="BA361" s="45"/>
      <c r="CM361" s="46"/>
      <c r="CO361" s="70"/>
    </row>
    <row r="362" spans="13:93" ht="15">
      <c r="M362" s="45"/>
      <c r="N362" s="45"/>
      <c r="O362" s="45"/>
      <c r="P362" s="45"/>
      <c r="AD362" s="36"/>
      <c r="AE362" s="36"/>
      <c r="AF362" s="36"/>
      <c r="AG362" s="36"/>
      <c r="AH362" s="36"/>
      <c r="AI362" s="36"/>
      <c r="AJ362" s="36"/>
      <c r="AK362" s="36"/>
      <c r="AT362" s="45"/>
      <c r="AU362" s="45"/>
      <c r="AV362" s="45"/>
      <c r="AW362" s="45"/>
      <c r="AX362" s="45"/>
      <c r="AY362" s="45"/>
      <c r="AZ362" s="45"/>
      <c r="BA362" s="45"/>
      <c r="CM362" s="46"/>
      <c r="CO362" s="70"/>
    </row>
    <row r="363" spans="13:93" ht="15">
      <c r="M363" s="45"/>
      <c r="N363" s="45"/>
      <c r="O363" s="45"/>
      <c r="P363" s="45"/>
      <c r="AD363" s="36"/>
      <c r="AE363" s="36"/>
      <c r="AF363" s="36"/>
      <c r="AG363" s="36"/>
      <c r="AH363" s="36"/>
      <c r="AI363" s="36"/>
      <c r="AJ363" s="36"/>
      <c r="AK363" s="36"/>
      <c r="AT363" s="45"/>
      <c r="AU363" s="45"/>
      <c r="AV363" s="45"/>
      <c r="AW363" s="45"/>
      <c r="AX363" s="45"/>
      <c r="AY363" s="45"/>
      <c r="AZ363" s="45"/>
      <c r="BA363" s="45"/>
      <c r="CM363" s="46"/>
      <c r="CO363" s="70"/>
    </row>
    <row r="364" spans="13:93" ht="15">
      <c r="M364" s="45"/>
      <c r="N364" s="45"/>
      <c r="O364" s="45"/>
      <c r="P364" s="45"/>
      <c r="AD364" s="36"/>
      <c r="AE364" s="36"/>
      <c r="AF364" s="36"/>
      <c r="AG364" s="36"/>
      <c r="AH364" s="36"/>
      <c r="AI364" s="36"/>
      <c r="AJ364" s="36"/>
      <c r="AK364" s="36"/>
      <c r="AT364" s="45"/>
      <c r="AU364" s="45"/>
      <c r="AV364" s="45"/>
      <c r="AW364" s="45"/>
      <c r="AX364" s="45"/>
      <c r="AY364" s="45"/>
      <c r="AZ364" s="45"/>
      <c r="BA364" s="45"/>
      <c r="CM364" s="46"/>
      <c r="CO364" s="70"/>
    </row>
    <row r="365" spans="13:93" ht="15">
      <c r="M365" s="45"/>
      <c r="N365" s="45"/>
      <c r="O365" s="45"/>
      <c r="P365" s="45"/>
      <c r="AD365" s="36"/>
      <c r="AE365" s="36"/>
      <c r="AF365" s="36"/>
      <c r="AG365" s="36"/>
      <c r="AH365" s="36"/>
      <c r="AI365" s="36"/>
      <c r="AJ365" s="36"/>
      <c r="AK365" s="36"/>
      <c r="AT365" s="45"/>
      <c r="AU365" s="45"/>
      <c r="AV365" s="45"/>
      <c r="AW365" s="45"/>
      <c r="AX365" s="45"/>
      <c r="AY365" s="45"/>
      <c r="AZ365" s="45"/>
      <c r="BA365" s="45"/>
      <c r="CM365" s="46"/>
      <c r="CO365" s="70"/>
    </row>
    <row r="366" spans="13:93" ht="15">
      <c r="M366" s="45"/>
      <c r="N366" s="45"/>
      <c r="O366" s="45"/>
      <c r="P366" s="45"/>
      <c r="AD366" s="36"/>
      <c r="AE366" s="36"/>
      <c r="AF366" s="36"/>
      <c r="AG366" s="36"/>
      <c r="AH366" s="36"/>
      <c r="AI366" s="36"/>
      <c r="AJ366" s="36"/>
      <c r="AK366" s="36"/>
      <c r="AT366" s="45"/>
      <c r="AU366" s="45"/>
      <c r="AV366" s="45"/>
      <c r="AW366" s="45"/>
      <c r="AX366" s="45"/>
      <c r="AY366" s="45"/>
      <c r="AZ366" s="45"/>
      <c r="BA366" s="45"/>
      <c r="CM366" s="46"/>
      <c r="CO366" s="70"/>
    </row>
    <row r="367" spans="13:93" ht="15">
      <c r="M367" s="45"/>
      <c r="N367" s="45"/>
      <c r="O367" s="45"/>
      <c r="P367" s="45"/>
      <c r="AD367" s="36"/>
      <c r="AE367" s="36"/>
      <c r="AF367" s="36"/>
      <c r="AG367" s="36"/>
      <c r="AH367" s="36"/>
      <c r="AI367" s="36"/>
      <c r="AJ367" s="36"/>
      <c r="AK367" s="36"/>
      <c r="AT367" s="45"/>
      <c r="AU367" s="45"/>
      <c r="AV367" s="45"/>
      <c r="AW367" s="45"/>
      <c r="AX367" s="45"/>
      <c r="AY367" s="45"/>
      <c r="AZ367" s="45"/>
      <c r="BA367" s="45"/>
      <c r="CM367" s="46"/>
      <c r="CO367" s="70"/>
    </row>
    <row r="368" spans="13:93" ht="15">
      <c r="M368" s="45"/>
      <c r="N368" s="45"/>
      <c r="O368" s="45"/>
      <c r="P368" s="45"/>
      <c r="AD368" s="36"/>
      <c r="AE368" s="36"/>
      <c r="AF368" s="36"/>
      <c r="AG368" s="36"/>
      <c r="AH368" s="36"/>
      <c r="AI368" s="36"/>
      <c r="AJ368" s="36"/>
      <c r="AK368" s="36"/>
      <c r="AT368" s="45"/>
      <c r="AU368" s="45"/>
      <c r="AV368" s="45"/>
      <c r="AW368" s="45"/>
      <c r="AX368" s="45"/>
      <c r="AY368" s="45"/>
      <c r="AZ368" s="45"/>
      <c r="BA368" s="45"/>
      <c r="CM368" s="46"/>
      <c r="CO368" s="70"/>
    </row>
    <row r="369" spans="13:93" ht="15">
      <c r="M369" s="45"/>
      <c r="N369" s="45"/>
      <c r="O369" s="45"/>
      <c r="P369" s="45"/>
      <c r="AD369" s="36"/>
      <c r="AE369" s="36"/>
      <c r="AF369" s="36"/>
      <c r="AG369" s="36"/>
      <c r="AH369" s="36"/>
      <c r="AI369" s="36"/>
      <c r="AJ369" s="36"/>
      <c r="AK369" s="36"/>
      <c r="AT369" s="45"/>
      <c r="AU369" s="45"/>
      <c r="AV369" s="45"/>
      <c r="AW369" s="45"/>
      <c r="AX369" s="45"/>
      <c r="AY369" s="45"/>
      <c r="AZ369" s="45"/>
      <c r="BA369" s="45"/>
      <c r="CM369" s="46"/>
      <c r="CO369" s="70"/>
    </row>
    <row r="370" spans="13:93" ht="15">
      <c r="M370" s="45"/>
      <c r="N370" s="45"/>
      <c r="O370" s="45"/>
      <c r="P370" s="45"/>
      <c r="AD370" s="36"/>
      <c r="AE370" s="36"/>
      <c r="AF370" s="36"/>
      <c r="AG370" s="36"/>
      <c r="AH370" s="36"/>
      <c r="AI370" s="36"/>
      <c r="AJ370" s="36"/>
      <c r="AK370" s="36"/>
      <c r="AT370" s="45"/>
      <c r="AU370" s="45"/>
      <c r="AV370" s="45"/>
      <c r="AW370" s="45"/>
      <c r="AX370" s="45"/>
      <c r="AY370" s="45"/>
      <c r="AZ370" s="45"/>
      <c r="BA370" s="45"/>
      <c r="CM370" s="46"/>
      <c r="CO370" s="70"/>
    </row>
    <row r="371" spans="13:93" ht="15">
      <c r="M371" s="45"/>
      <c r="N371" s="45"/>
      <c r="O371" s="45"/>
      <c r="P371" s="45"/>
      <c r="AD371" s="36"/>
      <c r="AE371" s="36"/>
      <c r="AF371" s="36"/>
      <c r="AG371" s="36"/>
      <c r="AH371" s="36"/>
      <c r="AI371" s="36"/>
      <c r="AJ371" s="36"/>
      <c r="AK371" s="36"/>
      <c r="AT371" s="45"/>
      <c r="AU371" s="45"/>
      <c r="AV371" s="45"/>
      <c r="AW371" s="45"/>
      <c r="AX371" s="45"/>
      <c r="AY371" s="45"/>
      <c r="AZ371" s="45"/>
      <c r="BA371" s="45"/>
      <c r="CM371" s="46"/>
      <c r="CO371" s="70"/>
    </row>
    <row r="372" spans="13:93" ht="15">
      <c r="M372" s="45"/>
      <c r="N372" s="45"/>
      <c r="O372" s="45"/>
      <c r="P372" s="45"/>
      <c r="AD372" s="36"/>
      <c r="AE372" s="36"/>
      <c r="AF372" s="36"/>
      <c r="AG372" s="36"/>
      <c r="AH372" s="36"/>
      <c r="AI372" s="36"/>
      <c r="AJ372" s="36"/>
      <c r="AK372" s="36"/>
      <c r="AT372" s="45"/>
      <c r="AU372" s="45"/>
      <c r="AV372" s="45"/>
      <c r="AW372" s="45"/>
      <c r="AX372" s="45"/>
      <c r="AY372" s="45"/>
      <c r="AZ372" s="45"/>
      <c r="BA372" s="45"/>
      <c r="CM372" s="46"/>
      <c r="CO372" s="70"/>
    </row>
    <row r="373" spans="13:93" ht="15">
      <c r="M373" s="45"/>
      <c r="N373" s="45"/>
      <c r="O373" s="45"/>
      <c r="P373" s="45"/>
      <c r="AD373" s="36"/>
      <c r="AE373" s="36"/>
      <c r="AF373" s="36"/>
      <c r="AG373" s="36"/>
      <c r="AH373" s="36"/>
      <c r="AI373" s="36"/>
      <c r="AJ373" s="36"/>
      <c r="AK373" s="36"/>
      <c r="AT373" s="45"/>
      <c r="AU373" s="45"/>
      <c r="AV373" s="45"/>
      <c r="AW373" s="45"/>
      <c r="AX373" s="45"/>
      <c r="AY373" s="45"/>
      <c r="AZ373" s="45"/>
      <c r="BA373" s="45"/>
      <c r="CM373" s="46"/>
      <c r="CO373" s="70"/>
    </row>
    <row r="374" spans="13:93" ht="15">
      <c r="M374" s="45"/>
      <c r="N374" s="45"/>
      <c r="O374" s="45"/>
      <c r="P374" s="45"/>
      <c r="AD374" s="36"/>
      <c r="AE374" s="36"/>
      <c r="AF374" s="36"/>
      <c r="AG374" s="36"/>
      <c r="AH374" s="36"/>
      <c r="AI374" s="36"/>
      <c r="AJ374" s="36"/>
      <c r="AK374" s="36"/>
      <c r="AT374" s="45"/>
      <c r="AU374" s="45"/>
      <c r="AV374" s="45"/>
      <c r="AW374" s="45"/>
      <c r="AX374" s="45"/>
      <c r="AY374" s="45"/>
      <c r="AZ374" s="45"/>
      <c r="BA374" s="45"/>
      <c r="CM374" s="46"/>
      <c r="CO374" s="70"/>
    </row>
    <row r="375" spans="13:93" ht="15">
      <c r="M375" s="45"/>
      <c r="N375" s="45"/>
      <c r="O375" s="45"/>
      <c r="P375" s="45"/>
      <c r="AD375" s="36"/>
      <c r="AE375" s="36"/>
      <c r="AF375" s="36"/>
      <c r="AG375" s="36"/>
      <c r="AH375" s="36"/>
      <c r="AI375" s="36"/>
      <c r="AJ375" s="36"/>
      <c r="AK375" s="36"/>
      <c r="AT375" s="45"/>
      <c r="AU375" s="45"/>
      <c r="AV375" s="45"/>
      <c r="AW375" s="45"/>
      <c r="AX375" s="45"/>
      <c r="AY375" s="45"/>
      <c r="AZ375" s="45"/>
      <c r="BA375" s="45"/>
      <c r="CM375" s="46"/>
      <c r="CO375" s="70"/>
    </row>
    <row r="376" spans="13:93" ht="15">
      <c r="M376" s="45"/>
      <c r="N376" s="45"/>
      <c r="O376" s="45"/>
      <c r="P376" s="45"/>
      <c r="AD376" s="36"/>
      <c r="AE376" s="36"/>
      <c r="AF376" s="36"/>
      <c r="AG376" s="36"/>
      <c r="AH376" s="36"/>
      <c r="AI376" s="36"/>
      <c r="AJ376" s="36"/>
      <c r="AK376" s="36"/>
      <c r="AT376" s="45"/>
      <c r="AU376" s="45"/>
      <c r="AV376" s="45"/>
      <c r="AW376" s="45"/>
      <c r="AX376" s="45"/>
      <c r="AY376" s="45"/>
      <c r="AZ376" s="45"/>
      <c r="BA376" s="45"/>
      <c r="CM376" s="46"/>
      <c r="CO376" s="70"/>
    </row>
    <row r="377" spans="13:93" ht="15">
      <c r="M377" s="45"/>
      <c r="N377" s="45"/>
      <c r="O377" s="45"/>
      <c r="P377" s="45"/>
      <c r="AD377" s="36"/>
      <c r="AE377" s="36"/>
      <c r="AF377" s="36"/>
      <c r="AG377" s="36"/>
      <c r="AH377" s="36"/>
      <c r="AI377" s="36"/>
      <c r="AJ377" s="36"/>
      <c r="AK377" s="36"/>
      <c r="AT377" s="45"/>
      <c r="AU377" s="45"/>
      <c r="AV377" s="45"/>
      <c r="AW377" s="45"/>
      <c r="AX377" s="45"/>
      <c r="AY377" s="45"/>
      <c r="AZ377" s="45"/>
      <c r="BA377" s="45"/>
      <c r="CM377" s="46"/>
      <c r="CO377" s="70"/>
    </row>
    <row r="378" spans="13:93" ht="15">
      <c r="M378" s="45"/>
      <c r="N378" s="45"/>
      <c r="O378" s="45"/>
      <c r="P378" s="45"/>
      <c r="AD378" s="36"/>
      <c r="AE378" s="36"/>
      <c r="AF378" s="36"/>
      <c r="AG378" s="36"/>
      <c r="AH378" s="36"/>
      <c r="AI378" s="36"/>
      <c r="AJ378" s="36"/>
      <c r="AK378" s="36"/>
      <c r="AT378" s="45"/>
      <c r="AU378" s="45"/>
      <c r="AV378" s="45"/>
      <c r="AW378" s="45"/>
      <c r="AX378" s="45"/>
      <c r="AY378" s="45"/>
      <c r="AZ378" s="45"/>
      <c r="BA378" s="45"/>
      <c r="CM378" s="46"/>
      <c r="CO378" s="70"/>
    </row>
    <row r="379" spans="13:93" ht="15">
      <c r="M379" s="45"/>
      <c r="N379" s="45"/>
      <c r="O379" s="45"/>
      <c r="P379" s="45"/>
      <c r="AD379" s="36"/>
      <c r="AE379" s="36"/>
      <c r="AF379" s="36"/>
      <c r="AG379" s="36"/>
      <c r="AH379" s="36"/>
      <c r="AI379" s="36"/>
      <c r="AJ379" s="36"/>
      <c r="AK379" s="36"/>
      <c r="AT379" s="45"/>
      <c r="AU379" s="45"/>
      <c r="AV379" s="45"/>
      <c r="AW379" s="45"/>
      <c r="AX379" s="45"/>
      <c r="AY379" s="45"/>
      <c r="AZ379" s="45"/>
      <c r="BA379" s="45"/>
      <c r="CM379" s="46"/>
      <c r="CO379" s="70"/>
    </row>
    <row r="380" spans="13:93" ht="15">
      <c r="M380" s="45"/>
      <c r="N380" s="45"/>
      <c r="O380" s="45"/>
      <c r="P380" s="45"/>
      <c r="AD380" s="36"/>
      <c r="AE380" s="36"/>
      <c r="AF380" s="36"/>
      <c r="AG380" s="36"/>
      <c r="AH380" s="36"/>
      <c r="AI380" s="36"/>
      <c r="AJ380" s="36"/>
      <c r="AK380" s="36"/>
      <c r="AT380" s="45"/>
      <c r="AU380" s="45"/>
      <c r="AV380" s="45"/>
      <c r="AW380" s="45"/>
      <c r="AX380" s="45"/>
      <c r="AY380" s="45"/>
      <c r="AZ380" s="45"/>
      <c r="BA380" s="45"/>
      <c r="CM380" s="46"/>
      <c r="CO380" s="70"/>
    </row>
    <row r="381" spans="13:93" ht="15">
      <c r="M381" s="45"/>
      <c r="N381" s="45"/>
      <c r="O381" s="45"/>
      <c r="P381" s="45"/>
      <c r="AD381" s="36"/>
      <c r="AE381" s="36"/>
      <c r="AF381" s="36"/>
      <c r="AG381" s="36"/>
      <c r="AH381" s="36"/>
      <c r="AI381" s="36"/>
      <c r="AJ381" s="36"/>
      <c r="AK381" s="36"/>
      <c r="AT381" s="45"/>
      <c r="AU381" s="45"/>
      <c r="AV381" s="45"/>
      <c r="AW381" s="45"/>
      <c r="AX381" s="45"/>
      <c r="AY381" s="45"/>
      <c r="AZ381" s="45"/>
      <c r="BA381" s="45"/>
      <c r="CM381" s="46"/>
      <c r="CO381" s="70"/>
    </row>
    <row r="382" spans="13:93" ht="15">
      <c r="M382" s="45"/>
      <c r="N382" s="45"/>
      <c r="O382" s="45"/>
      <c r="P382" s="45"/>
      <c r="AD382" s="36"/>
      <c r="AE382" s="36"/>
      <c r="AF382" s="36"/>
      <c r="AG382" s="36"/>
      <c r="AH382" s="36"/>
      <c r="AI382" s="36"/>
      <c r="AJ382" s="36"/>
      <c r="AK382" s="36"/>
      <c r="AT382" s="45"/>
      <c r="AU382" s="45"/>
      <c r="AV382" s="45"/>
      <c r="AW382" s="45"/>
      <c r="AX382" s="45"/>
      <c r="AY382" s="45"/>
      <c r="AZ382" s="45"/>
      <c r="BA382" s="45"/>
      <c r="CM382" s="46"/>
      <c r="CO382" s="70"/>
    </row>
    <row r="383" spans="13:93" ht="15">
      <c r="M383" s="45"/>
      <c r="N383" s="45"/>
      <c r="O383" s="45"/>
      <c r="P383" s="45"/>
      <c r="AD383" s="36"/>
      <c r="AE383" s="36"/>
      <c r="AF383" s="36"/>
      <c r="AG383" s="36"/>
      <c r="AH383" s="36"/>
      <c r="AI383" s="36"/>
      <c r="AJ383" s="36"/>
      <c r="AK383" s="36"/>
      <c r="AT383" s="45"/>
      <c r="AU383" s="45"/>
      <c r="AV383" s="45"/>
      <c r="AW383" s="45"/>
      <c r="AX383" s="45"/>
      <c r="AY383" s="45"/>
      <c r="AZ383" s="45"/>
      <c r="BA383" s="45"/>
      <c r="CM383" s="46"/>
      <c r="CO383" s="70"/>
    </row>
    <row r="384" spans="13:93" ht="15">
      <c r="M384" s="45"/>
      <c r="N384" s="45"/>
      <c r="O384" s="45"/>
      <c r="P384" s="45"/>
      <c r="AD384" s="36"/>
      <c r="AE384" s="36"/>
      <c r="AF384" s="36"/>
      <c r="AG384" s="36"/>
      <c r="AH384" s="36"/>
      <c r="AI384" s="36"/>
      <c r="AJ384" s="36"/>
      <c r="AK384" s="36"/>
      <c r="AT384" s="45"/>
      <c r="AU384" s="45"/>
      <c r="AV384" s="45"/>
      <c r="AW384" s="45"/>
      <c r="AX384" s="45"/>
      <c r="AY384" s="45"/>
      <c r="AZ384" s="45"/>
      <c r="BA384" s="45"/>
      <c r="CM384" s="46"/>
      <c r="CO384" s="70"/>
    </row>
    <row r="385" spans="13:93" ht="15">
      <c r="M385" s="45"/>
      <c r="N385" s="45"/>
      <c r="O385" s="45"/>
      <c r="P385" s="45"/>
      <c r="AD385" s="36"/>
      <c r="AE385" s="36"/>
      <c r="AF385" s="36"/>
      <c r="AG385" s="36"/>
      <c r="AH385" s="36"/>
      <c r="AI385" s="36"/>
      <c r="AJ385" s="36"/>
      <c r="AK385" s="36"/>
      <c r="AT385" s="45"/>
      <c r="AU385" s="45"/>
      <c r="AV385" s="45"/>
      <c r="AW385" s="45"/>
      <c r="AX385" s="45"/>
      <c r="AY385" s="45"/>
      <c r="AZ385" s="45"/>
      <c r="BA385" s="45"/>
      <c r="CM385" s="46"/>
      <c r="CO385" s="70"/>
    </row>
    <row r="386" spans="13:93" ht="15">
      <c r="M386" s="45"/>
      <c r="N386" s="45"/>
      <c r="O386" s="45"/>
      <c r="P386" s="45"/>
      <c r="AD386" s="36"/>
      <c r="AE386" s="36"/>
      <c r="AF386" s="36"/>
      <c r="AG386" s="36"/>
      <c r="AH386" s="36"/>
      <c r="AI386" s="36"/>
      <c r="AJ386" s="36"/>
      <c r="AK386" s="36"/>
      <c r="AT386" s="45"/>
      <c r="AU386" s="45"/>
      <c r="AV386" s="45"/>
      <c r="AW386" s="45"/>
      <c r="AX386" s="45"/>
      <c r="AY386" s="45"/>
      <c r="AZ386" s="45"/>
      <c r="BA386" s="45"/>
      <c r="CM386" s="46"/>
      <c r="CO386" s="70"/>
    </row>
    <row r="387" spans="13:93" ht="15">
      <c r="M387" s="45"/>
      <c r="N387" s="45"/>
      <c r="O387" s="45"/>
      <c r="P387" s="45"/>
      <c r="AD387" s="36"/>
      <c r="AE387" s="36"/>
      <c r="AF387" s="36"/>
      <c r="AG387" s="36"/>
      <c r="AH387" s="36"/>
      <c r="AI387" s="36"/>
      <c r="AJ387" s="36"/>
      <c r="AK387" s="36"/>
      <c r="AT387" s="45"/>
      <c r="AU387" s="45"/>
      <c r="AV387" s="45"/>
      <c r="AW387" s="45"/>
      <c r="AX387" s="45"/>
      <c r="AY387" s="45"/>
      <c r="AZ387" s="45"/>
      <c r="BA387" s="45"/>
      <c r="CM387" s="46"/>
      <c r="CO387" s="70"/>
    </row>
    <row r="388" spans="13:93" ht="15">
      <c r="M388" s="45"/>
      <c r="N388" s="45"/>
      <c r="O388" s="45"/>
      <c r="P388" s="45"/>
      <c r="AD388" s="36"/>
      <c r="AE388" s="36"/>
      <c r="AF388" s="36"/>
      <c r="AG388" s="36"/>
      <c r="AH388" s="36"/>
      <c r="AI388" s="36"/>
      <c r="AJ388" s="36"/>
      <c r="AK388" s="36"/>
      <c r="AT388" s="45"/>
      <c r="AU388" s="45"/>
      <c r="AV388" s="45"/>
      <c r="AW388" s="45"/>
      <c r="AX388" s="45"/>
      <c r="AY388" s="45"/>
      <c r="AZ388" s="45"/>
      <c r="BA388" s="45"/>
      <c r="CM388" s="46"/>
      <c r="CO388" s="70"/>
    </row>
    <row r="389" spans="13:93" ht="15">
      <c r="M389" s="45"/>
      <c r="N389" s="45"/>
      <c r="O389" s="45"/>
      <c r="P389" s="45"/>
      <c r="AD389" s="36"/>
      <c r="AE389" s="36"/>
      <c r="AF389" s="36"/>
      <c r="AG389" s="36"/>
      <c r="AH389" s="36"/>
      <c r="AI389" s="36"/>
      <c r="AJ389" s="36"/>
      <c r="AK389" s="36"/>
      <c r="AT389" s="45"/>
      <c r="AU389" s="45"/>
      <c r="AV389" s="45"/>
      <c r="AW389" s="45"/>
      <c r="AX389" s="45"/>
      <c r="AY389" s="45"/>
      <c r="AZ389" s="45"/>
      <c r="BA389" s="45"/>
      <c r="CM389" s="46"/>
      <c r="CO389" s="70"/>
    </row>
    <row r="390" spans="13:93" ht="15">
      <c r="M390" s="45"/>
      <c r="N390" s="45"/>
      <c r="O390" s="45"/>
      <c r="P390" s="45"/>
      <c r="AD390" s="36"/>
      <c r="AE390" s="36"/>
      <c r="AF390" s="36"/>
      <c r="AG390" s="36"/>
      <c r="AH390" s="36"/>
      <c r="AI390" s="36"/>
      <c r="AJ390" s="36"/>
      <c r="AK390" s="36"/>
      <c r="AT390" s="45"/>
      <c r="AU390" s="45"/>
      <c r="AV390" s="45"/>
      <c r="AW390" s="45"/>
      <c r="AX390" s="45"/>
      <c r="AY390" s="45"/>
      <c r="AZ390" s="45"/>
      <c r="BA390" s="45"/>
      <c r="CM390" s="46"/>
      <c r="CO390" s="70"/>
    </row>
    <row r="391" spans="13:93" ht="15">
      <c r="M391" s="45"/>
      <c r="N391" s="45"/>
      <c r="O391" s="45"/>
      <c r="P391" s="45"/>
      <c r="AD391" s="36"/>
      <c r="AE391" s="36"/>
      <c r="AF391" s="36"/>
      <c r="AG391" s="36"/>
      <c r="AH391" s="36"/>
      <c r="AI391" s="36"/>
      <c r="AJ391" s="36"/>
      <c r="AK391" s="36"/>
      <c r="AT391" s="45"/>
      <c r="AU391" s="45"/>
      <c r="AV391" s="45"/>
      <c r="AW391" s="45"/>
      <c r="AX391" s="45"/>
      <c r="AY391" s="45"/>
      <c r="AZ391" s="45"/>
      <c r="BA391" s="45"/>
      <c r="CM391" s="46"/>
      <c r="CO391" s="70"/>
    </row>
    <row r="392" spans="13:93" ht="15">
      <c r="M392" s="45"/>
      <c r="N392" s="45"/>
      <c r="O392" s="45"/>
      <c r="P392" s="45"/>
      <c r="AD392" s="36"/>
      <c r="AE392" s="36"/>
      <c r="AF392" s="36"/>
      <c r="AG392" s="36"/>
      <c r="AH392" s="36"/>
      <c r="AI392" s="36"/>
      <c r="AJ392" s="36"/>
      <c r="AK392" s="36"/>
      <c r="AT392" s="45"/>
      <c r="AU392" s="45"/>
      <c r="AV392" s="45"/>
      <c r="AW392" s="45"/>
      <c r="AX392" s="45"/>
      <c r="AY392" s="45"/>
      <c r="AZ392" s="45"/>
      <c r="BA392" s="45"/>
      <c r="CM392" s="46"/>
      <c r="CO392" s="70"/>
    </row>
    <row r="393" spans="13:93" ht="15">
      <c r="M393" s="45"/>
      <c r="N393" s="45"/>
      <c r="O393" s="45"/>
      <c r="P393" s="45"/>
      <c r="AD393" s="36"/>
      <c r="AE393" s="36"/>
      <c r="AF393" s="36"/>
      <c r="AG393" s="36"/>
      <c r="AH393" s="36"/>
      <c r="AI393" s="36"/>
      <c r="AJ393" s="36"/>
      <c r="AK393" s="36"/>
      <c r="AT393" s="45"/>
      <c r="AU393" s="45"/>
      <c r="AV393" s="45"/>
      <c r="AW393" s="45"/>
      <c r="AX393" s="45"/>
      <c r="AY393" s="45"/>
      <c r="AZ393" s="45"/>
      <c r="BA393" s="45"/>
      <c r="CM393" s="46"/>
      <c r="CO393" s="70"/>
    </row>
    <row r="394" spans="13:93" ht="15">
      <c r="M394" s="45"/>
      <c r="N394" s="45"/>
      <c r="O394" s="45"/>
      <c r="P394" s="45"/>
      <c r="AD394" s="36"/>
      <c r="AE394" s="36"/>
      <c r="AF394" s="36"/>
      <c r="AG394" s="36"/>
      <c r="AH394" s="36"/>
      <c r="AI394" s="36"/>
      <c r="AJ394" s="36"/>
      <c r="AK394" s="36"/>
      <c r="AT394" s="45"/>
      <c r="AU394" s="45"/>
      <c r="AV394" s="45"/>
      <c r="AW394" s="45"/>
      <c r="AX394" s="45"/>
      <c r="AY394" s="45"/>
      <c r="AZ394" s="45"/>
      <c r="BA394" s="45"/>
      <c r="CM394" s="46"/>
      <c r="CO394" s="70"/>
    </row>
    <row r="395" spans="13:93" ht="15">
      <c r="M395" s="45"/>
      <c r="N395" s="45"/>
      <c r="O395" s="45"/>
      <c r="P395" s="45"/>
      <c r="AD395" s="36"/>
      <c r="AE395" s="36"/>
      <c r="AF395" s="36"/>
      <c r="AG395" s="36"/>
      <c r="AH395" s="36"/>
      <c r="AI395" s="36"/>
      <c r="AJ395" s="36"/>
      <c r="AK395" s="36"/>
      <c r="AT395" s="45"/>
      <c r="AU395" s="45"/>
      <c r="AV395" s="45"/>
      <c r="AW395" s="45"/>
      <c r="AX395" s="45"/>
      <c r="AY395" s="45"/>
      <c r="AZ395" s="45"/>
      <c r="BA395" s="45"/>
      <c r="CM395" s="46"/>
      <c r="CO395" s="70"/>
    </row>
    <row r="396" spans="13:93" ht="15">
      <c r="M396" s="45"/>
      <c r="N396" s="45"/>
      <c r="O396" s="45"/>
      <c r="P396" s="45"/>
      <c r="AD396" s="36"/>
      <c r="AE396" s="36"/>
      <c r="AF396" s="36"/>
      <c r="AG396" s="36"/>
      <c r="AH396" s="36"/>
      <c r="AI396" s="36"/>
      <c r="AJ396" s="36"/>
      <c r="AK396" s="36"/>
      <c r="AT396" s="45"/>
      <c r="AU396" s="45"/>
      <c r="AV396" s="45"/>
      <c r="AW396" s="45"/>
      <c r="AX396" s="45"/>
      <c r="AY396" s="45"/>
      <c r="AZ396" s="45"/>
      <c r="BA396" s="45"/>
      <c r="CM396" s="46"/>
      <c r="CO396" s="70"/>
    </row>
    <row r="397" spans="13:93" ht="15">
      <c r="M397" s="45"/>
      <c r="N397" s="45"/>
      <c r="O397" s="45"/>
      <c r="P397" s="45"/>
      <c r="AD397" s="36"/>
      <c r="AE397" s="36"/>
      <c r="AF397" s="36"/>
      <c r="AG397" s="36"/>
      <c r="AH397" s="36"/>
      <c r="AI397" s="36"/>
      <c r="AJ397" s="36"/>
      <c r="AK397" s="36"/>
      <c r="AT397" s="45"/>
      <c r="AU397" s="45"/>
      <c r="AV397" s="45"/>
      <c r="AW397" s="45"/>
      <c r="AX397" s="45"/>
      <c r="AY397" s="45"/>
      <c r="AZ397" s="45"/>
      <c r="BA397" s="45"/>
      <c r="CM397" s="46"/>
      <c r="CO397" s="70"/>
    </row>
    <row r="398" spans="13:93" ht="15">
      <c r="M398" s="45"/>
      <c r="N398" s="45"/>
      <c r="O398" s="45"/>
      <c r="P398" s="45"/>
      <c r="AD398" s="36"/>
      <c r="AE398" s="36"/>
      <c r="AF398" s="36"/>
      <c r="AG398" s="36"/>
      <c r="AH398" s="36"/>
      <c r="AI398" s="36"/>
      <c r="AJ398" s="36"/>
      <c r="AK398" s="36"/>
      <c r="AT398" s="45"/>
      <c r="AU398" s="45"/>
      <c r="AV398" s="45"/>
      <c r="AW398" s="45"/>
      <c r="AX398" s="45"/>
      <c r="AY398" s="45"/>
      <c r="AZ398" s="45"/>
      <c r="BA398" s="45"/>
      <c r="CM398" s="46"/>
      <c r="CO398" s="70"/>
    </row>
    <row r="399" spans="13:93" ht="15">
      <c r="M399" s="45"/>
      <c r="N399" s="45"/>
      <c r="O399" s="45"/>
      <c r="P399" s="45"/>
      <c r="AD399" s="36"/>
      <c r="AE399" s="36"/>
      <c r="AF399" s="36"/>
      <c r="AG399" s="36"/>
      <c r="AH399" s="36"/>
      <c r="AI399" s="36"/>
      <c r="AJ399" s="36"/>
      <c r="AK399" s="36"/>
      <c r="AT399" s="45"/>
      <c r="AU399" s="45"/>
      <c r="AV399" s="45"/>
      <c r="AW399" s="45"/>
      <c r="AX399" s="45"/>
      <c r="AY399" s="45"/>
      <c r="AZ399" s="45"/>
      <c r="BA399" s="45"/>
      <c r="CM399" s="46"/>
      <c r="CO399" s="70"/>
    </row>
    <row r="400" spans="13:93" ht="15">
      <c r="M400" s="45"/>
      <c r="N400" s="45"/>
      <c r="O400" s="45"/>
      <c r="P400" s="45"/>
      <c r="AD400" s="36"/>
      <c r="AE400" s="36"/>
      <c r="AF400" s="36"/>
      <c r="AG400" s="36"/>
      <c r="AH400" s="36"/>
      <c r="AI400" s="36"/>
      <c r="AJ400" s="36"/>
      <c r="AK400" s="36"/>
      <c r="AT400" s="45"/>
      <c r="AU400" s="45"/>
      <c r="AV400" s="45"/>
      <c r="AW400" s="45"/>
      <c r="AX400" s="45"/>
      <c r="AY400" s="45"/>
      <c r="AZ400" s="45"/>
      <c r="BA400" s="45"/>
      <c r="CM400" s="46"/>
      <c r="CO400" s="70"/>
    </row>
    <row r="401" spans="13:93" ht="15">
      <c r="M401" s="45"/>
      <c r="N401" s="45"/>
      <c r="O401" s="45"/>
      <c r="P401" s="45"/>
      <c r="AD401" s="36"/>
      <c r="AE401" s="36"/>
      <c r="AF401" s="36"/>
      <c r="AG401" s="36"/>
      <c r="AH401" s="36"/>
      <c r="AI401" s="36"/>
      <c r="AJ401" s="36"/>
      <c r="AK401" s="36"/>
      <c r="AT401" s="45"/>
      <c r="AU401" s="45"/>
      <c r="AV401" s="45"/>
      <c r="AW401" s="45"/>
      <c r="AX401" s="45"/>
      <c r="AY401" s="45"/>
      <c r="AZ401" s="45"/>
      <c r="BA401" s="45"/>
      <c r="CM401" s="46"/>
      <c r="CO401" s="70"/>
    </row>
    <row r="402" spans="13:93" ht="15">
      <c r="M402" s="45"/>
      <c r="N402" s="45"/>
      <c r="O402" s="45"/>
      <c r="P402" s="45"/>
      <c r="AD402" s="36"/>
      <c r="AE402" s="36"/>
      <c r="AF402" s="36"/>
      <c r="AG402" s="36"/>
      <c r="AH402" s="36"/>
      <c r="AI402" s="36"/>
      <c r="AJ402" s="36"/>
      <c r="AK402" s="36"/>
      <c r="AT402" s="45"/>
      <c r="AU402" s="45"/>
      <c r="AV402" s="45"/>
      <c r="AW402" s="45"/>
      <c r="AX402" s="45"/>
      <c r="AY402" s="45"/>
      <c r="AZ402" s="45"/>
      <c r="BA402" s="45"/>
      <c r="CM402" s="46"/>
      <c r="CO402" s="70"/>
    </row>
    <row r="403" spans="13:93" ht="15">
      <c r="M403" s="45"/>
      <c r="N403" s="45"/>
      <c r="O403" s="45"/>
      <c r="P403" s="45"/>
      <c r="AD403" s="36"/>
      <c r="AE403" s="36"/>
      <c r="AF403" s="36"/>
      <c r="AG403" s="36"/>
      <c r="AH403" s="36"/>
      <c r="AI403" s="36"/>
      <c r="AJ403" s="36"/>
      <c r="AK403" s="36"/>
      <c r="AT403" s="45"/>
      <c r="AU403" s="45"/>
      <c r="AV403" s="45"/>
      <c r="AW403" s="45"/>
      <c r="AX403" s="45"/>
      <c r="AY403" s="45"/>
      <c r="AZ403" s="45"/>
      <c r="BA403" s="45"/>
      <c r="CM403" s="46"/>
      <c r="CO403" s="70"/>
    </row>
    <row r="404" spans="13:93" ht="15">
      <c r="M404" s="45"/>
      <c r="N404" s="45"/>
      <c r="O404" s="45"/>
      <c r="P404" s="45"/>
      <c r="AD404" s="36"/>
      <c r="AE404" s="36"/>
      <c r="AF404" s="36"/>
      <c r="AG404" s="36"/>
      <c r="AH404" s="36"/>
      <c r="AI404" s="36"/>
      <c r="AJ404" s="36"/>
      <c r="AK404" s="36"/>
      <c r="AT404" s="45"/>
      <c r="AU404" s="45"/>
      <c r="AV404" s="45"/>
      <c r="AW404" s="45"/>
      <c r="AX404" s="45"/>
      <c r="AY404" s="45"/>
      <c r="AZ404" s="45"/>
      <c r="BA404" s="45"/>
      <c r="CM404" s="46"/>
      <c r="CO404" s="70"/>
    </row>
    <row r="405" spans="13:93" ht="15">
      <c r="M405" s="45"/>
      <c r="N405" s="45"/>
      <c r="O405" s="45"/>
      <c r="P405" s="45"/>
      <c r="AD405" s="36"/>
      <c r="AE405" s="36"/>
      <c r="AF405" s="36"/>
      <c r="AG405" s="36"/>
      <c r="AH405" s="36"/>
      <c r="AI405" s="36"/>
      <c r="AJ405" s="36"/>
      <c r="AK405" s="36"/>
      <c r="AT405" s="45"/>
      <c r="AU405" s="45"/>
      <c r="AV405" s="45"/>
      <c r="AW405" s="45"/>
      <c r="AX405" s="45"/>
      <c r="AY405" s="45"/>
      <c r="AZ405" s="45"/>
      <c r="BA405" s="45"/>
      <c r="CM405" s="46"/>
      <c r="CO405" s="70"/>
    </row>
    <row r="406" spans="13:93" ht="15">
      <c r="M406" s="45"/>
      <c r="N406" s="45"/>
      <c r="O406" s="45"/>
      <c r="P406" s="45"/>
      <c r="AD406" s="36"/>
      <c r="AE406" s="36"/>
      <c r="AF406" s="36"/>
      <c r="AG406" s="36"/>
      <c r="AH406" s="36"/>
      <c r="AI406" s="36"/>
      <c r="AJ406" s="36"/>
      <c r="AK406" s="36"/>
      <c r="AT406" s="45"/>
      <c r="AU406" s="45"/>
      <c r="AV406" s="45"/>
      <c r="AW406" s="45"/>
      <c r="AX406" s="45"/>
      <c r="AY406" s="45"/>
      <c r="AZ406" s="45"/>
      <c r="BA406" s="45"/>
      <c r="CM406" s="46"/>
      <c r="CO406" s="70"/>
    </row>
    <row r="407" spans="13:93" ht="15">
      <c r="M407" s="45"/>
      <c r="N407" s="45"/>
      <c r="O407" s="45"/>
      <c r="P407" s="45"/>
      <c r="AD407" s="36"/>
      <c r="AE407" s="36"/>
      <c r="AF407" s="36"/>
      <c r="AG407" s="36"/>
      <c r="AH407" s="36"/>
      <c r="AI407" s="36"/>
      <c r="AJ407" s="36"/>
      <c r="AK407" s="36"/>
      <c r="AT407" s="45"/>
      <c r="AU407" s="45"/>
      <c r="AV407" s="45"/>
      <c r="AW407" s="45"/>
      <c r="AX407" s="45"/>
      <c r="AY407" s="45"/>
      <c r="AZ407" s="45"/>
      <c r="BA407" s="45"/>
      <c r="CM407" s="46"/>
      <c r="CO407" s="70"/>
    </row>
    <row r="408" spans="13:93" ht="15">
      <c r="M408" s="45"/>
      <c r="N408" s="45"/>
      <c r="O408" s="45"/>
      <c r="P408" s="45"/>
      <c r="AD408" s="36"/>
      <c r="AE408" s="36"/>
      <c r="AF408" s="36"/>
      <c r="AG408" s="36"/>
      <c r="AH408" s="36"/>
      <c r="AI408" s="36"/>
      <c r="AJ408" s="36"/>
      <c r="AK408" s="36"/>
      <c r="AT408" s="45"/>
      <c r="AU408" s="45"/>
      <c r="AV408" s="45"/>
      <c r="AW408" s="45"/>
      <c r="AX408" s="45"/>
      <c r="AY408" s="45"/>
      <c r="AZ408" s="45"/>
      <c r="BA408" s="45"/>
      <c r="CM408" s="46"/>
      <c r="CO408" s="70"/>
    </row>
    <row r="409" spans="13:93" ht="15">
      <c r="M409" s="45"/>
      <c r="N409" s="45"/>
      <c r="O409" s="45"/>
      <c r="P409" s="45"/>
      <c r="AD409" s="36"/>
      <c r="AE409" s="36"/>
      <c r="AF409" s="36"/>
      <c r="AG409" s="36"/>
      <c r="AH409" s="36"/>
      <c r="AI409" s="36"/>
      <c r="AJ409" s="36"/>
      <c r="AK409" s="36"/>
      <c r="AT409" s="45"/>
      <c r="AU409" s="45"/>
      <c r="AV409" s="45"/>
      <c r="AW409" s="45"/>
      <c r="AX409" s="45"/>
      <c r="AY409" s="45"/>
      <c r="AZ409" s="45"/>
      <c r="BA409" s="45"/>
      <c r="CM409" s="46"/>
      <c r="CO409" s="70"/>
    </row>
    <row r="410" spans="13:93" ht="15">
      <c r="M410" s="45"/>
      <c r="N410" s="45"/>
      <c r="O410" s="45"/>
      <c r="P410" s="45"/>
      <c r="AD410" s="36"/>
      <c r="AE410" s="36"/>
      <c r="AF410" s="36"/>
      <c r="AG410" s="36"/>
      <c r="AH410" s="36"/>
      <c r="AI410" s="36"/>
      <c r="AJ410" s="36"/>
      <c r="AK410" s="36"/>
      <c r="AT410" s="45"/>
      <c r="AU410" s="45"/>
      <c r="AV410" s="45"/>
      <c r="AW410" s="45"/>
      <c r="AX410" s="45"/>
      <c r="AY410" s="45"/>
      <c r="AZ410" s="45"/>
      <c r="BA410" s="45"/>
      <c r="CM410" s="46"/>
      <c r="CO410" s="70"/>
    </row>
    <row r="411" spans="13:93" ht="15">
      <c r="M411" s="45"/>
      <c r="N411" s="45"/>
      <c r="O411" s="45"/>
      <c r="P411" s="45"/>
      <c r="AD411" s="36"/>
      <c r="AE411" s="36"/>
      <c r="AF411" s="36"/>
      <c r="AG411" s="36"/>
      <c r="AH411" s="36"/>
      <c r="AI411" s="36"/>
      <c r="AJ411" s="36"/>
      <c r="AK411" s="36"/>
      <c r="AT411" s="45"/>
      <c r="AU411" s="45"/>
      <c r="AV411" s="45"/>
      <c r="AW411" s="45"/>
      <c r="AX411" s="45"/>
      <c r="AY411" s="45"/>
      <c r="AZ411" s="45"/>
      <c r="BA411" s="45"/>
      <c r="CM411" s="46"/>
      <c r="CO411" s="70"/>
    </row>
    <row r="412" spans="13:93" ht="15">
      <c r="M412" s="45"/>
      <c r="N412" s="45"/>
      <c r="O412" s="45"/>
      <c r="P412" s="45"/>
      <c r="AD412" s="36"/>
      <c r="AE412" s="36"/>
      <c r="AF412" s="36"/>
      <c r="AG412" s="36"/>
      <c r="AH412" s="36"/>
      <c r="AI412" s="36"/>
      <c r="AJ412" s="36"/>
      <c r="AK412" s="36"/>
      <c r="AT412" s="45"/>
      <c r="AU412" s="45"/>
      <c r="AV412" s="45"/>
      <c r="AW412" s="45"/>
      <c r="AX412" s="45"/>
      <c r="AY412" s="45"/>
      <c r="AZ412" s="45"/>
      <c r="BA412" s="45"/>
      <c r="CM412" s="46"/>
      <c r="CO412" s="70"/>
    </row>
    <row r="413" spans="13:93" ht="15">
      <c r="M413" s="45"/>
      <c r="N413" s="45"/>
      <c r="O413" s="45"/>
      <c r="P413" s="45"/>
      <c r="AD413" s="36"/>
      <c r="AE413" s="36"/>
      <c r="AF413" s="36"/>
      <c r="AG413" s="36"/>
      <c r="AH413" s="36"/>
      <c r="AI413" s="36"/>
      <c r="AJ413" s="36"/>
      <c r="AK413" s="36"/>
      <c r="AT413" s="45"/>
      <c r="AU413" s="45"/>
      <c r="AV413" s="45"/>
      <c r="AW413" s="45"/>
      <c r="AX413" s="45"/>
      <c r="AY413" s="45"/>
      <c r="AZ413" s="45"/>
      <c r="BA413" s="45"/>
      <c r="CM413" s="46"/>
      <c r="CO413" s="70"/>
    </row>
    <row r="414" spans="13:93" ht="15">
      <c r="M414" s="45"/>
      <c r="N414" s="45"/>
      <c r="O414" s="45"/>
      <c r="P414" s="45"/>
      <c r="AD414" s="36"/>
      <c r="AE414" s="36"/>
      <c r="AF414" s="36"/>
      <c r="AG414" s="36"/>
      <c r="AH414" s="36"/>
      <c r="AI414" s="36"/>
      <c r="AJ414" s="36"/>
      <c r="AK414" s="36"/>
      <c r="AT414" s="45"/>
      <c r="AU414" s="45"/>
      <c r="AV414" s="45"/>
      <c r="AW414" s="45"/>
      <c r="AX414" s="45"/>
      <c r="AY414" s="45"/>
      <c r="AZ414" s="45"/>
      <c r="BA414" s="45"/>
      <c r="CM414" s="46"/>
      <c r="CO414" s="70"/>
    </row>
    <row r="415" spans="13:93" ht="15">
      <c r="M415" s="45"/>
      <c r="N415" s="45"/>
      <c r="O415" s="45"/>
      <c r="P415" s="45"/>
      <c r="AD415" s="36"/>
      <c r="AE415" s="36"/>
      <c r="AF415" s="36"/>
      <c r="AG415" s="36"/>
      <c r="AH415" s="36"/>
      <c r="AI415" s="36"/>
      <c r="AJ415" s="36"/>
      <c r="AK415" s="36"/>
      <c r="AT415" s="45"/>
      <c r="AU415" s="45"/>
      <c r="AV415" s="45"/>
      <c r="AW415" s="45"/>
      <c r="AX415" s="45"/>
      <c r="AY415" s="45"/>
      <c r="AZ415" s="45"/>
      <c r="BA415" s="45"/>
      <c r="CM415" s="46"/>
      <c r="CO415" s="70"/>
    </row>
    <row r="416" spans="13:93" ht="15">
      <c r="M416" s="45"/>
      <c r="N416" s="45"/>
      <c r="O416" s="45"/>
      <c r="P416" s="45"/>
      <c r="AD416" s="36"/>
      <c r="AE416" s="36"/>
      <c r="AF416" s="36"/>
      <c r="AG416" s="36"/>
      <c r="AH416" s="36"/>
      <c r="AI416" s="36"/>
      <c r="AJ416" s="36"/>
      <c r="AK416" s="36"/>
      <c r="AT416" s="45"/>
      <c r="AU416" s="45"/>
      <c r="AV416" s="45"/>
      <c r="AW416" s="45"/>
      <c r="AX416" s="45"/>
      <c r="AY416" s="45"/>
      <c r="AZ416" s="45"/>
      <c r="BA416" s="45"/>
      <c r="CM416" s="46"/>
      <c r="CO416" s="70"/>
    </row>
    <row r="417" spans="13:93" ht="15">
      <c r="M417" s="45"/>
      <c r="N417" s="45"/>
      <c r="O417" s="45"/>
      <c r="P417" s="45"/>
      <c r="AD417" s="36"/>
      <c r="AE417" s="36"/>
      <c r="AF417" s="36"/>
      <c r="AG417" s="36"/>
      <c r="AH417" s="36"/>
      <c r="AI417" s="36"/>
      <c r="AJ417" s="36"/>
      <c r="AK417" s="36"/>
      <c r="AT417" s="45"/>
      <c r="AU417" s="45"/>
      <c r="AV417" s="45"/>
      <c r="AW417" s="45"/>
      <c r="AX417" s="45"/>
      <c r="AY417" s="45"/>
      <c r="AZ417" s="45"/>
      <c r="BA417" s="45"/>
      <c r="CM417" s="46"/>
      <c r="CO417" s="70"/>
    </row>
    <row r="418" spans="13:93" ht="15">
      <c r="M418" s="45"/>
      <c r="N418" s="45"/>
      <c r="O418" s="45"/>
      <c r="P418" s="45"/>
      <c r="AD418" s="36"/>
      <c r="AE418" s="36"/>
      <c r="AF418" s="36"/>
      <c r="AG418" s="36"/>
      <c r="AH418" s="36"/>
      <c r="AI418" s="36"/>
      <c r="AJ418" s="36"/>
      <c r="AK418" s="36"/>
      <c r="AT418" s="45"/>
      <c r="AU418" s="45"/>
      <c r="AV418" s="45"/>
      <c r="AW418" s="45"/>
      <c r="AX418" s="45"/>
      <c r="AY418" s="45"/>
      <c r="AZ418" s="45"/>
      <c r="BA418" s="45"/>
      <c r="CM418" s="46"/>
      <c r="CO418" s="70"/>
    </row>
    <row r="419" spans="13:93" ht="15">
      <c r="M419" s="45"/>
      <c r="N419" s="45"/>
      <c r="O419" s="45"/>
      <c r="P419" s="45"/>
      <c r="AD419" s="36"/>
      <c r="AE419" s="36"/>
      <c r="AF419" s="36"/>
      <c r="AG419" s="36"/>
      <c r="AH419" s="36"/>
      <c r="AI419" s="36"/>
      <c r="AJ419" s="36"/>
      <c r="AK419" s="36"/>
      <c r="AT419" s="45"/>
      <c r="AU419" s="45"/>
      <c r="AV419" s="45"/>
      <c r="AW419" s="45"/>
      <c r="AX419" s="45"/>
      <c r="AY419" s="45"/>
      <c r="AZ419" s="45"/>
      <c r="BA419" s="45"/>
      <c r="CM419" s="46"/>
      <c r="CO419" s="70"/>
    </row>
    <row r="420" spans="13:93" ht="15">
      <c r="M420" s="45"/>
      <c r="N420" s="45"/>
      <c r="O420" s="45"/>
      <c r="P420" s="45"/>
      <c r="AD420" s="36"/>
      <c r="AE420" s="36"/>
      <c r="AF420" s="36"/>
      <c r="AG420" s="36"/>
      <c r="AH420" s="36"/>
      <c r="AI420" s="36"/>
      <c r="AJ420" s="36"/>
      <c r="AK420" s="36"/>
      <c r="AT420" s="45"/>
      <c r="AU420" s="45"/>
      <c r="AV420" s="45"/>
      <c r="AW420" s="45"/>
      <c r="AX420" s="45"/>
      <c r="AY420" s="45"/>
      <c r="AZ420" s="45"/>
      <c r="BA420" s="45"/>
      <c r="CM420" s="46"/>
      <c r="CO420" s="70"/>
    </row>
    <row r="421" spans="13:93" ht="15">
      <c r="M421" s="45"/>
      <c r="N421" s="45"/>
      <c r="O421" s="45"/>
      <c r="P421" s="45"/>
      <c r="AD421" s="36"/>
      <c r="AE421" s="36"/>
      <c r="AF421" s="36"/>
      <c r="AG421" s="36"/>
      <c r="AH421" s="36"/>
      <c r="AI421" s="36"/>
      <c r="AJ421" s="36"/>
      <c r="AK421" s="36"/>
      <c r="AT421" s="45"/>
      <c r="AU421" s="45"/>
      <c r="AV421" s="45"/>
      <c r="AW421" s="45"/>
      <c r="AX421" s="45"/>
      <c r="AY421" s="45"/>
      <c r="AZ421" s="45"/>
      <c r="BA421" s="45"/>
      <c r="CM421" s="46"/>
      <c r="CO421" s="70"/>
    </row>
    <row r="422" spans="13:93" ht="15">
      <c r="M422" s="45"/>
      <c r="N422" s="45"/>
      <c r="O422" s="45"/>
      <c r="P422" s="45"/>
      <c r="AD422" s="36"/>
      <c r="AE422" s="36"/>
      <c r="AF422" s="36"/>
      <c r="AG422" s="36"/>
      <c r="AH422" s="36"/>
      <c r="AI422" s="36"/>
      <c r="AJ422" s="36"/>
      <c r="AK422" s="36"/>
      <c r="AT422" s="45"/>
      <c r="AU422" s="45"/>
      <c r="AV422" s="45"/>
      <c r="AW422" s="45"/>
      <c r="AX422" s="45"/>
      <c r="AY422" s="45"/>
      <c r="AZ422" s="45"/>
      <c r="BA422" s="45"/>
      <c r="CM422" s="46"/>
      <c r="CO422" s="70"/>
    </row>
    <row r="423" spans="13:93" ht="15">
      <c r="M423" s="45"/>
      <c r="N423" s="45"/>
      <c r="O423" s="45"/>
      <c r="P423" s="45"/>
      <c r="AD423" s="36"/>
      <c r="AE423" s="36"/>
      <c r="AF423" s="36"/>
      <c r="AG423" s="36"/>
      <c r="AH423" s="36"/>
      <c r="AI423" s="36"/>
      <c r="AJ423" s="36"/>
      <c r="AK423" s="36"/>
      <c r="AT423" s="45"/>
      <c r="AU423" s="45"/>
      <c r="AV423" s="45"/>
      <c r="AW423" s="45"/>
      <c r="AX423" s="45"/>
      <c r="AY423" s="45"/>
      <c r="AZ423" s="45"/>
      <c r="BA423" s="45"/>
      <c r="CM423" s="46"/>
      <c r="CO423" s="70"/>
    </row>
    <row r="424" spans="13:93" ht="15">
      <c r="M424" s="45"/>
      <c r="N424" s="45"/>
      <c r="O424" s="45"/>
      <c r="P424" s="45"/>
      <c r="AD424" s="36"/>
      <c r="AE424" s="36"/>
      <c r="AF424" s="36"/>
      <c r="AG424" s="36"/>
      <c r="AH424" s="36"/>
      <c r="AI424" s="36"/>
      <c r="AJ424" s="36"/>
      <c r="AK424" s="36"/>
      <c r="AT424" s="45"/>
      <c r="AU424" s="45"/>
      <c r="AV424" s="45"/>
      <c r="AW424" s="45"/>
      <c r="AX424" s="45"/>
      <c r="AY424" s="45"/>
      <c r="AZ424" s="45"/>
      <c r="BA424" s="45"/>
      <c r="CM424" s="46"/>
      <c r="CO424" s="70"/>
    </row>
    <row r="425" spans="13:93" ht="15">
      <c r="M425" s="45"/>
      <c r="N425" s="45"/>
      <c r="O425" s="45"/>
      <c r="P425" s="45"/>
      <c r="AD425" s="36"/>
      <c r="AE425" s="36"/>
      <c r="AF425" s="36"/>
      <c r="AG425" s="36"/>
      <c r="AH425" s="36"/>
      <c r="AI425" s="36"/>
      <c r="AJ425" s="36"/>
      <c r="AK425" s="36"/>
      <c r="AT425" s="45"/>
      <c r="AU425" s="45"/>
      <c r="AV425" s="45"/>
      <c r="AW425" s="45"/>
      <c r="AX425" s="45"/>
      <c r="AY425" s="45"/>
      <c r="AZ425" s="45"/>
      <c r="BA425" s="45"/>
      <c r="CM425" s="46"/>
      <c r="CO425" s="70"/>
    </row>
    <row r="426" spans="13:93" ht="15">
      <c r="M426" s="45"/>
      <c r="N426" s="45"/>
      <c r="O426" s="45"/>
      <c r="P426" s="45"/>
      <c r="AD426" s="36"/>
      <c r="AE426" s="36"/>
      <c r="AF426" s="36"/>
      <c r="AG426" s="36"/>
      <c r="AH426" s="36"/>
      <c r="AI426" s="36"/>
      <c r="AJ426" s="36"/>
      <c r="AK426" s="36"/>
      <c r="AT426" s="45"/>
      <c r="AU426" s="45"/>
      <c r="AV426" s="45"/>
      <c r="AW426" s="45"/>
      <c r="AX426" s="45"/>
      <c r="AY426" s="45"/>
      <c r="AZ426" s="45"/>
      <c r="BA426" s="45"/>
      <c r="CM426" s="46"/>
      <c r="CO426" s="70"/>
    </row>
    <row r="427" spans="13:93" ht="15">
      <c r="M427" s="45"/>
      <c r="N427" s="45"/>
      <c r="O427" s="45"/>
      <c r="P427" s="45"/>
      <c r="AD427" s="36"/>
      <c r="AE427" s="36"/>
      <c r="AF427" s="36"/>
      <c r="AG427" s="36"/>
      <c r="AH427" s="36"/>
      <c r="AI427" s="36"/>
      <c r="AJ427" s="36"/>
      <c r="AK427" s="36"/>
      <c r="AT427" s="45"/>
      <c r="AU427" s="45"/>
      <c r="AV427" s="45"/>
      <c r="AW427" s="45"/>
      <c r="AX427" s="45"/>
      <c r="AY427" s="45"/>
      <c r="AZ427" s="45"/>
      <c r="BA427" s="45"/>
      <c r="CM427" s="46"/>
      <c r="CO427" s="70"/>
    </row>
    <row r="428" spans="13:93" ht="15">
      <c r="M428" s="45"/>
      <c r="N428" s="45"/>
      <c r="O428" s="45"/>
      <c r="P428" s="45"/>
      <c r="AD428" s="36"/>
      <c r="AE428" s="36"/>
      <c r="AF428" s="36"/>
      <c r="AG428" s="36"/>
      <c r="AH428" s="36"/>
      <c r="AI428" s="36"/>
      <c r="AJ428" s="36"/>
      <c r="AK428" s="36"/>
      <c r="AT428" s="45"/>
      <c r="AU428" s="45"/>
      <c r="AV428" s="45"/>
      <c r="AW428" s="45"/>
      <c r="AX428" s="45"/>
      <c r="AY428" s="45"/>
      <c r="AZ428" s="45"/>
      <c r="BA428" s="45"/>
      <c r="CM428" s="46"/>
      <c r="CO428" s="70"/>
    </row>
    <row r="429" spans="13:93" ht="15">
      <c r="M429" s="45"/>
      <c r="N429" s="45"/>
      <c r="O429" s="45"/>
      <c r="P429" s="45"/>
      <c r="AD429" s="36"/>
      <c r="AE429" s="36"/>
      <c r="AF429" s="36"/>
      <c r="AG429" s="36"/>
      <c r="AH429" s="36"/>
      <c r="AI429" s="36"/>
      <c r="AJ429" s="36"/>
      <c r="AK429" s="36"/>
      <c r="AT429" s="45"/>
      <c r="AU429" s="45"/>
      <c r="AV429" s="45"/>
      <c r="AW429" s="45"/>
      <c r="AX429" s="45"/>
      <c r="AY429" s="45"/>
      <c r="AZ429" s="45"/>
      <c r="BA429" s="45"/>
      <c r="CM429" s="46"/>
      <c r="CO429" s="70"/>
    </row>
    <row r="430" spans="13:93" ht="15">
      <c r="M430" s="45"/>
      <c r="N430" s="45"/>
      <c r="O430" s="45"/>
      <c r="P430" s="45"/>
      <c r="AD430" s="36"/>
      <c r="AE430" s="36"/>
      <c r="AF430" s="36"/>
      <c r="AG430" s="36"/>
      <c r="AH430" s="36"/>
      <c r="AI430" s="36"/>
      <c r="AJ430" s="36"/>
      <c r="AK430" s="36"/>
      <c r="AT430" s="45"/>
      <c r="AU430" s="45"/>
      <c r="AV430" s="45"/>
      <c r="AW430" s="45"/>
      <c r="AX430" s="45"/>
      <c r="AY430" s="45"/>
      <c r="AZ430" s="45"/>
      <c r="BA430" s="45"/>
      <c r="CM430" s="46"/>
      <c r="CO430" s="70"/>
    </row>
    <row r="431" spans="13:93" ht="15">
      <c r="M431" s="45"/>
      <c r="N431" s="45"/>
      <c r="O431" s="45"/>
      <c r="P431" s="45"/>
      <c r="AD431" s="36"/>
      <c r="AE431" s="36"/>
      <c r="AF431" s="36"/>
      <c r="AG431" s="36"/>
      <c r="AH431" s="36"/>
      <c r="AI431" s="36"/>
      <c r="AJ431" s="36"/>
      <c r="AK431" s="36"/>
      <c r="AT431" s="45"/>
      <c r="AU431" s="45"/>
      <c r="AV431" s="45"/>
      <c r="AW431" s="45"/>
      <c r="AX431" s="45"/>
      <c r="AY431" s="45"/>
      <c r="AZ431" s="45"/>
      <c r="BA431" s="45"/>
      <c r="CM431" s="46"/>
      <c r="CO431" s="70"/>
    </row>
    <row r="432" spans="13:93" ht="15">
      <c r="M432" s="45"/>
      <c r="N432" s="45"/>
      <c r="O432" s="45"/>
      <c r="P432" s="45"/>
      <c r="AD432" s="36"/>
      <c r="AE432" s="36"/>
      <c r="AF432" s="36"/>
      <c r="AG432" s="36"/>
      <c r="AH432" s="36"/>
      <c r="AI432" s="36"/>
      <c r="AJ432" s="36"/>
      <c r="AK432" s="36"/>
      <c r="AT432" s="45"/>
      <c r="AU432" s="45"/>
      <c r="AV432" s="45"/>
      <c r="AW432" s="45"/>
      <c r="AX432" s="45"/>
      <c r="AY432" s="45"/>
      <c r="AZ432" s="45"/>
      <c r="BA432" s="45"/>
      <c r="CM432" s="46"/>
      <c r="CO432" s="70"/>
    </row>
    <row r="433" spans="13:93" ht="15">
      <c r="M433" s="45"/>
      <c r="N433" s="45"/>
      <c r="O433" s="45"/>
      <c r="P433" s="45"/>
      <c r="AD433" s="36"/>
      <c r="AE433" s="36"/>
      <c r="AF433" s="36"/>
      <c r="AG433" s="36"/>
      <c r="AH433" s="36"/>
      <c r="AI433" s="36"/>
      <c r="AJ433" s="36"/>
      <c r="AK433" s="36"/>
      <c r="AT433" s="45"/>
      <c r="AU433" s="45"/>
      <c r="AV433" s="45"/>
      <c r="AW433" s="45"/>
      <c r="AX433" s="45"/>
      <c r="AY433" s="45"/>
      <c r="AZ433" s="45"/>
      <c r="BA433" s="45"/>
      <c r="CM433" s="46"/>
      <c r="CO433" s="70"/>
    </row>
    <row r="434" spans="13:93" ht="15">
      <c r="M434" s="45"/>
      <c r="N434" s="45"/>
      <c r="O434" s="45"/>
      <c r="P434" s="45"/>
      <c r="AD434" s="36"/>
      <c r="AE434" s="36"/>
      <c r="AF434" s="36"/>
      <c r="AG434" s="36"/>
      <c r="AH434" s="36"/>
      <c r="AI434" s="36"/>
      <c r="AJ434" s="36"/>
      <c r="AK434" s="36"/>
      <c r="AT434" s="45"/>
      <c r="AU434" s="45"/>
      <c r="AV434" s="45"/>
      <c r="AW434" s="45"/>
      <c r="AX434" s="45"/>
      <c r="AY434" s="45"/>
      <c r="AZ434" s="45"/>
      <c r="BA434" s="45"/>
      <c r="CM434" s="46"/>
      <c r="CO434" s="70"/>
    </row>
    <row r="435" spans="13:93" ht="15">
      <c r="M435" s="45"/>
      <c r="N435" s="45"/>
      <c r="O435" s="45"/>
      <c r="P435" s="45"/>
      <c r="AD435" s="36"/>
      <c r="AE435" s="36"/>
      <c r="AF435" s="36"/>
      <c r="AG435" s="36"/>
      <c r="AH435" s="36"/>
      <c r="AI435" s="36"/>
      <c r="AJ435" s="36"/>
      <c r="AK435" s="36"/>
      <c r="AT435" s="45"/>
      <c r="AU435" s="45"/>
      <c r="AV435" s="45"/>
      <c r="AW435" s="45"/>
      <c r="AX435" s="45"/>
      <c r="AY435" s="45"/>
      <c r="AZ435" s="45"/>
      <c r="BA435" s="45"/>
      <c r="CM435" s="46"/>
      <c r="CO435" s="70"/>
    </row>
    <row r="436" spans="13:93" ht="15">
      <c r="M436" s="45"/>
      <c r="N436" s="45"/>
      <c r="O436" s="45"/>
      <c r="P436" s="45"/>
      <c r="AD436" s="36"/>
      <c r="AE436" s="36"/>
      <c r="AF436" s="36"/>
      <c r="AG436" s="36"/>
      <c r="AH436" s="36"/>
      <c r="AI436" s="36"/>
      <c r="AJ436" s="36"/>
      <c r="AK436" s="36"/>
      <c r="AT436" s="45"/>
      <c r="AU436" s="45"/>
      <c r="AV436" s="45"/>
      <c r="AW436" s="45"/>
      <c r="AX436" s="45"/>
      <c r="AY436" s="45"/>
      <c r="AZ436" s="45"/>
      <c r="BA436" s="45"/>
      <c r="CM436" s="46"/>
      <c r="CO436" s="70"/>
    </row>
    <row r="437" spans="13:93" ht="15">
      <c r="M437" s="45"/>
      <c r="N437" s="45"/>
      <c r="O437" s="45"/>
      <c r="P437" s="45"/>
      <c r="AD437" s="36"/>
      <c r="AE437" s="36"/>
      <c r="AF437" s="36"/>
      <c r="AG437" s="36"/>
      <c r="AH437" s="36"/>
      <c r="AI437" s="36"/>
      <c r="AJ437" s="36"/>
      <c r="AK437" s="36"/>
      <c r="AT437" s="45"/>
      <c r="AU437" s="45"/>
      <c r="AV437" s="45"/>
      <c r="AW437" s="45"/>
      <c r="AX437" s="45"/>
      <c r="AY437" s="45"/>
      <c r="AZ437" s="45"/>
      <c r="BA437" s="45"/>
      <c r="CM437" s="46"/>
      <c r="CO437" s="70"/>
    </row>
    <row r="438" spans="13:93" ht="15">
      <c r="M438" s="45"/>
      <c r="N438" s="45"/>
      <c r="O438" s="45"/>
      <c r="P438" s="45"/>
      <c r="AD438" s="36"/>
      <c r="AE438" s="36"/>
      <c r="AF438" s="36"/>
      <c r="AG438" s="36"/>
      <c r="AH438" s="36"/>
      <c r="AI438" s="36"/>
      <c r="AJ438" s="36"/>
      <c r="AK438" s="36"/>
      <c r="AT438" s="45"/>
      <c r="AU438" s="45"/>
      <c r="AV438" s="45"/>
      <c r="AW438" s="45"/>
      <c r="AX438" s="45"/>
      <c r="AY438" s="45"/>
      <c r="AZ438" s="45"/>
      <c r="BA438" s="45"/>
      <c r="CM438" s="46"/>
      <c r="CO438" s="70"/>
    </row>
    <row r="439" spans="13:93" ht="15">
      <c r="M439" s="45"/>
      <c r="N439" s="45"/>
      <c r="O439" s="45"/>
      <c r="P439" s="45"/>
      <c r="AD439" s="36"/>
      <c r="AE439" s="36"/>
      <c r="AF439" s="36"/>
      <c r="AG439" s="36"/>
      <c r="AH439" s="36"/>
      <c r="AI439" s="36"/>
      <c r="AJ439" s="36"/>
      <c r="AK439" s="36"/>
      <c r="AT439" s="45"/>
      <c r="AU439" s="45"/>
      <c r="AV439" s="45"/>
      <c r="AW439" s="45"/>
      <c r="AX439" s="45"/>
      <c r="AY439" s="45"/>
      <c r="AZ439" s="45"/>
      <c r="BA439" s="45"/>
      <c r="CM439" s="46"/>
      <c r="CO439" s="70"/>
    </row>
    <row r="440" spans="13:93" ht="15">
      <c r="M440" s="45"/>
      <c r="N440" s="45"/>
      <c r="O440" s="45"/>
      <c r="P440" s="45"/>
      <c r="AD440" s="36"/>
      <c r="AE440" s="36"/>
      <c r="AF440" s="36"/>
      <c r="AG440" s="36"/>
      <c r="AH440" s="36"/>
      <c r="AI440" s="36"/>
      <c r="AJ440" s="36"/>
      <c r="AK440" s="36"/>
      <c r="AT440" s="45"/>
      <c r="AU440" s="45"/>
      <c r="AV440" s="45"/>
      <c r="AW440" s="45"/>
      <c r="AX440" s="45"/>
      <c r="AY440" s="45"/>
      <c r="AZ440" s="45"/>
      <c r="BA440" s="45"/>
      <c r="CM440" s="46"/>
      <c r="CO440" s="70"/>
    </row>
    <row r="441" spans="13:93" ht="15">
      <c r="M441" s="45"/>
      <c r="N441" s="45"/>
      <c r="O441" s="45"/>
      <c r="P441" s="45"/>
      <c r="AD441" s="36"/>
      <c r="AE441" s="36"/>
      <c r="AF441" s="36"/>
      <c r="AG441" s="36"/>
      <c r="AH441" s="36"/>
      <c r="AI441" s="36"/>
      <c r="AJ441" s="36"/>
      <c r="AK441" s="36"/>
      <c r="AT441" s="45"/>
      <c r="AU441" s="45"/>
      <c r="AV441" s="45"/>
      <c r="AW441" s="45"/>
      <c r="AX441" s="45"/>
      <c r="AY441" s="45"/>
      <c r="AZ441" s="45"/>
      <c r="BA441" s="45"/>
      <c r="CM441" s="46"/>
      <c r="CO441" s="70"/>
    </row>
    <row r="442" spans="13:93" ht="15">
      <c r="M442" s="45"/>
      <c r="N442" s="45"/>
      <c r="O442" s="45"/>
      <c r="P442" s="45"/>
      <c r="AD442" s="36"/>
      <c r="AE442" s="36"/>
      <c r="AF442" s="36"/>
      <c r="AG442" s="36"/>
      <c r="AH442" s="36"/>
      <c r="AI442" s="36"/>
      <c r="AJ442" s="36"/>
      <c r="AK442" s="36"/>
      <c r="AT442" s="45"/>
      <c r="AU442" s="45"/>
      <c r="AV442" s="45"/>
      <c r="AW442" s="45"/>
      <c r="AX442" s="45"/>
      <c r="AY442" s="45"/>
      <c r="AZ442" s="45"/>
      <c r="BA442" s="45"/>
      <c r="CM442" s="46"/>
      <c r="CO442" s="70"/>
    </row>
    <row r="443" spans="13:93" ht="15">
      <c r="M443" s="45"/>
      <c r="N443" s="45"/>
      <c r="O443" s="45"/>
      <c r="P443" s="45"/>
      <c r="AD443" s="36"/>
      <c r="AE443" s="36"/>
      <c r="AF443" s="36"/>
      <c r="AG443" s="36"/>
      <c r="AH443" s="36"/>
      <c r="AI443" s="36"/>
      <c r="AJ443" s="36"/>
      <c r="AK443" s="36"/>
      <c r="AT443" s="45"/>
      <c r="AU443" s="45"/>
      <c r="AV443" s="45"/>
      <c r="AW443" s="45"/>
      <c r="AX443" s="45"/>
      <c r="AY443" s="45"/>
      <c r="AZ443" s="45"/>
      <c r="BA443" s="45"/>
      <c r="CM443" s="46"/>
      <c r="CO443" s="70"/>
    </row>
    <row r="444" spans="13:93" ht="15">
      <c r="M444" s="45"/>
      <c r="N444" s="45"/>
      <c r="O444" s="45"/>
      <c r="P444" s="45"/>
      <c r="AD444" s="36"/>
      <c r="AE444" s="36"/>
      <c r="AF444" s="36"/>
      <c r="AG444" s="36"/>
      <c r="AH444" s="36"/>
      <c r="AI444" s="36"/>
      <c r="AJ444" s="36"/>
      <c r="AK444" s="36"/>
      <c r="AT444" s="45"/>
      <c r="AU444" s="45"/>
      <c r="AV444" s="45"/>
      <c r="AW444" s="45"/>
      <c r="AX444" s="45"/>
      <c r="AY444" s="45"/>
      <c r="AZ444" s="45"/>
      <c r="BA444" s="45"/>
      <c r="CM444" s="46"/>
      <c r="CO444" s="70"/>
    </row>
    <row r="445" spans="13:93" ht="15">
      <c r="M445" s="45"/>
      <c r="N445" s="45"/>
      <c r="O445" s="45"/>
      <c r="P445" s="45"/>
      <c r="AD445" s="36"/>
      <c r="AE445" s="36"/>
      <c r="AF445" s="36"/>
      <c r="AG445" s="36"/>
      <c r="AH445" s="36"/>
      <c r="AI445" s="36"/>
      <c r="AJ445" s="36"/>
      <c r="AK445" s="36"/>
      <c r="AT445" s="45"/>
      <c r="AU445" s="45"/>
      <c r="AV445" s="45"/>
      <c r="AW445" s="45"/>
      <c r="AX445" s="45"/>
      <c r="AY445" s="45"/>
      <c r="AZ445" s="45"/>
      <c r="BA445" s="45"/>
      <c r="CM445" s="46"/>
      <c r="CO445" s="70"/>
    </row>
    <row r="446" spans="13:93" ht="15">
      <c r="M446" s="45"/>
      <c r="N446" s="45"/>
      <c r="O446" s="45"/>
      <c r="P446" s="45"/>
      <c r="AD446" s="36"/>
      <c r="AE446" s="36"/>
      <c r="AF446" s="36"/>
      <c r="AG446" s="36"/>
      <c r="AH446" s="36"/>
      <c r="AI446" s="36"/>
      <c r="AJ446" s="36"/>
      <c r="AK446" s="36"/>
      <c r="AT446" s="45"/>
      <c r="AU446" s="45"/>
      <c r="AV446" s="45"/>
      <c r="AW446" s="45"/>
      <c r="AX446" s="45"/>
      <c r="AY446" s="45"/>
      <c r="AZ446" s="45"/>
      <c r="BA446" s="45"/>
      <c r="CM446" s="46"/>
      <c r="CO446" s="70"/>
    </row>
    <row r="447" spans="13:93" ht="15">
      <c r="M447" s="45"/>
      <c r="N447" s="45"/>
      <c r="O447" s="45"/>
      <c r="P447" s="45"/>
      <c r="AD447" s="36"/>
      <c r="AE447" s="36"/>
      <c r="AF447" s="36"/>
      <c r="AG447" s="36"/>
      <c r="AH447" s="36"/>
      <c r="AI447" s="36"/>
      <c r="AJ447" s="36"/>
      <c r="AK447" s="36"/>
      <c r="AT447" s="45"/>
      <c r="AU447" s="45"/>
      <c r="AV447" s="45"/>
      <c r="AW447" s="45"/>
      <c r="AX447" s="45"/>
      <c r="AY447" s="45"/>
      <c r="AZ447" s="45"/>
      <c r="BA447" s="45"/>
      <c r="CM447" s="46"/>
      <c r="CO447" s="70"/>
    </row>
    <row r="448" spans="13:93" ht="15">
      <c r="M448" s="45"/>
      <c r="N448" s="45"/>
      <c r="O448" s="45"/>
      <c r="P448" s="45"/>
      <c r="AD448" s="36"/>
      <c r="AE448" s="36"/>
      <c r="AF448" s="36"/>
      <c r="AG448" s="36"/>
      <c r="AH448" s="36"/>
      <c r="AI448" s="36"/>
      <c r="AJ448" s="36"/>
      <c r="AK448" s="36"/>
      <c r="AT448" s="45"/>
      <c r="AU448" s="45"/>
      <c r="AV448" s="45"/>
      <c r="AW448" s="45"/>
      <c r="AX448" s="45"/>
      <c r="AY448" s="45"/>
      <c r="AZ448" s="45"/>
      <c r="BA448" s="45"/>
      <c r="CM448" s="46"/>
      <c r="CO448" s="70"/>
    </row>
    <row r="449" spans="13:93" ht="15">
      <c r="M449" s="45"/>
      <c r="N449" s="45"/>
      <c r="O449" s="45"/>
      <c r="P449" s="45"/>
      <c r="AD449" s="36"/>
      <c r="AE449" s="36"/>
      <c r="AF449" s="36"/>
      <c r="AG449" s="36"/>
      <c r="AH449" s="36"/>
      <c r="AI449" s="36"/>
      <c r="AJ449" s="36"/>
      <c r="AK449" s="36"/>
      <c r="AT449" s="45"/>
      <c r="AU449" s="45"/>
      <c r="AV449" s="45"/>
      <c r="AW449" s="45"/>
      <c r="AX449" s="45"/>
      <c r="AY449" s="45"/>
      <c r="AZ449" s="45"/>
      <c r="BA449" s="45"/>
      <c r="CM449" s="46"/>
      <c r="CO449" s="70"/>
    </row>
    <row r="450" spans="13:93" ht="15">
      <c r="M450" s="45"/>
      <c r="N450" s="45"/>
      <c r="O450" s="45"/>
      <c r="P450" s="45"/>
      <c r="AD450" s="36"/>
      <c r="AE450" s="36"/>
      <c r="AF450" s="36"/>
      <c r="AG450" s="36"/>
      <c r="AH450" s="36"/>
      <c r="AI450" s="36"/>
      <c r="AJ450" s="36"/>
      <c r="AK450" s="36"/>
      <c r="AT450" s="45"/>
      <c r="AU450" s="45"/>
      <c r="AV450" s="45"/>
      <c r="AW450" s="45"/>
      <c r="AX450" s="45"/>
      <c r="AY450" s="45"/>
      <c r="AZ450" s="45"/>
      <c r="BA450" s="45"/>
      <c r="CM450" s="46"/>
      <c r="CO450" s="70"/>
    </row>
    <row r="451" spans="13:93" ht="15">
      <c r="M451" s="45"/>
      <c r="N451" s="45"/>
      <c r="O451" s="45"/>
      <c r="P451" s="45"/>
      <c r="AD451" s="36"/>
      <c r="AE451" s="36"/>
      <c r="AF451" s="36"/>
      <c r="AG451" s="36"/>
      <c r="AH451" s="36"/>
      <c r="AI451" s="36"/>
      <c r="AJ451" s="36"/>
      <c r="AK451" s="36"/>
      <c r="AT451" s="45"/>
      <c r="AU451" s="45"/>
      <c r="AV451" s="45"/>
      <c r="AW451" s="45"/>
      <c r="AX451" s="45"/>
      <c r="AY451" s="45"/>
      <c r="AZ451" s="45"/>
      <c r="BA451" s="45"/>
      <c r="CM451" s="46"/>
      <c r="CO451" s="70"/>
    </row>
    <row r="452" spans="13:93" ht="15">
      <c r="M452" s="45"/>
      <c r="N452" s="45"/>
      <c r="O452" s="45"/>
      <c r="P452" s="45"/>
      <c r="AD452" s="36"/>
      <c r="AE452" s="36"/>
      <c r="AF452" s="36"/>
      <c r="AG452" s="36"/>
      <c r="AH452" s="36"/>
      <c r="AI452" s="36"/>
      <c r="AJ452" s="36"/>
      <c r="AK452" s="36"/>
      <c r="AT452" s="45"/>
      <c r="AU452" s="45"/>
      <c r="AV452" s="45"/>
      <c r="AW452" s="45"/>
      <c r="AX452" s="45"/>
      <c r="AY452" s="45"/>
      <c r="AZ452" s="45"/>
      <c r="BA452" s="45"/>
      <c r="CM452" s="46"/>
      <c r="CO452" s="70"/>
    </row>
    <row r="453" spans="13:93" ht="15">
      <c r="M453" s="45"/>
      <c r="N453" s="45"/>
      <c r="O453" s="45"/>
      <c r="P453" s="45"/>
      <c r="AD453" s="36"/>
      <c r="AE453" s="36"/>
      <c r="AF453" s="36"/>
      <c r="AG453" s="36"/>
      <c r="AH453" s="36"/>
      <c r="AI453" s="36"/>
      <c r="AJ453" s="36"/>
      <c r="AK453" s="36"/>
      <c r="AT453" s="45"/>
      <c r="AU453" s="45"/>
      <c r="AV453" s="45"/>
      <c r="AW453" s="45"/>
      <c r="AX453" s="45"/>
      <c r="AY453" s="45"/>
      <c r="AZ453" s="45"/>
      <c r="BA453" s="45"/>
      <c r="CM453" s="46"/>
      <c r="CO453" s="70"/>
    </row>
    <row r="454" spans="13:93" ht="15">
      <c r="M454" s="45"/>
      <c r="N454" s="45"/>
      <c r="O454" s="45"/>
      <c r="P454" s="45"/>
      <c r="AD454" s="36"/>
      <c r="AE454" s="36"/>
      <c r="AF454" s="36"/>
      <c r="AG454" s="36"/>
      <c r="AH454" s="36"/>
      <c r="AI454" s="36"/>
      <c r="AJ454" s="36"/>
      <c r="AK454" s="36"/>
      <c r="AT454" s="45"/>
      <c r="AU454" s="45"/>
      <c r="AV454" s="45"/>
      <c r="AW454" s="45"/>
      <c r="AX454" s="45"/>
      <c r="AY454" s="45"/>
      <c r="AZ454" s="45"/>
      <c r="BA454" s="45"/>
      <c r="CM454" s="46"/>
      <c r="CO454" s="70"/>
    </row>
    <row r="455" spans="13:93" ht="15">
      <c r="M455" s="45"/>
      <c r="N455" s="45"/>
      <c r="O455" s="45"/>
      <c r="P455" s="45"/>
      <c r="AD455" s="36"/>
      <c r="AE455" s="36"/>
      <c r="AF455" s="36"/>
      <c r="AG455" s="36"/>
      <c r="AH455" s="36"/>
      <c r="AI455" s="36"/>
      <c r="AJ455" s="36"/>
      <c r="AK455" s="36"/>
      <c r="AT455" s="45"/>
      <c r="AU455" s="45"/>
      <c r="AV455" s="45"/>
      <c r="AW455" s="45"/>
      <c r="AX455" s="45"/>
      <c r="AY455" s="45"/>
      <c r="AZ455" s="45"/>
      <c r="BA455" s="45"/>
      <c r="CM455" s="46"/>
      <c r="CO455" s="70"/>
    </row>
    <row r="456" spans="13:93" ht="15">
      <c r="M456" s="45"/>
      <c r="N456" s="45"/>
      <c r="O456" s="45"/>
      <c r="P456" s="45"/>
      <c r="AD456" s="36"/>
      <c r="AE456" s="36"/>
      <c r="AF456" s="36"/>
      <c r="AG456" s="36"/>
      <c r="AH456" s="36"/>
      <c r="AI456" s="36"/>
      <c r="AJ456" s="36"/>
      <c r="AK456" s="36"/>
      <c r="AT456" s="45"/>
      <c r="AU456" s="45"/>
      <c r="AV456" s="45"/>
      <c r="AW456" s="45"/>
      <c r="AX456" s="45"/>
      <c r="AY456" s="45"/>
      <c r="AZ456" s="45"/>
      <c r="BA456" s="45"/>
      <c r="CM456" s="46"/>
      <c r="CO456" s="70"/>
    </row>
    <row r="457" spans="13:93" ht="15">
      <c r="M457" s="45"/>
      <c r="N457" s="45"/>
      <c r="O457" s="45"/>
      <c r="P457" s="45"/>
      <c r="AD457" s="36"/>
      <c r="AE457" s="36"/>
      <c r="AF457" s="36"/>
      <c r="AG457" s="36"/>
      <c r="AH457" s="36"/>
      <c r="AI457" s="36"/>
      <c r="AJ457" s="36"/>
      <c r="AK457" s="36"/>
      <c r="AT457" s="45"/>
      <c r="AU457" s="45"/>
      <c r="AV457" s="45"/>
      <c r="AW457" s="45"/>
      <c r="AX457" s="45"/>
      <c r="AY457" s="45"/>
      <c r="AZ457" s="45"/>
      <c r="BA457" s="45"/>
      <c r="CM457" s="46"/>
      <c r="CO457" s="70"/>
    </row>
    <row r="458" spans="13:93" ht="15">
      <c r="M458" s="45"/>
      <c r="N458" s="45"/>
      <c r="O458" s="45"/>
      <c r="P458" s="45"/>
      <c r="AD458" s="36"/>
      <c r="AE458" s="36"/>
      <c r="AF458" s="36"/>
      <c r="AG458" s="36"/>
      <c r="AH458" s="36"/>
      <c r="AI458" s="36"/>
      <c r="AJ458" s="36"/>
      <c r="AK458" s="36"/>
      <c r="AT458" s="45"/>
      <c r="AU458" s="45"/>
      <c r="AV458" s="45"/>
      <c r="AW458" s="45"/>
      <c r="AX458" s="45"/>
      <c r="AY458" s="45"/>
      <c r="AZ458" s="45"/>
      <c r="BA458" s="45"/>
      <c r="CM458" s="46"/>
      <c r="CO458" s="70"/>
    </row>
    <row r="459" spans="13:93" ht="15">
      <c r="M459" s="45"/>
      <c r="N459" s="45"/>
      <c r="O459" s="45"/>
      <c r="P459" s="45"/>
      <c r="AD459" s="36"/>
      <c r="AE459" s="36"/>
      <c r="AF459" s="36"/>
      <c r="AG459" s="36"/>
      <c r="AH459" s="36"/>
      <c r="AI459" s="36"/>
      <c r="AJ459" s="36"/>
      <c r="AK459" s="36"/>
      <c r="AT459" s="45"/>
      <c r="AU459" s="45"/>
      <c r="AV459" s="45"/>
      <c r="AW459" s="45"/>
      <c r="AX459" s="45"/>
      <c r="AY459" s="45"/>
      <c r="AZ459" s="45"/>
      <c r="BA459" s="45"/>
      <c r="CM459" s="46"/>
      <c r="CO459" s="70"/>
    </row>
    <row r="460" spans="13:93" ht="15">
      <c r="M460" s="45"/>
      <c r="N460" s="45"/>
      <c r="O460" s="45"/>
      <c r="P460" s="45"/>
      <c r="AD460" s="36"/>
      <c r="AE460" s="36"/>
      <c r="AF460" s="36"/>
      <c r="AG460" s="36"/>
      <c r="AH460" s="36"/>
      <c r="AI460" s="36"/>
      <c r="AJ460" s="36"/>
      <c r="AK460" s="36"/>
      <c r="AT460" s="45"/>
      <c r="AU460" s="45"/>
      <c r="AV460" s="45"/>
      <c r="AW460" s="45"/>
      <c r="AX460" s="45"/>
      <c r="AY460" s="45"/>
      <c r="AZ460" s="45"/>
      <c r="BA460" s="45"/>
      <c r="CM460" s="46"/>
      <c r="CO460" s="70"/>
    </row>
    <row r="461" spans="13:93" ht="15">
      <c r="M461" s="45"/>
      <c r="N461" s="45"/>
      <c r="O461" s="45"/>
      <c r="P461" s="45"/>
      <c r="AD461" s="36"/>
      <c r="AE461" s="36"/>
      <c r="AF461" s="36"/>
      <c r="AG461" s="36"/>
      <c r="AH461" s="36"/>
      <c r="AI461" s="36"/>
      <c r="AJ461" s="36"/>
      <c r="AK461" s="36"/>
      <c r="AT461" s="45"/>
      <c r="AU461" s="45"/>
      <c r="AV461" s="45"/>
      <c r="AW461" s="45"/>
      <c r="AX461" s="45"/>
      <c r="AY461" s="45"/>
      <c r="AZ461" s="45"/>
      <c r="BA461" s="45"/>
      <c r="CM461" s="46"/>
      <c r="CO461" s="70"/>
    </row>
    <row r="462" spans="13:93" ht="15">
      <c r="M462" s="45"/>
      <c r="N462" s="45"/>
      <c r="O462" s="45"/>
      <c r="P462" s="45"/>
      <c r="AD462" s="36"/>
      <c r="AE462" s="36"/>
      <c r="AF462" s="36"/>
      <c r="AG462" s="36"/>
      <c r="AH462" s="36"/>
      <c r="AI462" s="36"/>
      <c r="AJ462" s="36"/>
      <c r="AK462" s="36"/>
      <c r="AT462" s="45"/>
      <c r="AU462" s="45"/>
      <c r="AV462" s="45"/>
      <c r="AW462" s="45"/>
      <c r="AX462" s="45"/>
      <c r="AY462" s="45"/>
      <c r="AZ462" s="45"/>
      <c r="BA462" s="45"/>
      <c r="CM462" s="46"/>
      <c r="CO462" s="70"/>
    </row>
    <row r="463" spans="13:93" ht="15">
      <c r="M463" s="45"/>
      <c r="N463" s="45"/>
      <c r="O463" s="45"/>
      <c r="P463" s="45"/>
      <c r="AD463" s="36"/>
      <c r="AE463" s="36"/>
      <c r="AF463" s="36"/>
      <c r="AG463" s="36"/>
      <c r="AH463" s="36"/>
      <c r="AI463" s="36"/>
      <c r="AJ463" s="36"/>
      <c r="AK463" s="36"/>
      <c r="AT463" s="45"/>
      <c r="AU463" s="45"/>
      <c r="AV463" s="45"/>
      <c r="AW463" s="45"/>
      <c r="AX463" s="45"/>
      <c r="AY463" s="45"/>
      <c r="AZ463" s="45"/>
      <c r="BA463" s="45"/>
      <c r="CM463" s="46"/>
      <c r="CO463" s="70"/>
    </row>
    <row r="464" spans="13:93" ht="15">
      <c r="M464" s="45"/>
      <c r="N464" s="45"/>
      <c r="O464" s="45"/>
      <c r="P464" s="45"/>
      <c r="AD464" s="36"/>
      <c r="AE464" s="36"/>
      <c r="AF464" s="36"/>
      <c r="AG464" s="36"/>
      <c r="AH464" s="36"/>
      <c r="AI464" s="36"/>
      <c r="AJ464" s="36"/>
      <c r="AK464" s="36"/>
      <c r="AT464" s="45"/>
      <c r="AU464" s="45"/>
      <c r="AV464" s="45"/>
      <c r="AW464" s="45"/>
      <c r="AX464" s="45"/>
      <c r="AY464" s="45"/>
      <c r="AZ464" s="45"/>
      <c r="BA464" s="45"/>
      <c r="CM464" s="46"/>
      <c r="CO464" s="70"/>
    </row>
    <row r="465" spans="13:93" ht="15">
      <c r="M465" s="45"/>
      <c r="N465" s="45"/>
      <c r="O465" s="45"/>
      <c r="P465" s="45"/>
      <c r="AD465" s="36"/>
      <c r="AE465" s="36"/>
      <c r="AF465" s="36"/>
      <c r="AG465" s="36"/>
      <c r="AH465" s="36"/>
      <c r="AI465" s="36"/>
      <c r="AJ465" s="36"/>
      <c r="AK465" s="36"/>
      <c r="AT465" s="45"/>
      <c r="AU465" s="45"/>
      <c r="AV465" s="45"/>
      <c r="AW465" s="45"/>
      <c r="AX465" s="45"/>
      <c r="AY465" s="45"/>
      <c r="AZ465" s="45"/>
      <c r="BA465" s="45"/>
      <c r="CM465" s="46"/>
      <c r="CO465" s="70"/>
    </row>
    <row r="466" spans="13:93" ht="15">
      <c r="M466" s="45"/>
      <c r="N466" s="45"/>
      <c r="O466" s="45"/>
      <c r="P466" s="45"/>
      <c r="AD466" s="36"/>
      <c r="AE466" s="36"/>
      <c r="AF466" s="36"/>
      <c r="AG466" s="36"/>
      <c r="AH466" s="36"/>
      <c r="AI466" s="36"/>
      <c r="AJ466" s="36"/>
      <c r="AK466" s="36"/>
      <c r="AT466" s="45"/>
      <c r="AU466" s="45"/>
      <c r="AV466" s="45"/>
      <c r="AW466" s="45"/>
      <c r="AX466" s="45"/>
      <c r="AY466" s="45"/>
      <c r="AZ466" s="45"/>
      <c r="BA466" s="45"/>
      <c r="CM466" s="46"/>
      <c r="CO466" s="70"/>
    </row>
    <row r="467" spans="13:93" ht="15">
      <c r="M467" s="45"/>
      <c r="N467" s="45"/>
      <c r="O467" s="45"/>
      <c r="P467" s="45"/>
      <c r="AD467" s="36"/>
      <c r="AE467" s="36"/>
      <c r="AF467" s="36"/>
      <c r="AG467" s="36"/>
      <c r="AH467" s="36"/>
      <c r="AI467" s="36"/>
      <c r="AJ467" s="36"/>
      <c r="AK467" s="36"/>
      <c r="AT467" s="45"/>
      <c r="AU467" s="45"/>
      <c r="AV467" s="45"/>
      <c r="AW467" s="45"/>
      <c r="AX467" s="45"/>
      <c r="AY467" s="45"/>
      <c r="AZ467" s="45"/>
      <c r="BA467" s="45"/>
      <c r="CM467" s="46"/>
      <c r="CO467" s="70"/>
    </row>
    <row r="468" spans="13:93" ht="15">
      <c r="M468" s="45"/>
      <c r="N468" s="45"/>
      <c r="O468" s="45"/>
      <c r="P468" s="45"/>
      <c r="AD468" s="36"/>
      <c r="AE468" s="36"/>
      <c r="AF468" s="36"/>
      <c r="AG468" s="36"/>
      <c r="AH468" s="36"/>
      <c r="AI468" s="36"/>
      <c r="AJ468" s="36"/>
      <c r="AK468" s="36"/>
      <c r="AT468" s="45"/>
      <c r="AU468" s="45"/>
      <c r="AV468" s="45"/>
      <c r="AW468" s="45"/>
      <c r="AX468" s="45"/>
      <c r="AY468" s="45"/>
      <c r="AZ468" s="45"/>
      <c r="BA468" s="45"/>
      <c r="CM468" s="46"/>
      <c r="CO468" s="70"/>
    </row>
    <row r="469" spans="13:93" ht="15">
      <c r="M469" s="45"/>
      <c r="N469" s="45"/>
      <c r="O469" s="45"/>
      <c r="P469" s="45"/>
      <c r="AD469" s="36"/>
      <c r="AE469" s="36"/>
      <c r="AF469" s="36"/>
      <c r="AG469" s="36"/>
      <c r="AH469" s="36"/>
      <c r="AI469" s="36"/>
      <c r="AJ469" s="36"/>
      <c r="AK469" s="36"/>
      <c r="AT469" s="45"/>
      <c r="AU469" s="45"/>
      <c r="AV469" s="45"/>
      <c r="AW469" s="45"/>
      <c r="AX469" s="45"/>
      <c r="AY469" s="45"/>
      <c r="AZ469" s="45"/>
      <c r="BA469" s="45"/>
      <c r="CM469" s="46"/>
      <c r="CO469" s="70"/>
    </row>
    <row r="470" spans="13:93" ht="15">
      <c r="M470" s="45"/>
      <c r="N470" s="45"/>
      <c r="O470" s="45"/>
      <c r="P470" s="45"/>
      <c r="AD470" s="36"/>
      <c r="AE470" s="36"/>
      <c r="AF470" s="36"/>
      <c r="AG470" s="36"/>
      <c r="AH470" s="36"/>
      <c r="AI470" s="36"/>
      <c r="AJ470" s="36"/>
      <c r="AK470" s="36"/>
      <c r="AT470" s="45"/>
      <c r="AU470" s="45"/>
      <c r="AV470" s="45"/>
      <c r="AW470" s="45"/>
      <c r="AX470" s="45"/>
      <c r="AY470" s="45"/>
      <c r="AZ470" s="45"/>
      <c r="BA470" s="45"/>
      <c r="CM470" s="46"/>
      <c r="CO470" s="70"/>
    </row>
    <row r="471" spans="13:93" ht="15">
      <c r="M471" s="45"/>
      <c r="N471" s="45"/>
      <c r="O471" s="45"/>
      <c r="P471" s="45"/>
      <c r="AD471" s="36"/>
      <c r="AE471" s="36"/>
      <c r="AF471" s="36"/>
      <c r="AG471" s="36"/>
      <c r="AH471" s="36"/>
      <c r="AI471" s="36"/>
      <c r="AJ471" s="36"/>
      <c r="AK471" s="36"/>
      <c r="AT471" s="45"/>
      <c r="AU471" s="45"/>
      <c r="AV471" s="45"/>
      <c r="AW471" s="45"/>
      <c r="AX471" s="45"/>
      <c r="AY471" s="45"/>
      <c r="AZ471" s="45"/>
      <c r="BA471" s="45"/>
      <c r="CM471" s="46"/>
      <c r="CO471" s="70"/>
    </row>
    <row r="472" spans="13:93" ht="15">
      <c r="M472" s="45"/>
      <c r="N472" s="45"/>
      <c r="O472" s="45"/>
      <c r="P472" s="45"/>
      <c r="AD472" s="36"/>
      <c r="AE472" s="36"/>
      <c r="AF472" s="36"/>
      <c r="AG472" s="36"/>
      <c r="AH472" s="36"/>
      <c r="AI472" s="36"/>
      <c r="AJ472" s="36"/>
      <c r="AK472" s="36"/>
      <c r="AT472" s="45"/>
      <c r="AU472" s="45"/>
      <c r="AV472" s="45"/>
      <c r="AW472" s="45"/>
      <c r="AX472" s="45"/>
      <c r="AY472" s="45"/>
      <c r="AZ472" s="45"/>
      <c r="BA472" s="45"/>
      <c r="CM472" s="46"/>
      <c r="CO472" s="70"/>
    </row>
    <row r="473" spans="13:93" ht="15">
      <c r="M473" s="45"/>
      <c r="N473" s="45"/>
      <c r="O473" s="45"/>
      <c r="P473" s="45"/>
      <c r="AD473" s="36"/>
      <c r="AE473" s="36"/>
      <c r="AF473" s="36"/>
      <c r="AG473" s="36"/>
      <c r="AH473" s="36"/>
      <c r="AI473" s="36"/>
      <c r="AJ473" s="36"/>
      <c r="AK473" s="36"/>
      <c r="AT473" s="45"/>
      <c r="AU473" s="45"/>
      <c r="AV473" s="45"/>
      <c r="AW473" s="45"/>
      <c r="AX473" s="45"/>
      <c r="AY473" s="45"/>
      <c r="AZ473" s="45"/>
      <c r="BA473" s="45"/>
      <c r="CM473" s="46"/>
      <c r="CO473" s="70"/>
    </row>
    <row r="474" spans="13:93" ht="15">
      <c r="M474" s="45"/>
      <c r="N474" s="45"/>
      <c r="O474" s="45"/>
      <c r="P474" s="45"/>
      <c r="AD474" s="36"/>
      <c r="AE474" s="36"/>
      <c r="AF474" s="36"/>
      <c r="AG474" s="36"/>
      <c r="AH474" s="36"/>
      <c r="AI474" s="36"/>
      <c r="AJ474" s="36"/>
      <c r="AK474" s="36"/>
      <c r="AT474" s="45"/>
      <c r="AU474" s="45"/>
      <c r="AV474" s="45"/>
      <c r="AW474" s="45"/>
      <c r="AX474" s="45"/>
      <c r="AY474" s="45"/>
      <c r="AZ474" s="45"/>
      <c r="BA474" s="45"/>
      <c r="CM474" s="46"/>
      <c r="CO474" s="70"/>
    </row>
    <row r="475" spans="13:93" ht="15">
      <c r="M475" s="45"/>
      <c r="N475" s="45"/>
      <c r="O475" s="45"/>
      <c r="P475" s="45"/>
      <c r="AD475" s="36"/>
      <c r="AE475" s="36"/>
      <c r="AF475" s="36"/>
      <c r="AG475" s="36"/>
      <c r="AH475" s="36"/>
      <c r="AI475" s="36"/>
      <c r="AJ475" s="36"/>
      <c r="AK475" s="36"/>
      <c r="AT475" s="45"/>
      <c r="AU475" s="45"/>
      <c r="AV475" s="45"/>
      <c r="AW475" s="45"/>
      <c r="AX475" s="45"/>
      <c r="AY475" s="45"/>
      <c r="AZ475" s="45"/>
      <c r="BA475" s="45"/>
      <c r="CM475" s="46"/>
      <c r="CO475" s="70"/>
    </row>
    <row r="476" spans="13:93" ht="15">
      <c r="M476" s="45"/>
      <c r="N476" s="45"/>
      <c r="O476" s="45"/>
      <c r="P476" s="45"/>
      <c r="AD476" s="36"/>
      <c r="AE476" s="36"/>
      <c r="AF476" s="36"/>
      <c r="AG476" s="36"/>
      <c r="AH476" s="36"/>
      <c r="AI476" s="36"/>
      <c r="AJ476" s="36"/>
      <c r="AK476" s="36"/>
      <c r="AT476" s="45"/>
      <c r="AU476" s="45"/>
      <c r="AV476" s="45"/>
      <c r="AW476" s="45"/>
      <c r="AX476" s="45"/>
      <c r="AY476" s="45"/>
      <c r="AZ476" s="45"/>
      <c r="BA476" s="45"/>
      <c r="CM476" s="46"/>
      <c r="CO476" s="70"/>
    </row>
    <row r="477" spans="13:93" ht="15">
      <c r="M477" s="45"/>
      <c r="N477" s="45"/>
      <c r="O477" s="45"/>
      <c r="P477" s="45"/>
      <c r="AD477" s="36"/>
      <c r="AE477" s="36"/>
      <c r="AF477" s="36"/>
      <c r="AG477" s="36"/>
      <c r="AH477" s="36"/>
      <c r="AI477" s="36"/>
      <c r="AJ477" s="36"/>
      <c r="AK477" s="36"/>
      <c r="AT477" s="45"/>
      <c r="AU477" s="45"/>
      <c r="AV477" s="45"/>
      <c r="AW477" s="45"/>
      <c r="AX477" s="45"/>
      <c r="AY477" s="45"/>
      <c r="AZ477" s="45"/>
      <c r="BA477" s="45"/>
      <c r="CM477" s="46"/>
      <c r="CO477" s="70"/>
    </row>
    <row r="478" spans="13:93" ht="15">
      <c r="M478" s="45"/>
      <c r="N478" s="45"/>
      <c r="O478" s="45"/>
      <c r="P478" s="45"/>
      <c r="AD478" s="36"/>
      <c r="AE478" s="36"/>
      <c r="AF478" s="36"/>
      <c r="AG478" s="36"/>
      <c r="AH478" s="36"/>
      <c r="AI478" s="36"/>
      <c r="AJ478" s="36"/>
      <c r="AK478" s="36"/>
      <c r="AT478" s="45"/>
      <c r="AU478" s="45"/>
      <c r="AV478" s="45"/>
      <c r="AW478" s="45"/>
      <c r="AX478" s="45"/>
      <c r="AY478" s="45"/>
      <c r="AZ478" s="45"/>
      <c r="BA478" s="45"/>
      <c r="CM478" s="46"/>
      <c r="CO478" s="70"/>
    </row>
    <row r="479" spans="13:93" ht="15">
      <c r="M479" s="45"/>
      <c r="N479" s="45"/>
      <c r="O479" s="45"/>
      <c r="P479" s="45"/>
      <c r="AD479" s="36"/>
      <c r="AE479" s="36"/>
      <c r="AF479" s="36"/>
      <c r="AG479" s="36"/>
      <c r="AH479" s="36"/>
      <c r="AI479" s="36"/>
      <c r="AJ479" s="36"/>
      <c r="AK479" s="36"/>
      <c r="AT479" s="45"/>
      <c r="AU479" s="45"/>
      <c r="AV479" s="45"/>
      <c r="AW479" s="45"/>
      <c r="AX479" s="45"/>
      <c r="AY479" s="45"/>
      <c r="AZ479" s="45"/>
      <c r="BA479" s="45"/>
      <c r="CM479" s="46"/>
      <c r="CO479" s="70"/>
    </row>
    <row r="480" spans="13:93" ht="15">
      <c r="M480" s="45"/>
      <c r="N480" s="45"/>
      <c r="O480" s="45"/>
      <c r="P480" s="45"/>
      <c r="AD480" s="36"/>
      <c r="AE480" s="36"/>
      <c r="AF480" s="36"/>
      <c r="AG480" s="36"/>
      <c r="AH480" s="36"/>
      <c r="AI480" s="36"/>
      <c r="AJ480" s="36"/>
      <c r="AK480" s="36"/>
      <c r="AT480" s="45"/>
      <c r="AU480" s="45"/>
      <c r="AV480" s="45"/>
      <c r="AW480" s="45"/>
      <c r="AX480" s="45"/>
      <c r="AY480" s="45"/>
      <c r="AZ480" s="45"/>
      <c r="BA480" s="45"/>
      <c r="CM480" s="46"/>
      <c r="CO480" s="70"/>
    </row>
    <row r="481" spans="13:93" ht="15">
      <c r="M481" s="45"/>
      <c r="N481" s="45"/>
      <c r="O481" s="45"/>
      <c r="P481" s="45"/>
      <c r="AD481" s="36"/>
      <c r="AE481" s="36"/>
      <c r="AF481" s="36"/>
      <c r="AG481" s="36"/>
      <c r="AH481" s="36"/>
      <c r="AI481" s="36"/>
      <c r="AJ481" s="36"/>
      <c r="AK481" s="36"/>
      <c r="AT481" s="45"/>
      <c r="AU481" s="45"/>
      <c r="AV481" s="45"/>
      <c r="AW481" s="45"/>
      <c r="AX481" s="45"/>
      <c r="AY481" s="45"/>
      <c r="AZ481" s="45"/>
      <c r="BA481" s="45"/>
      <c r="CM481" s="46"/>
      <c r="CO481" s="70"/>
    </row>
    <row r="482" spans="13:93" ht="15">
      <c r="M482" s="45"/>
      <c r="N482" s="45"/>
      <c r="O482" s="45"/>
      <c r="P482" s="45"/>
      <c r="AD482" s="36"/>
      <c r="AE482" s="36"/>
      <c r="AF482" s="36"/>
      <c r="AG482" s="36"/>
      <c r="AH482" s="36"/>
      <c r="AI482" s="36"/>
      <c r="AJ482" s="36"/>
      <c r="AK482" s="36"/>
      <c r="AT482" s="45"/>
      <c r="AU482" s="45"/>
      <c r="AV482" s="45"/>
      <c r="AW482" s="45"/>
      <c r="AX482" s="45"/>
      <c r="AY482" s="45"/>
      <c r="AZ482" s="45"/>
      <c r="BA482" s="45"/>
      <c r="CM482" s="46"/>
      <c r="CO482" s="70"/>
    </row>
    <row r="483" spans="13:93" ht="15">
      <c r="M483" s="45"/>
      <c r="N483" s="45"/>
      <c r="O483" s="45"/>
      <c r="P483" s="45"/>
      <c r="AD483" s="36"/>
      <c r="AE483" s="36"/>
      <c r="AF483" s="36"/>
      <c r="AG483" s="36"/>
      <c r="AH483" s="36"/>
      <c r="AI483" s="36"/>
      <c r="AJ483" s="36"/>
      <c r="AK483" s="36"/>
      <c r="AT483" s="45"/>
      <c r="AU483" s="45"/>
      <c r="AV483" s="45"/>
      <c r="AW483" s="45"/>
      <c r="AX483" s="45"/>
      <c r="AY483" s="45"/>
      <c r="AZ483" s="45"/>
      <c r="BA483" s="45"/>
      <c r="CM483" s="46"/>
      <c r="CO483" s="70"/>
    </row>
    <row r="484" spans="13:93" ht="15">
      <c r="M484" s="45"/>
      <c r="N484" s="45"/>
      <c r="O484" s="45"/>
      <c r="P484" s="45"/>
      <c r="AD484" s="36"/>
      <c r="AE484" s="36"/>
      <c r="AF484" s="36"/>
      <c r="AG484" s="36"/>
      <c r="AH484" s="36"/>
      <c r="AI484" s="36"/>
      <c r="AJ484" s="36"/>
      <c r="AK484" s="36"/>
      <c r="AT484" s="45"/>
      <c r="AU484" s="45"/>
      <c r="AV484" s="45"/>
      <c r="AW484" s="45"/>
      <c r="AX484" s="45"/>
      <c r="AY484" s="45"/>
      <c r="AZ484" s="45"/>
      <c r="BA484" s="45"/>
      <c r="CM484" s="46"/>
      <c r="CO484" s="70"/>
    </row>
    <row r="485" spans="13:93" ht="15">
      <c r="M485" s="45"/>
      <c r="N485" s="45"/>
      <c r="O485" s="45"/>
      <c r="P485" s="45"/>
      <c r="AD485" s="36"/>
      <c r="AE485" s="36"/>
      <c r="AF485" s="36"/>
      <c r="AG485" s="36"/>
      <c r="AH485" s="36"/>
      <c r="AI485" s="36"/>
      <c r="AJ485" s="36"/>
      <c r="AK485" s="36"/>
      <c r="AT485" s="45"/>
      <c r="AU485" s="45"/>
      <c r="AV485" s="45"/>
      <c r="AW485" s="45"/>
      <c r="AX485" s="45"/>
      <c r="AY485" s="45"/>
      <c r="AZ485" s="45"/>
      <c r="BA485" s="45"/>
      <c r="CM485" s="46"/>
      <c r="CO485" s="70"/>
    </row>
    <row r="486" spans="13:93" ht="15">
      <c r="M486" s="45"/>
      <c r="N486" s="45"/>
      <c r="O486" s="45"/>
      <c r="P486" s="45"/>
      <c r="AD486" s="36"/>
      <c r="AE486" s="36"/>
      <c r="AF486" s="36"/>
      <c r="AG486" s="36"/>
      <c r="AH486" s="36"/>
      <c r="AI486" s="36"/>
      <c r="AJ486" s="36"/>
      <c r="AK486" s="36"/>
      <c r="AT486" s="45"/>
      <c r="AU486" s="45"/>
      <c r="AV486" s="45"/>
      <c r="AW486" s="45"/>
      <c r="AX486" s="45"/>
      <c r="AY486" s="45"/>
      <c r="AZ486" s="45"/>
      <c r="BA486" s="45"/>
      <c r="CM486" s="46"/>
      <c r="CO486" s="70"/>
    </row>
    <row r="487" spans="13:93" ht="15">
      <c r="M487" s="45"/>
      <c r="N487" s="45"/>
      <c r="O487" s="45"/>
      <c r="P487" s="45"/>
      <c r="AD487" s="36"/>
      <c r="AE487" s="36"/>
      <c r="AF487" s="36"/>
      <c r="AG487" s="36"/>
      <c r="AH487" s="36"/>
      <c r="AI487" s="36"/>
      <c r="AJ487" s="36"/>
      <c r="AK487" s="36"/>
      <c r="AT487" s="45"/>
      <c r="AU487" s="45"/>
      <c r="AV487" s="45"/>
      <c r="AW487" s="45"/>
      <c r="AX487" s="45"/>
      <c r="AY487" s="45"/>
      <c r="AZ487" s="45"/>
      <c r="BA487" s="45"/>
      <c r="CM487" s="46"/>
      <c r="CO487" s="70"/>
    </row>
    <row r="488" spans="13:93" ht="15">
      <c r="M488" s="45"/>
      <c r="N488" s="45"/>
      <c r="O488" s="45"/>
      <c r="P488" s="45"/>
      <c r="AD488" s="36"/>
      <c r="AE488" s="36"/>
      <c r="AF488" s="36"/>
      <c r="AG488" s="36"/>
      <c r="AH488" s="36"/>
      <c r="AI488" s="36"/>
      <c r="AJ488" s="36"/>
      <c r="AK488" s="36"/>
      <c r="AT488" s="45"/>
      <c r="AU488" s="45"/>
      <c r="AV488" s="45"/>
      <c r="AW488" s="45"/>
      <c r="AX488" s="45"/>
      <c r="AY488" s="45"/>
      <c r="AZ488" s="45"/>
      <c r="BA488" s="45"/>
      <c r="CM488" s="46"/>
      <c r="CO488" s="70"/>
    </row>
    <row r="489" spans="13:93" ht="15">
      <c r="M489" s="45"/>
      <c r="N489" s="45"/>
      <c r="O489" s="45"/>
      <c r="P489" s="45"/>
      <c r="AD489" s="36"/>
      <c r="AE489" s="36"/>
      <c r="AF489" s="36"/>
      <c r="AG489" s="36"/>
      <c r="AH489" s="36"/>
      <c r="AI489" s="36"/>
      <c r="AJ489" s="36"/>
      <c r="AK489" s="36"/>
      <c r="AT489" s="45"/>
      <c r="AU489" s="45"/>
      <c r="AV489" s="45"/>
      <c r="AW489" s="45"/>
      <c r="AX489" s="45"/>
      <c r="AY489" s="45"/>
      <c r="AZ489" s="45"/>
      <c r="BA489" s="45"/>
      <c r="CM489" s="46"/>
      <c r="CO489" s="70"/>
    </row>
    <row r="490" spans="13:93" ht="15">
      <c r="M490" s="45"/>
      <c r="N490" s="45"/>
      <c r="O490" s="45"/>
      <c r="P490" s="45"/>
      <c r="AD490" s="36"/>
      <c r="AE490" s="36"/>
      <c r="AF490" s="36"/>
      <c r="AG490" s="36"/>
      <c r="AH490" s="36"/>
      <c r="AI490" s="36"/>
      <c r="AJ490" s="36"/>
      <c r="AK490" s="36"/>
      <c r="AT490" s="45"/>
      <c r="AU490" s="45"/>
      <c r="AV490" s="45"/>
      <c r="AW490" s="45"/>
      <c r="AX490" s="45"/>
      <c r="AY490" s="45"/>
      <c r="AZ490" s="45"/>
      <c r="BA490" s="45"/>
      <c r="CM490" s="46"/>
      <c r="CO490" s="70"/>
    </row>
    <row r="491" spans="13:93" ht="15">
      <c r="M491" s="45"/>
      <c r="N491" s="45"/>
      <c r="O491" s="45"/>
      <c r="P491" s="45"/>
      <c r="AD491" s="36"/>
      <c r="AE491" s="36"/>
      <c r="AF491" s="36"/>
      <c r="AG491" s="36"/>
      <c r="AH491" s="36"/>
      <c r="AI491" s="36"/>
      <c r="AJ491" s="36"/>
      <c r="AK491" s="36"/>
      <c r="AT491" s="45"/>
      <c r="AU491" s="45"/>
      <c r="AV491" s="45"/>
      <c r="AW491" s="45"/>
      <c r="AX491" s="45"/>
      <c r="AY491" s="45"/>
      <c r="AZ491" s="45"/>
      <c r="BA491" s="45"/>
      <c r="CM491" s="46"/>
      <c r="CO491" s="70"/>
    </row>
    <row r="492" spans="13:93" ht="15">
      <c r="M492" s="45"/>
      <c r="N492" s="45"/>
      <c r="O492" s="45"/>
      <c r="P492" s="45"/>
      <c r="AD492" s="36"/>
      <c r="AE492" s="36"/>
      <c r="AF492" s="36"/>
      <c r="AG492" s="36"/>
      <c r="AH492" s="36"/>
      <c r="AI492" s="36"/>
      <c r="AJ492" s="36"/>
      <c r="AK492" s="36"/>
      <c r="AT492" s="45"/>
      <c r="AU492" s="45"/>
      <c r="AV492" s="45"/>
      <c r="AW492" s="45"/>
      <c r="AX492" s="45"/>
      <c r="AY492" s="45"/>
      <c r="AZ492" s="45"/>
      <c r="BA492" s="45"/>
      <c r="CM492" s="46"/>
      <c r="CO492" s="70"/>
    </row>
    <row r="493" spans="13:93" ht="15">
      <c r="M493" s="45"/>
      <c r="N493" s="45"/>
      <c r="O493" s="45"/>
      <c r="P493" s="45"/>
      <c r="AD493" s="36"/>
      <c r="AE493" s="36"/>
      <c r="AF493" s="36"/>
      <c r="AG493" s="36"/>
      <c r="AH493" s="36"/>
      <c r="AI493" s="36"/>
      <c r="AJ493" s="36"/>
      <c r="AK493" s="36"/>
      <c r="AT493" s="45"/>
      <c r="AU493" s="45"/>
      <c r="AV493" s="45"/>
      <c r="AW493" s="45"/>
      <c r="AX493" s="45"/>
      <c r="AY493" s="45"/>
      <c r="AZ493" s="45"/>
      <c r="BA493" s="45"/>
      <c r="CM493" s="46"/>
      <c r="CO493" s="70"/>
    </row>
    <row r="494" spans="13:93" ht="15">
      <c r="M494" s="45"/>
      <c r="N494" s="45"/>
      <c r="O494" s="45"/>
      <c r="P494" s="45"/>
      <c r="AD494" s="36"/>
      <c r="AE494" s="36"/>
      <c r="AF494" s="36"/>
      <c r="AG494" s="36"/>
      <c r="AH494" s="36"/>
      <c r="AI494" s="36"/>
      <c r="AJ494" s="36"/>
      <c r="AK494" s="36"/>
      <c r="AT494" s="45"/>
      <c r="AU494" s="45"/>
      <c r="AV494" s="45"/>
      <c r="AW494" s="45"/>
      <c r="AX494" s="45"/>
      <c r="AY494" s="45"/>
      <c r="AZ494" s="45"/>
      <c r="BA494" s="45"/>
      <c r="CM494" s="46"/>
      <c r="CO494" s="70"/>
    </row>
    <row r="495" spans="13:93" ht="15">
      <c r="M495" s="45"/>
      <c r="N495" s="45"/>
      <c r="O495" s="45"/>
      <c r="P495" s="45"/>
      <c r="AD495" s="36"/>
      <c r="AE495" s="36"/>
      <c r="AF495" s="36"/>
      <c r="AG495" s="36"/>
      <c r="AH495" s="36"/>
      <c r="AI495" s="36"/>
      <c r="AJ495" s="36"/>
      <c r="AK495" s="36"/>
      <c r="AT495" s="45"/>
      <c r="AU495" s="45"/>
      <c r="AV495" s="45"/>
      <c r="AW495" s="45"/>
      <c r="AX495" s="45"/>
      <c r="AY495" s="45"/>
      <c r="AZ495" s="45"/>
      <c r="BA495" s="45"/>
      <c r="CM495" s="46"/>
      <c r="CO495" s="70"/>
    </row>
    <row r="496" spans="13:93" ht="15">
      <c r="M496" s="45"/>
      <c r="N496" s="45"/>
      <c r="O496" s="45"/>
      <c r="P496" s="45"/>
      <c r="AD496" s="36"/>
      <c r="AE496" s="36"/>
      <c r="AF496" s="36"/>
      <c r="AG496" s="36"/>
      <c r="AH496" s="36"/>
      <c r="AI496" s="36"/>
      <c r="AJ496" s="36"/>
      <c r="AK496" s="36"/>
      <c r="AT496" s="45"/>
      <c r="AU496" s="45"/>
      <c r="AV496" s="45"/>
      <c r="AW496" s="45"/>
      <c r="AX496" s="45"/>
      <c r="AY496" s="45"/>
      <c r="AZ496" s="45"/>
      <c r="BA496" s="45"/>
      <c r="CM496" s="46"/>
      <c r="CO496" s="70"/>
    </row>
    <row r="497" spans="13:93" ht="15">
      <c r="M497" s="45"/>
      <c r="N497" s="45"/>
      <c r="O497" s="45"/>
      <c r="P497" s="45"/>
      <c r="AD497" s="36"/>
      <c r="AE497" s="36"/>
      <c r="AF497" s="36"/>
      <c r="AG497" s="36"/>
      <c r="AH497" s="36"/>
      <c r="AI497" s="36"/>
      <c r="AJ497" s="36"/>
      <c r="AK497" s="36"/>
      <c r="AT497" s="45"/>
      <c r="AU497" s="45"/>
      <c r="AV497" s="45"/>
      <c r="AW497" s="45"/>
      <c r="AX497" s="45"/>
      <c r="AY497" s="45"/>
      <c r="AZ497" s="45"/>
      <c r="BA497" s="45"/>
      <c r="CM497" s="46"/>
      <c r="CO497" s="70"/>
    </row>
    <row r="498" spans="13:93" ht="15">
      <c r="M498" s="45"/>
      <c r="N498" s="45"/>
      <c r="O498" s="45"/>
      <c r="P498" s="45"/>
      <c r="AD498" s="36"/>
      <c r="AE498" s="36"/>
      <c r="AF498" s="36"/>
      <c r="AG498" s="36"/>
      <c r="AH498" s="36"/>
      <c r="AI498" s="36"/>
      <c r="AJ498" s="36"/>
      <c r="AK498" s="36"/>
      <c r="AT498" s="45"/>
      <c r="AU498" s="45"/>
      <c r="AV498" s="45"/>
      <c r="AW498" s="45"/>
      <c r="AX498" s="45"/>
      <c r="AY498" s="45"/>
      <c r="AZ498" s="45"/>
      <c r="BA498" s="45"/>
      <c r="CM498" s="46"/>
      <c r="CO498" s="70"/>
    </row>
    <row r="499" spans="13:93" ht="15">
      <c r="M499" s="45"/>
      <c r="N499" s="45"/>
      <c r="O499" s="45"/>
      <c r="P499" s="45"/>
      <c r="AD499" s="36"/>
      <c r="AE499" s="36"/>
      <c r="AF499" s="36"/>
      <c r="AG499" s="36"/>
      <c r="AH499" s="36"/>
      <c r="AI499" s="36"/>
      <c r="AJ499" s="36"/>
      <c r="AK499" s="36"/>
      <c r="AT499" s="45"/>
      <c r="AU499" s="45"/>
      <c r="AV499" s="45"/>
      <c r="AW499" s="45"/>
      <c r="AX499" s="45"/>
      <c r="AY499" s="45"/>
      <c r="AZ499" s="45"/>
      <c r="BA499" s="45"/>
      <c r="CM499" s="46"/>
      <c r="CO499" s="70"/>
    </row>
    <row r="500" spans="13:93" ht="15">
      <c r="M500" s="45"/>
      <c r="N500" s="45"/>
      <c r="O500" s="45"/>
      <c r="P500" s="45"/>
      <c r="AD500" s="36"/>
      <c r="AE500" s="36"/>
      <c r="AF500" s="36"/>
      <c r="AG500" s="36"/>
      <c r="AH500" s="36"/>
      <c r="AI500" s="36"/>
      <c r="AJ500" s="36"/>
      <c r="AK500" s="36"/>
      <c r="AT500" s="45"/>
      <c r="AU500" s="45"/>
      <c r="AV500" s="45"/>
      <c r="AW500" s="45"/>
      <c r="AX500" s="45"/>
      <c r="AY500" s="45"/>
      <c r="AZ500" s="45"/>
      <c r="BA500" s="45"/>
      <c r="CM500" s="46"/>
      <c r="CO500" s="70"/>
    </row>
    <row r="501" spans="13:93" ht="15">
      <c r="M501" s="45"/>
      <c r="N501" s="45"/>
      <c r="O501" s="45"/>
      <c r="P501" s="45"/>
      <c r="AD501" s="36"/>
      <c r="AE501" s="36"/>
      <c r="AF501" s="36"/>
      <c r="AG501" s="36"/>
      <c r="AH501" s="36"/>
      <c r="AI501" s="36"/>
      <c r="AJ501" s="36"/>
      <c r="AK501" s="36"/>
      <c r="AT501" s="45"/>
      <c r="AU501" s="45"/>
      <c r="AV501" s="45"/>
      <c r="AW501" s="45"/>
      <c r="AX501" s="45"/>
      <c r="AY501" s="45"/>
      <c r="AZ501" s="45"/>
      <c r="BA501" s="45"/>
      <c r="CM501" s="46"/>
      <c r="CO501" s="70"/>
    </row>
    <row r="502" spans="13:93" ht="15">
      <c r="M502" s="45"/>
      <c r="N502" s="45"/>
      <c r="O502" s="45"/>
      <c r="P502" s="45"/>
      <c r="AD502" s="36"/>
      <c r="AE502" s="36"/>
      <c r="AF502" s="36"/>
      <c r="AG502" s="36"/>
      <c r="AH502" s="36"/>
      <c r="AI502" s="36"/>
      <c r="AJ502" s="36"/>
      <c r="AK502" s="36"/>
      <c r="AT502" s="45"/>
      <c r="AU502" s="45"/>
      <c r="AV502" s="45"/>
      <c r="AW502" s="45"/>
      <c r="AX502" s="45"/>
      <c r="AY502" s="45"/>
      <c r="AZ502" s="45"/>
      <c r="BA502" s="45"/>
      <c r="CM502" s="46"/>
      <c r="CO502" s="70"/>
    </row>
    <row r="503" spans="13:93" ht="15">
      <c r="M503" s="45"/>
      <c r="N503" s="45"/>
      <c r="O503" s="45"/>
      <c r="P503" s="45"/>
      <c r="AD503" s="36"/>
      <c r="AE503" s="36"/>
      <c r="AF503" s="36"/>
      <c r="AG503" s="36"/>
      <c r="AH503" s="36"/>
      <c r="AI503" s="36"/>
      <c r="AJ503" s="36"/>
      <c r="AK503" s="36"/>
      <c r="AT503" s="45"/>
      <c r="AU503" s="45"/>
      <c r="AV503" s="45"/>
      <c r="AW503" s="45"/>
      <c r="AX503" s="45"/>
      <c r="AY503" s="45"/>
      <c r="AZ503" s="45"/>
      <c r="BA503" s="45"/>
      <c r="CM503" s="46"/>
      <c r="CO503" s="70"/>
    </row>
    <row r="504" spans="13:93" ht="15">
      <c r="M504" s="45"/>
      <c r="N504" s="45"/>
      <c r="O504" s="45"/>
      <c r="P504" s="45"/>
      <c r="AD504" s="36"/>
      <c r="AE504" s="36"/>
      <c r="AF504" s="36"/>
      <c r="AG504" s="36"/>
      <c r="AH504" s="36"/>
      <c r="AI504" s="36"/>
      <c r="AJ504" s="36"/>
      <c r="AK504" s="36"/>
      <c r="AT504" s="45"/>
      <c r="AU504" s="45"/>
      <c r="AV504" s="45"/>
      <c r="AW504" s="45"/>
      <c r="AX504" s="45"/>
      <c r="AY504" s="45"/>
      <c r="AZ504" s="45"/>
      <c r="BA504" s="45"/>
      <c r="CM504" s="46"/>
      <c r="CO504" s="70"/>
    </row>
    <row r="505" spans="13:93" ht="15">
      <c r="M505" s="45"/>
      <c r="N505" s="45"/>
      <c r="O505" s="45"/>
      <c r="P505" s="45"/>
      <c r="AD505" s="36"/>
      <c r="AE505" s="36"/>
      <c r="AF505" s="36"/>
      <c r="AG505" s="36"/>
      <c r="AH505" s="36"/>
      <c r="AI505" s="36"/>
      <c r="AJ505" s="36"/>
      <c r="AK505" s="36"/>
      <c r="AT505" s="45"/>
      <c r="AU505" s="45"/>
      <c r="AV505" s="45"/>
      <c r="AW505" s="45"/>
      <c r="AX505" s="45"/>
      <c r="AY505" s="45"/>
      <c r="AZ505" s="45"/>
      <c r="BA505" s="45"/>
      <c r="CM505" s="46"/>
      <c r="CO505" s="70"/>
    </row>
    <row r="506" spans="13:93" ht="15">
      <c r="M506" s="45"/>
      <c r="N506" s="45"/>
      <c r="O506" s="45"/>
      <c r="P506" s="45"/>
      <c r="AD506" s="36"/>
      <c r="AE506" s="36"/>
      <c r="AF506" s="36"/>
      <c r="AG506" s="36"/>
      <c r="AH506" s="36"/>
      <c r="AI506" s="36"/>
      <c r="AJ506" s="36"/>
      <c r="AK506" s="36"/>
      <c r="AT506" s="45"/>
      <c r="AU506" s="45"/>
      <c r="AV506" s="45"/>
      <c r="AW506" s="45"/>
      <c r="AX506" s="45"/>
      <c r="AY506" s="45"/>
      <c r="AZ506" s="45"/>
      <c r="BA506" s="45"/>
      <c r="CM506" s="46"/>
      <c r="CO506" s="70"/>
    </row>
    <row r="507" spans="13:93" ht="15">
      <c r="M507" s="45"/>
      <c r="N507" s="45"/>
      <c r="O507" s="45"/>
      <c r="P507" s="45"/>
      <c r="AD507" s="36"/>
      <c r="AE507" s="36"/>
      <c r="AF507" s="36"/>
      <c r="AG507" s="36"/>
      <c r="AH507" s="36"/>
      <c r="AI507" s="36"/>
      <c r="AJ507" s="36"/>
      <c r="AK507" s="36"/>
      <c r="AT507" s="45"/>
      <c r="AU507" s="45"/>
      <c r="AV507" s="45"/>
      <c r="AW507" s="45"/>
      <c r="AX507" s="45"/>
      <c r="AY507" s="45"/>
      <c r="AZ507" s="45"/>
      <c r="BA507" s="45"/>
      <c r="CM507" s="46"/>
      <c r="CO507" s="70"/>
    </row>
    <row r="508" spans="13:93" ht="15">
      <c r="M508" s="45"/>
      <c r="N508" s="45"/>
      <c r="O508" s="45"/>
      <c r="P508" s="45"/>
      <c r="AD508" s="36"/>
      <c r="AE508" s="36"/>
      <c r="AF508" s="36"/>
      <c r="AG508" s="36"/>
      <c r="AH508" s="36"/>
      <c r="AI508" s="36"/>
      <c r="AJ508" s="36"/>
      <c r="AK508" s="36"/>
      <c r="AT508" s="45"/>
      <c r="AU508" s="45"/>
      <c r="AV508" s="45"/>
      <c r="AW508" s="45"/>
      <c r="AX508" s="45"/>
      <c r="AY508" s="45"/>
      <c r="AZ508" s="45"/>
      <c r="BA508" s="45"/>
      <c r="CM508" s="46"/>
      <c r="CO508" s="70"/>
    </row>
    <row r="509" spans="13:93" ht="15">
      <c r="M509" s="45"/>
      <c r="N509" s="45"/>
      <c r="O509" s="45"/>
      <c r="P509" s="45"/>
      <c r="AD509" s="36"/>
      <c r="AE509" s="36"/>
      <c r="AF509" s="36"/>
      <c r="AG509" s="36"/>
      <c r="AH509" s="36"/>
      <c r="AI509" s="36"/>
      <c r="AJ509" s="36"/>
      <c r="AK509" s="36"/>
      <c r="AT509" s="45"/>
      <c r="AU509" s="45"/>
      <c r="AV509" s="45"/>
      <c r="AW509" s="45"/>
      <c r="AX509" s="45"/>
      <c r="AY509" s="45"/>
      <c r="AZ509" s="45"/>
      <c r="BA509" s="45"/>
      <c r="CM509" s="46"/>
      <c r="CO509" s="70"/>
    </row>
    <row r="510" spans="13:93" ht="15">
      <c r="M510" s="45"/>
      <c r="N510" s="45"/>
      <c r="O510" s="45"/>
      <c r="P510" s="45"/>
      <c r="AD510" s="36"/>
      <c r="AE510" s="36"/>
      <c r="AF510" s="36"/>
      <c r="AG510" s="36"/>
      <c r="AH510" s="36"/>
      <c r="AI510" s="36"/>
      <c r="AJ510" s="36"/>
      <c r="AK510" s="36"/>
      <c r="AT510" s="45"/>
      <c r="AU510" s="45"/>
      <c r="AV510" s="45"/>
      <c r="AW510" s="45"/>
      <c r="AX510" s="45"/>
      <c r="AY510" s="45"/>
      <c r="AZ510" s="45"/>
      <c r="BA510" s="45"/>
      <c r="CM510" s="46"/>
      <c r="CO510" s="70"/>
    </row>
    <row r="511" spans="13:93" ht="15">
      <c r="M511" s="45"/>
      <c r="N511" s="45"/>
      <c r="O511" s="45"/>
      <c r="P511" s="45"/>
      <c r="AD511" s="36"/>
      <c r="AE511" s="36"/>
      <c r="AF511" s="36"/>
      <c r="AG511" s="36"/>
      <c r="AH511" s="36"/>
      <c r="AI511" s="36"/>
      <c r="AJ511" s="36"/>
      <c r="AK511" s="36"/>
      <c r="AT511" s="45"/>
      <c r="AU511" s="45"/>
      <c r="AV511" s="45"/>
      <c r="AW511" s="45"/>
      <c r="AX511" s="45"/>
      <c r="AY511" s="45"/>
      <c r="AZ511" s="45"/>
      <c r="BA511" s="45"/>
      <c r="CM511" s="46"/>
      <c r="CO511" s="70"/>
    </row>
    <row r="512" spans="13:93" ht="15">
      <c r="M512" s="45"/>
      <c r="N512" s="45"/>
      <c r="O512" s="45"/>
      <c r="P512" s="45"/>
      <c r="AD512" s="36"/>
      <c r="AE512" s="36"/>
      <c r="AF512" s="36"/>
      <c r="AG512" s="36"/>
      <c r="AH512" s="36"/>
      <c r="AI512" s="36"/>
      <c r="AJ512" s="36"/>
      <c r="AK512" s="36"/>
      <c r="AT512" s="45"/>
      <c r="AU512" s="45"/>
      <c r="AV512" s="45"/>
      <c r="AW512" s="45"/>
      <c r="AX512" s="45"/>
      <c r="AY512" s="45"/>
      <c r="AZ512" s="45"/>
      <c r="BA512" s="45"/>
      <c r="CM512" s="46"/>
      <c r="CO512" s="70"/>
    </row>
    <row r="513" spans="13:93" ht="15">
      <c r="M513" s="45"/>
      <c r="N513" s="45"/>
      <c r="O513" s="45"/>
      <c r="P513" s="45"/>
      <c r="AD513" s="36"/>
      <c r="AE513" s="36"/>
      <c r="AF513" s="36"/>
      <c r="AG513" s="36"/>
      <c r="AH513" s="36"/>
      <c r="AI513" s="36"/>
      <c r="AJ513" s="36"/>
      <c r="AK513" s="36"/>
      <c r="AT513" s="45"/>
      <c r="AU513" s="45"/>
      <c r="AV513" s="45"/>
      <c r="AW513" s="45"/>
      <c r="AX513" s="45"/>
      <c r="AY513" s="45"/>
      <c r="AZ513" s="45"/>
      <c r="BA513" s="45"/>
      <c r="CM513" s="46"/>
      <c r="CO513" s="70"/>
    </row>
    <row r="514" spans="13:93" ht="15">
      <c r="M514" s="45"/>
      <c r="N514" s="45"/>
      <c r="O514" s="45"/>
      <c r="P514" s="45"/>
      <c r="AD514" s="36"/>
      <c r="AE514" s="36"/>
      <c r="AF514" s="36"/>
      <c r="AG514" s="36"/>
      <c r="AH514" s="36"/>
      <c r="AI514" s="36"/>
      <c r="AJ514" s="36"/>
      <c r="AK514" s="36"/>
      <c r="AT514" s="45"/>
      <c r="AU514" s="45"/>
      <c r="AV514" s="45"/>
      <c r="AW514" s="45"/>
      <c r="AX514" s="45"/>
      <c r="AY514" s="45"/>
      <c r="AZ514" s="45"/>
      <c r="BA514" s="45"/>
      <c r="CM514" s="46"/>
      <c r="CO514" s="70"/>
    </row>
    <row r="515" spans="13:93" ht="15">
      <c r="M515" s="45"/>
      <c r="N515" s="45"/>
      <c r="O515" s="45"/>
      <c r="P515" s="45"/>
      <c r="AD515" s="36"/>
      <c r="AE515" s="36"/>
      <c r="AF515" s="36"/>
      <c r="AG515" s="36"/>
      <c r="AH515" s="36"/>
      <c r="AI515" s="36"/>
      <c r="AJ515" s="36"/>
      <c r="AK515" s="36"/>
      <c r="AT515" s="45"/>
      <c r="AU515" s="45"/>
      <c r="AV515" s="45"/>
      <c r="AW515" s="45"/>
      <c r="AX515" s="45"/>
      <c r="AY515" s="45"/>
      <c r="AZ515" s="45"/>
      <c r="BA515" s="45"/>
      <c r="CM515" s="46"/>
      <c r="CO515" s="70"/>
    </row>
    <row r="516" spans="13:93" ht="15">
      <c r="M516" s="45"/>
      <c r="N516" s="45"/>
      <c r="O516" s="45"/>
      <c r="P516" s="45"/>
      <c r="AD516" s="36"/>
      <c r="AE516" s="36"/>
      <c r="AF516" s="36"/>
      <c r="AG516" s="36"/>
      <c r="AH516" s="36"/>
      <c r="AI516" s="36"/>
      <c r="AJ516" s="36"/>
      <c r="AK516" s="36"/>
      <c r="AT516" s="45"/>
      <c r="AU516" s="45"/>
      <c r="AV516" s="45"/>
      <c r="AW516" s="45"/>
      <c r="AX516" s="45"/>
      <c r="AY516" s="45"/>
      <c r="AZ516" s="45"/>
      <c r="BA516" s="45"/>
      <c r="CM516" s="46"/>
      <c r="CO516" s="70"/>
    </row>
    <row r="517" spans="13:93" ht="15">
      <c r="M517" s="45"/>
      <c r="N517" s="45"/>
      <c r="O517" s="45"/>
      <c r="P517" s="45"/>
      <c r="AD517" s="36"/>
      <c r="AE517" s="36"/>
      <c r="AF517" s="36"/>
      <c r="AG517" s="36"/>
      <c r="AH517" s="36"/>
      <c r="AI517" s="36"/>
      <c r="AJ517" s="36"/>
      <c r="AK517" s="36"/>
      <c r="AT517" s="45"/>
      <c r="AU517" s="45"/>
      <c r="AV517" s="45"/>
      <c r="AW517" s="45"/>
      <c r="AX517" s="45"/>
      <c r="AY517" s="45"/>
      <c r="AZ517" s="45"/>
      <c r="BA517" s="45"/>
      <c r="CM517" s="46"/>
      <c r="CO517" s="70"/>
    </row>
    <row r="518" spans="13:93" ht="15">
      <c r="M518" s="45"/>
      <c r="N518" s="45"/>
      <c r="O518" s="45"/>
      <c r="P518" s="45"/>
      <c r="AD518" s="36"/>
      <c r="AE518" s="36"/>
      <c r="AF518" s="36"/>
      <c r="AG518" s="36"/>
      <c r="AH518" s="36"/>
      <c r="AI518" s="36"/>
      <c r="AJ518" s="36"/>
      <c r="AK518" s="36"/>
      <c r="AT518" s="45"/>
      <c r="AU518" s="45"/>
      <c r="AV518" s="45"/>
      <c r="AW518" s="45"/>
      <c r="AX518" s="45"/>
      <c r="AY518" s="45"/>
      <c r="AZ518" s="45"/>
      <c r="BA518" s="45"/>
      <c r="CM518" s="46"/>
      <c r="CO518" s="70"/>
    </row>
    <row r="519" spans="13:93" ht="15">
      <c r="M519" s="45"/>
      <c r="N519" s="45"/>
      <c r="O519" s="45"/>
      <c r="P519" s="45"/>
      <c r="AD519" s="36"/>
      <c r="AE519" s="36"/>
      <c r="AF519" s="36"/>
      <c r="AG519" s="36"/>
      <c r="AH519" s="36"/>
      <c r="AI519" s="36"/>
      <c r="AJ519" s="36"/>
      <c r="AK519" s="36"/>
      <c r="AT519" s="45"/>
      <c r="AU519" s="45"/>
      <c r="AV519" s="45"/>
      <c r="AW519" s="45"/>
      <c r="AX519" s="45"/>
      <c r="AY519" s="45"/>
      <c r="AZ519" s="45"/>
      <c r="BA519" s="45"/>
      <c r="CM519" s="46"/>
      <c r="CO519" s="70"/>
    </row>
    <row r="520" spans="13:93" ht="15">
      <c r="M520" s="45"/>
      <c r="N520" s="45"/>
      <c r="O520" s="45"/>
      <c r="P520" s="45"/>
      <c r="AD520" s="36"/>
      <c r="AE520" s="36"/>
      <c r="AF520" s="36"/>
      <c r="AG520" s="36"/>
      <c r="AH520" s="36"/>
      <c r="AI520" s="36"/>
      <c r="AJ520" s="36"/>
      <c r="AK520" s="36"/>
      <c r="AT520" s="45"/>
      <c r="AU520" s="45"/>
      <c r="AV520" s="45"/>
      <c r="AW520" s="45"/>
      <c r="AX520" s="45"/>
      <c r="AY520" s="45"/>
      <c r="AZ520" s="45"/>
      <c r="BA520" s="45"/>
      <c r="CM520" s="46"/>
      <c r="CO520" s="70"/>
    </row>
    <row r="521" spans="13:93" ht="15">
      <c r="M521" s="45"/>
      <c r="N521" s="45"/>
      <c r="O521" s="45"/>
      <c r="P521" s="45"/>
      <c r="AD521" s="36"/>
      <c r="AE521" s="36"/>
      <c r="AF521" s="36"/>
      <c r="AG521" s="36"/>
      <c r="AH521" s="36"/>
      <c r="AI521" s="36"/>
      <c r="AJ521" s="36"/>
      <c r="AK521" s="36"/>
      <c r="AT521" s="45"/>
      <c r="AU521" s="45"/>
      <c r="AV521" s="45"/>
      <c r="AW521" s="45"/>
      <c r="AX521" s="45"/>
      <c r="AY521" s="45"/>
      <c r="AZ521" s="45"/>
      <c r="BA521" s="45"/>
      <c r="CM521" s="46"/>
      <c r="CO521" s="70"/>
    </row>
    <row r="522" spans="13:93" ht="15">
      <c r="M522" s="45"/>
      <c r="N522" s="45"/>
      <c r="O522" s="45"/>
      <c r="P522" s="45"/>
      <c r="AD522" s="36"/>
      <c r="AE522" s="36"/>
      <c r="AF522" s="36"/>
      <c r="AG522" s="36"/>
      <c r="AH522" s="36"/>
      <c r="AI522" s="36"/>
      <c r="AJ522" s="36"/>
      <c r="AK522" s="36"/>
      <c r="AT522" s="45"/>
      <c r="AU522" s="45"/>
      <c r="AV522" s="45"/>
      <c r="AW522" s="45"/>
      <c r="AX522" s="45"/>
      <c r="AY522" s="45"/>
      <c r="AZ522" s="45"/>
      <c r="BA522" s="45"/>
      <c r="CM522" s="46"/>
      <c r="CO522" s="70"/>
    </row>
    <row r="523" spans="13:93" ht="15">
      <c r="M523" s="45"/>
      <c r="N523" s="45"/>
      <c r="O523" s="45"/>
      <c r="P523" s="45"/>
      <c r="AD523" s="36"/>
      <c r="AE523" s="36"/>
      <c r="AF523" s="36"/>
      <c r="AG523" s="36"/>
      <c r="AH523" s="36"/>
      <c r="AI523" s="36"/>
      <c r="AJ523" s="36"/>
      <c r="AK523" s="36"/>
      <c r="AT523" s="45"/>
      <c r="AU523" s="45"/>
      <c r="AV523" s="45"/>
      <c r="AW523" s="45"/>
      <c r="AX523" s="45"/>
      <c r="AY523" s="45"/>
      <c r="AZ523" s="45"/>
      <c r="BA523" s="45"/>
      <c r="CM523" s="46"/>
      <c r="CO523" s="70"/>
    </row>
    <row r="524" spans="13:93" ht="15">
      <c r="M524" s="45"/>
      <c r="N524" s="45"/>
      <c r="O524" s="45"/>
      <c r="P524" s="45"/>
      <c r="AD524" s="36"/>
      <c r="AE524" s="36"/>
      <c r="AF524" s="36"/>
      <c r="AG524" s="36"/>
      <c r="AH524" s="36"/>
      <c r="AI524" s="36"/>
      <c r="AJ524" s="36"/>
      <c r="AK524" s="36"/>
      <c r="AT524" s="45"/>
      <c r="AU524" s="45"/>
      <c r="AV524" s="45"/>
      <c r="AW524" s="45"/>
      <c r="AX524" s="45"/>
      <c r="AY524" s="45"/>
      <c r="AZ524" s="45"/>
      <c r="BA524" s="45"/>
      <c r="CM524" s="46"/>
      <c r="CO524" s="70"/>
    </row>
    <row r="525" spans="13:93" ht="15">
      <c r="M525" s="45"/>
      <c r="N525" s="45"/>
      <c r="O525" s="45"/>
      <c r="P525" s="45"/>
      <c r="AD525" s="36"/>
      <c r="AE525" s="36"/>
      <c r="AF525" s="36"/>
      <c r="AG525" s="36"/>
      <c r="AH525" s="36"/>
      <c r="AI525" s="36"/>
      <c r="AJ525" s="36"/>
      <c r="AK525" s="36"/>
      <c r="AT525" s="45"/>
      <c r="AU525" s="45"/>
      <c r="AV525" s="45"/>
      <c r="AW525" s="45"/>
      <c r="AX525" s="45"/>
      <c r="AY525" s="45"/>
      <c r="AZ525" s="45"/>
      <c r="BA525" s="45"/>
      <c r="CM525" s="46"/>
      <c r="CO525" s="70"/>
    </row>
    <row r="526" spans="13:93" ht="15">
      <c r="M526" s="45"/>
      <c r="N526" s="45"/>
      <c r="O526" s="45"/>
      <c r="P526" s="45"/>
      <c r="AD526" s="36"/>
      <c r="AE526" s="36"/>
      <c r="AF526" s="36"/>
      <c r="AG526" s="36"/>
      <c r="AH526" s="36"/>
      <c r="AI526" s="36"/>
      <c r="AJ526" s="36"/>
      <c r="AK526" s="36"/>
      <c r="AT526" s="45"/>
      <c r="AU526" s="45"/>
      <c r="AV526" s="45"/>
      <c r="AW526" s="45"/>
      <c r="AX526" s="45"/>
      <c r="AY526" s="45"/>
      <c r="AZ526" s="45"/>
      <c r="BA526" s="45"/>
      <c r="CM526" s="46"/>
      <c r="CO526" s="70"/>
    </row>
    <row r="527" spans="13:93" ht="15">
      <c r="M527" s="45"/>
      <c r="N527" s="45"/>
      <c r="O527" s="45"/>
      <c r="P527" s="45"/>
      <c r="AD527" s="36"/>
      <c r="AE527" s="36"/>
      <c r="AF527" s="36"/>
      <c r="AG527" s="36"/>
      <c r="AH527" s="36"/>
      <c r="AI527" s="36"/>
      <c r="AJ527" s="36"/>
      <c r="AK527" s="36"/>
      <c r="AT527" s="45"/>
      <c r="AU527" s="45"/>
      <c r="AV527" s="45"/>
      <c r="AW527" s="45"/>
      <c r="AX527" s="45"/>
      <c r="AY527" s="45"/>
      <c r="AZ527" s="45"/>
      <c r="BA527" s="45"/>
      <c r="CM527" s="46"/>
      <c r="CO527" s="70"/>
    </row>
    <row r="528" spans="13:93" ht="15">
      <c r="M528" s="45"/>
      <c r="N528" s="45"/>
      <c r="O528" s="45"/>
      <c r="P528" s="45"/>
      <c r="AD528" s="36"/>
      <c r="AE528" s="36"/>
      <c r="AF528" s="36"/>
      <c r="AG528" s="36"/>
      <c r="AH528" s="36"/>
      <c r="AI528" s="36"/>
      <c r="AJ528" s="36"/>
      <c r="AK528" s="36"/>
      <c r="AT528" s="45"/>
      <c r="AU528" s="45"/>
      <c r="AV528" s="45"/>
      <c r="AW528" s="45"/>
      <c r="AX528" s="45"/>
      <c r="AY528" s="45"/>
      <c r="AZ528" s="45"/>
      <c r="BA528" s="45"/>
      <c r="CM528" s="46"/>
      <c r="CO528" s="70"/>
    </row>
    <row r="529" spans="13:93" ht="15">
      <c r="M529" s="45"/>
      <c r="N529" s="45"/>
      <c r="O529" s="45"/>
      <c r="P529" s="45"/>
      <c r="AD529" s="36"/>
      <c r="AE529" s="36"/>
      <c r="AF529" s="36"/>
      <c r="AG529" s="36"/>
      <c r="AH529" s="36"/>
      <c r="AI529" s="36"/>
      <c r="AJ529" s="36"/>
      <c r="AK529" s="36"/>
      <c r="AT529" s="45"/>
      <c r="AU529" s="45"/>
      <c r="AV529" s="45"/>
      <c r="AW529" s="45"/>
      <c r="AX529" s="45"/>
      <c r="AY529" s="45"/>
      <c r="AZ529" s="45"/>
      <c r="BA529" s="45"/>
      <c r="CM529" s="46"/>
      <c r="CO529" s="70"/>
    </row>
    <row r="530" spans="13:93" ht="15">
      <c r="M530" s="45"/>
      <c r="N530" s="45"/>
      <c r="O530" s="45"/>
      <c r="P530" s="45"/>
      <c r="AD530" s="36"/>
      <c r="AE530" s="36"/>
      <c r="AF530" s="36"/>
      <c r="AG530" s="36"/>
      <c r="AH530" s="36"/>
      <c r="AI530" s="36"/>
      <c r="AJ530" s="36"/>
      <c r="AK530" s="36"/>
      <c r="AT530" s="45"/>
      <c r="AU530" s="45"/>
      <c r="AV530" s="45"/>
      <c r="AW530" s="45"/>
      <c r="AX530" s="45"/>
      <c r="AY530" s="45"/>
      <c r="AZ530" s="45"/>
      <c r="BA530" s="45"/>
      <c r="CM530" s="46"/>
      <c r="CO530" s="70"/>
    </row>
    <row r="531" spans="13:93" ht="15">
      <c r="M531" s="45"/>
      <c r="N531" s="45"/>
      <c r="O531" s="45"/>
      <c r="P531" s="45"/>
      <c r="AD531" s="36"/>
      <c r="AE531" s="36"/>
      <c r="AF531" s="36"/>
      <c r="AG531" s="36"/>
      <c r="AH531" s="36"/>
      <c r="AI531" s="36"/>
      <c r="AJ531" s="36"/>
      <c r="AK531" s="36"/>
      <c r="AT531" s="45"/>
      <c r="AU531" s="45"/>
      <c r="AV531" s="45"/>
      <c r="AW531" s="45"/>
      <c r="AX531" s="45"/>
      <c r="AY531" s="45"/>
      <c r="AZ531" s="45"/>
      <c r="BA531" s="45"/>
      <c r="CM531" s="46"/>
      <c r="CO531" s="70"/>
    </row>
    <row r="532" spans="13:93" ht="15">
      <c r="M532" s="45"/>
      <c r="N532" s="45"/>
      <c r="O532" s="45"/>
      <c r="P532" s="45"/>
      <c r="AD532" s="36"/>
      <c r="AE532" s="36"/>
      <c r="AF532" s="36"/>
      <c r="AG532" s="36"/>
      <c r="AH532" s="36"/>
      <c r="AI532" s="36"/>
      <c r="AJ532" s="36"/>
      <c r="AK532" s="36"/>
      <c r="AT532" s="45"/>
      <c r="AU532" s="45"/>
      <c r="AV532" s="45"/>
      <c r="AW532" s="45"/>
      <c r="AX532" s="45"/>
      <c r="AY532" s="45"/>
      <c r="AZ532" s="45"/>
      <c r="BA532" s="45"/>
      <c r="CM532" s="46"/>
      <c r="CO532" s="70"/>
    </row>
    <row r="533" spans="13:93" ht="15">
      <c r="M533" s="45"/>
      <c r="N533" s="45"/>
      <c r="O533" s="45"/>
      <c r="P533" s="45"/>
      <c r="AD533" s="36"/>
      <c r="AE533" s="36"/>
      <c r="AF533" s="36"/>
      <c r="AG533" s="36"/>
      <c r="AH533" s="36"/>
      <c r="AI533" s="36"/>
      <c r="AJ533" s="36"/>
      <c r="AK533" s="36"/>
      <c r="AT533" s="45"/>
      <c r="AU533" s="45"/>
      <c r="AV533" s="45"/>
      <c r="AW533" s="45"/>
      <c r="AX533" s="45"/>
      <c r="AY533" s="45"/>
      <c r="AZ533" s="45"/>
      <c r="BA533" s="45"/>
      <c r="CM533" s="46"/>
      <c r="CO533" s="70"/>
    </row>
    <row r="534" spans="13:93" ht="15">
      <c r="M534" s="45"/>
      <c r="N534" s="45"/>
      <c r="O534" s="45"/>
      <c r="P534" s="45"/>
      <c r="AD534" s="36"/>
      <c r="AE534" s="36"/>
      <c r="AF534" s="36"/>
      <c r="AG534" s="36"/>
      <c r="AH534" s="36"/>
      <c r="AI534" s="36"/>
      <c r="AJ534" s="36"/>
      <c r="AK534" s="36"/>
      <c r="AT534" s="45"/>
      <c r="AU534" s="45"/>
      <c r="AV534" s="45"/>
      <c r="AW534" s="45"/>
      <c r="AX534" s="45"/>
      <c r="AY534" s="45"/>
      <c r="AZ534" s="45"/>
      <c r="BA534" s="45"/>
      <c r="CM534" s="46"/>
      <c r="CO534" s="70"/>
    </row>
    <row r="535" spans="13:93" ht="15">
      <c r="M535" s="45"/>
      <c r="N535" s="45"/>
      <c r="O535" s="45"/>
      <c r="P535" s="45"/>
      <c r="AD535" s="36"/>
      <c r="AE535" s="36"/>
      <c r="AF535" s="36"/>
      <c r="AG535" s="36"/>
      <c r="AH535" s="36"/>
      <c r="AI535" s="36"/>
      <c r="AJ535" s="36"/>
      <c r="AK535" s="36"/>
      <c r="AT535" s="45"/>
      <c r="AU535" s="45"/>
      <c r="AV535" s="45"/>
      <c r="AW535" s="45"/>
      <c r="AX535" s="45"/>
      <c r="AY535" s="45"/>
      <c r="AZ535" s="45"/>
      <c r="BA535" s="45"/>
      <c r="CM535" s="46"/>
      <c r="CO535" s="70"/>
    </row>
    <row r="536" spans="13:93" ht="15">
      <c r="M536" s="45"/>
      <c r="N536" s="45"/>
      <c r="O536" s="45"/>
      <c r="P536" s="45"/>
      <c r="AD536" s="36"/>
      <c r="AE536" s="36"/>
      <c r="AF536" s="36"/>
      <c r="AG536" s="36"/>
      <c r="AH536" s="36"/>
      <c r="AI536" s="36"/>
      <c r="AJ536" s="36"/>
      <c r="AK536" s="36"/>
      <c r="AT536" s="45"/>
      <c r="AU536" s="45"/>
      <c r="AV536" s="45"/>
      <c r="AW536" s="45"/>
      <c r="AX536" s="45"/>
      <c r="AY536" s="45"/>
      <c r="AZ536" s="45"/>
      <c r="BA536" s="45"/>
      <c r="CM536" s="46"/>
      <c r="CO536" s="70"/>
    </row>
    <row r="537" spans="13:93" ht="15">
      <c r="M537" s="45"/>
      <c r="N537" s="45"/>
      <c r="O537" s="45"/>
      <c r="P537" s="45"/>
      <c r="AD537" s="36"/>
      <c r="AE537" s="36"/>
      <c r="AF537" s="36"/>
      <c r="AG537" s="36"/>
      <c r="AH537" s="36"/>
      <c r="AI537" s="36"/>
      <c r="AJ537" s="36"/>
      <c r="AK537" s="36"/>
      <c r="AT537" s="45"/>
      <c r="AU537" s="45"/>
      <c r="AV537" s="45"/>
      <c r="AW537" s="45"/>
      <c r="AX537" s="45"/>
      <c r="AY537" s="45"/>
      <c r="AZ537" s="45"/>
      <c r="BA537" s="45"/>
      <c r="CM537" s="46"/>
      <c r="CO537" s="70"/>
    </row>
    <row r="538" spans="13:93" ht="15">
      <c r="M538" s="45"/>
      <c r="N538" s="45"/>
      <c r="O538" s="45"/>
      <c r="P538" s="45"/>
      <c r="AD538" s="36"/>
      <c r="AE538" s="36"/>
      <c r="AF538" s="36"/>
      <c r="AG538" s="36"/>
      <c r="AH538" s="36"/>
      <c r="AI538" s="36"/>
      <c r="AJ538" s="36"/>
      <c r="AK538" s="36"/>
      <c r="AT538" s="45"/>
      <c r="AU538" s="45"/>
      <c r="AV538" s="45"/>
      <c r="AW538" s="45"/>
      <c r="AX538" s="45"/>
      <c r="AY538" s="45"/>
      <c r="AZ538" s="45"/>
      <c r="BA538" s="45"/>
      <c r="CM538" s="46"/>
      <c r="CO538" s="70"/>
    </row>
    <row r="539" spans="13:93" ht="15">
      <c r="M539" s="45"/>
      <c r="N539" s="45"/>
      <c r="O539" s="45"/>
      <c r="P539" s="45"/>
      <c r="AD539" s="36"/>
      <c r="AE539" s="36"/>
      <c r="AF539" s="36"/>
      <c r="AG539" s="36"/>
      <c r="AH539" s="36"/>
      <c r="AI539" s="36"/>
      <c r="AJ539" s="36"/>
      <c r="AK539" s="36"/>
      <c r="AT539" s="45"/>
      <c r="AU539" s="45"/>
      <c r="AV539" s="45"/>
      <c r="AW539" s="45"/>
      <c r="AX539" s="45"/>
      <c r="AY539" s="45"/>
      <c r="AZ539" s="45"/>
      <c r="BA539" s="45"/>
      <c r="CM539" s="46"/>
      <c r="CO539" s="70"/>
    </row>
    <row r="540" spans="13:93" ht="15">
      <c r="M540" s="45"/>
      <c r="N540" s="45"/>
      <c r="O540" s="45"/>
      <c r="P540" s="45"/>
      <c r="AD540" s="36"/>
      <c r="AE540" s="36"/>
      <c r="AF540" s="36"/>
      <c r="AG540" s="36"/>
      <c r="AH540" s="36"/>
      <c r="AI540" s="36"/>
      <c r="AJ540" s="36"/>
      <c r="AK540" s="36"/>
      <c r="AT540" s="45"/>
      <c r="AU540" s="45"/>
      <c r="AV540" s="45"/>
      <c r="AW540" s="45"/>
      <c r="AX540" s="45"/>
      <c r="AY540" s="45"/>
      <c r="AZ540" s="45"/>
      <c r="BA540" s="45"/>
      <c r="CM540" s="46"/>
      <c r="CO540" s="70"/>
    </row>
    <row r="541" spans="13:93" ht="15">
      <c r="M541" s="45"/>
      <c r="N541" s="45"/>
      <c r="O541" s="45"/>
      <c r="P541" s="45"/>
      <c r="AD541" s="36"/>
      <c r="AE541" s="36"/>
      <c r="AF541" s="36"/>
      <c r="AG541" s="36"/>
      <c r="AH541" s="36"/>
      <c r="AI541" s="36"/>
      <c r="AJ541" s="36"/>
      <c r="AK541" s="36"/>
      <c r="AT541" s="45"/>
      <c r="AU541" s="45"/>
      <c r="AV541" s="45"/>
      <c r="AW541" s="45"/>
      <c r="AX541" s="45"/>
      <c r="AY541" s="45"/>
      <c r="AZ541" s="45"/>
      <c r="BA541" s="45"/>
      <c r="CM541" s="46"/>
      <c r="CO541" s="70"/>
    </row>
    <row r="542" spans="13:93" ht="15">
      <c r="M542" s="45"/>
      <c r="N542" s="45"/>
      <c r="O542" s="45"/>
      <c r="P542" s="45"/>
      <c r="AD542" s="36"/>
      <c r="AE542" s="36"/>
      <c r="AF542" s="36"/>
      <c r="AG542" s="36"/>
      <c r="AH542" s="36"/>
      <c r="AI542" s="36"/>
      <c r="AJ542" s="36"/>
      <c r="AK542" s="36"/>
      <c r="AT542" s="45"/>
      <c r="AU542" s="45"/>
      <c r="AV542" s="45"/>
      <c r="AW542" s="45"/>
      <c r="AX542" s="45"/>
      <c r="AY542" s="45"/>
      <c r="AZ542" s="45"/>
      <c r="BA542" s="45"/>
      <c r="CM542" s="46"/>
      <c r="CO542" s="70"/>
    </row>
    <row r="543" spans="13:93" ht="15">
      <c r="M543" s="45"/>
      <c r="N543" s="45"/>
      <c r="O543" s="45"/>
      <c r="P543" s="45"/>
      <c r="AD543" s="36"/>
      <c r="AE543" s="36"/>
      <c r="AF543" s="36"/>
      <c r="AG543" s="36"/>
      <c r="AH543" s="36"/>
      <c r="AI543" s="36"/>
      <c r="AJ543" s="36"/>
      <c r="AK543" s="36"/>
      <c r="AT543" s="45"/>
      <c r="AU543" s="45"/>
      <c r="AV543" s="45"/>
      <c r="AW543" s="45"/>
      <c r="AX543" s="45"/>
      <c r="AY543" s="45"/>
      <c r="AZ543" s="45"/>
      <c r="BA543" s="45"/>
      <c r="CM543" s="46"/>
      <c r="CO543" s="70"/>
    </row>
    <row r="544" spans="13:93" ht="15">
      <c r="M544" s="45"/>
      <c r="N544" s="45"/>
      <c r="O544" s="45"/>
      <c r="P544" s="45"/>
      <c r="AD544" s="36"/>
      <c r="AE544" s="36"/>
      <c r="AF544" s="36"/>
      <c r="AG544" s="36"/>
      <c r="AH544" s="36"/>
      <c r="AI544" s="36"/>
      <c r="AJ544" s="36"/>
      <c r="AK544" s="36"/>
      <c r="AT544" s="45"/>
      <c r="AU544" s="45"/>
      <c r="AV544" s="45"/>
      <c r="AW544" s="45"/>
      <c r="AX544" s="45"/>
      <c r="AY544" s="45"/>
      <c r="AZ544" s="45"/>
      <c r="BA544" s="45"/>
      <c r="CM544" s="46"/>
      <c r="CO544" s="70"/>
    </row>
    <row r="545" spans="13:93" ht="15">
      <c r="M545" s="45"/>
      <c r="N545" s="45"/>
      <c r="O545" s="45"/>
      <c r="P545" s="45"/>
      <c r="AD545" s="36"/>
      <c r="AE545" s="36"/>
      <c r="AF545" s="36"/>
      <c r="AG545" s="36"/>
      <c r="AH545" s="36"/>
      <c r="AI545" s="36"/>
      <c r="AJ545" s="36"/>
      <c r="AK545" s="36"/>
      <c r="AT545" s="45"/>
      <c r="AU545" s="45"/>
      <c r="AV545" s="45"/>
      <c r="AW545" s="45"/>
      <c r="AX545" s="45"/>
      <c r="AY545" s="45"/>
      <c r="AZ545" s="45"/>
      <c r="BA545" s="45"/>
      <c r="CM545" s="46"/>
      <c r="CO545" s="70"/>
    </row>
    <row r="546" spans="13:93" ht="15">
      <c r="M546" s="45"/>
      <c r="N546" s="45"/>
      <c r="O546" s="45"/>
      <c r="P546" s="45"/>
      <c r="AD546" s="36"/>
      <c r="AE546" s="36"/>
      <c r="AF546" s="36"/>
      <c r="AG546" s="36"/>
      <c r="AH546" s="36"/>
      <c r="AI546" s="36"/>
      <c r="AJ546" s="36"/>
      <c r="AK546" s="36"/>
      <c r="AT546" s="45"/>
      <c r="AU546" s="45"/>
      <c r="AV546" s="45"/>
      <c r="AW546" s="45"/>
      <c r="AX546" s="45"/>
      <c r="AY546" s="45"/>
      <c r="AZ546" s="45"/>
      <c r="BA546" s="45"/>
      <c r="CM546" s="46"/>
      <c r="CO546" s="70"/>
    </row>
    <row r="547" spans="13:93" ht="15">
      <c r="M547" s="45"/>
      <c r="N547" s="45"/>
      <c r="O547" s="45"/>
      <c r="P547" s="45"/>
      <c r="AD547" s="36"/>
      <c r="AE547" s="36"/>
      <c r="AF547" s="36"/>
      <c r="AG547" s="36"/>
      <c r="AH547" s="36"/>
      <c r="AI547" s="36"/>
      <c r="AJ547" s="36"/>
      <c r="AK547" s="36"/>
      <c r="AT547" s="45"/>
      <c r="AU547" s="45"/>
      <c r="AV547" s="45"/>
      <c r="AW547" s="45"/>
      <c r="AX547" s="45"/>
      <c r="AY547" s="45"/>
      <c r="AZ547" s="45"/>
      <c r="BA547" s="45"/>
      <c r="CM547" s="46"/>
      <c r="CO547" s="70"/>
    </row>
    <row r="548" spans="13:93" ht="15">
      <c r="M548" s="45"/>
      <c r="N548" s="45"/>
      <c r="O548" s="45"/>
      <c r="P548" s="45"/>
      <c r="AD548" s="36"/>
      <c r="AE548" s="36"/>
      <c r="AF548" s="36"/>
      <c r="AG548" s="36"/>
      <c r="AH548" s="36"/>
      <c r="AI548" s="36"/>
      <c r="AJ548" s="36"/>
      <c r="AK548" s="36"/>
      <c r="AT548" s="45"/>
      <c r="AU548" s="45"/>
      <c r="AV548" s="45"/>
      <c r="AW548" s="45"/>
      <c r="AX548" s="45"/>
      <c r="AY548" s="45"/>
      <c r="AZ548" s="45"/>
      <c r="BA548" s="45"/>
      <c r="CM548" s="46"/>
      <c r="CO548" s="70"/>
    </row>
    <row r="549" spans="13:93" ht="15">
      <c r="M549" s="45"/>
      <c r="N549" s="45"/>
      <c r="O549" s="45"/>
      <c r="P549" s="45"/>
      <c r="AD549" s="36"/>
      <c r="AE549" s="36"/>
      <c r="AF549" s="36"/>
      <c r="AG549" s="36"/>
      <c r="AH549" s="36"/>
      <c r="AI549" s="36"/>
      <c r="AJ549" s="36"/>
      <c r="AK549" s="36"/>
      <c r="AT549" s="45"/>
      <c r="AU549" s="45"/>
      <c r="AV549" s="45"/>
      <c r="AW549" s="45"/>
      <c r="AX549" s="45"/>
      <c r="AY549" s="45"/>
      <c r="AZ549" s="45"/>
      <c r="BA549" s="45"/>
      <c r="CM549" s="46"/>
      <c r="CO549" s="70"/>
    </row>
    <row r="550" spans="13:93" ht="15">
      <c r="M550" s="45"/>
      <c r="N550" s="45"/>
      <c r="O550" s="45"/>
      <c r="P550" s="45"/>
      <c r="AD550" s="36"/>
      <c r="AE550" s="36"/>
      <c r="AF550" s="36"/>
      <c r="AG550" s="36"/>
      <c r="AH550" s="36"/>
      <c r="AI550" s="36"/>
      <c r="AJ550" s="36"/>
      <c r="AK550" s="36"/>
      <c r="AT550" s="45"/>
      <c r="AU550" s="45"/>
      <c r="AV550" s="45"/>
      <c r="AW550" s="45"/>
      <c r="AX550" s="45"/>
      <c r="AY550" s="45"/>
      <c r="AZ550" s="45"/>
      <c r="BA550" s="45"/>
      <c r="CM550" s="46"/>
      <c r="CO550" s="70"/>
    </row>
    <row r="551" spans="13:93" ht="15">
      <c r="M551" s="45"/>
      <c r="N551" s="45"/>
      <c r="O551" s="45"/>
      <c r="P551" s="45"/>
      <c r="AD551" s="36"/>
      <c r="AE551" s="36"/>
      <c r="AF551" s="36"/>
      <c r="AG551" s="36"/>
      <c r="AH551" s="36"/>
      <c r="AI551" s="36"/>
      <c r="AJ551" s="36"/>
      <c r="AK551" s="36"/>
      <c r="AT551" s="45"/>
      <c r="AU551" s="45"/>
      <c r="AV551" s="45"/>
      <c r="AW551" s="45"/>
      <c r="AX551" s="45"/>
      <c r="AY551" s="45"/>
      <c r="AZ551" s="45"/>
      <c r="BA551" s="45"/>
      <c r="CM551" s="46"/>
      <c r="CO551" s="70"/>
    </row>
    <row r="552" spans="13:93" ht="15">
      <c r="M552" s="45"/>
      <c r="N552" s="45"/>
      <c r="O552" s="45"/>
      <c r="P552" s="45"/>
      <c r="AD552" s="36"/>
      <c r="AE552" s="36"/>
      <c r="AF552" s="36"/>
      <c r="AG552" s="36"/>
      <c r="AH552" s="36"/>
      <c r="AI552" s="36"/>
      <c r="AJ552" s="36"/>
      <c r="AK552" s="36"/>
      <c r="AT552" s="45"/>
      <c r="AU552" s="45"/>
      <c r="AV552" s="45"/>
      <c r="AW552" s="45"/>
      <c r="AX552" s="45"/>
      <c r="AY552" s="45"/>
      <c r="AZ552" s="45"/>
      <c r="BA552" s="45"/>
      <c r="CM552" s="46"/>
      <c r="CO552" s="70"/>
    </row>
    <row r="553" spans="13:93" ht="15">
      <c r="M553" s="45"/>
      <c r="N553" s="45"/>
      <c r="O553" s="45"/>
      <c r="P553" s="45"/>
      <c r="AD553" s="36"/>
      <c r="AE553" s="36"/>
      <c r="AF553" s="36"/>
      <c r="AG553" s="36"/>
      <c r="AH553" s="36"/>
      <c r="AI553" s="36"/>
      <c r="AJ553" s="36"/>
      <c r="AK553" s="36"/>
      <c r="AT553" s="45"/>
      <c r="AU553" s="45"/>
      <c r="AV553" s="45"/>
      <c r="AW553" s="45"/>
      <c r="AX553" s="45"/>
      <c r="AY553" s="45"/>
      <c r="AZ553" s="45"/>
      <c r="BA553" s="45"/>
      <c r="CM553" s="46"/>
      <c r="CO553" s="70"/>
    </row>
    <row r="554" spans="13:93" ht="15">
      <c r="M554" s="45"/>
      <c r="N554" s="45"/>
      <c r="O554" s="45"/>
      <c r="P554" s="45"/>
      <c r="AD554" s="36"/>
      <c r="AE554" s="36"/>
      <c r="AF554" s="36"/>
      <c r="AG554" s="36"/>
      <c r="AH554" s="36"/>
      <c r="AI554" s="36"/>
      <c r="AJ554" s="36"/>
      <c r="AK554" s="36"/>
      <c r="AT554" s="45"/>
      <c r="AU554" s="45"/>
      <c r="AV554" s="45"/>
      <c r="AW554" s="45"/>
      <c r="AX554" s="45"/>
      <c r="AY554" s="45"/>
      <c r="AZ554" s="45"/>
      <c r="BA554" s="45"/>
      <c r="CM554" s="46"/>
      <c r="CO554" s="70"/>
    </row>
    <row r="555" spans="13:93" ht="15">
      <c r="M555" s="45"/>
      <c r="N555" s="45"/>
      <c r="O555" s="45"/>
      <c r="P555" s="45"/>
      <c r="AD555" s="36"/>
      <c r="AE555" s="36"/>
      <c r="AF555" s="36"/>
      <c r="AG555" s="36"/>
      <c r="AH555" s="36"/>
      <c r="AI555" s="36"/>
      <c r="AJ555" s="36"/>
      <c r="AK555" s="36"/>
      <c r="AT555" s="45"/>
      <c r="AU555" s="45"/>
      <c r="AV555" s="45"/>
      <c r="AW555" s="45"/>
      <c r="AX555" s="45"/>
      <c r="AY555" s="45"/>
      <c r="AZ555" s="45"/>
      <c r="BA555" s="45"/>
      <c r="CM555" s="46"/>
      <c r="CO555" s="70"/>
    </row>
    <row r="556" spans="13:93" ht="15">
      <c r="M556" s="45"/>
      <c r="N556" s="45"/>
      <c r="O556" s="45"/>
      <c r="P556" s="45"/>
      <c r="AD556" s="36"/>
      <c r="AE556" s="36"/>
      <c r="AF556" s="36"/>
      <c r="AG556" s="36"/>
      <c r="AH556" s="36"/>
      <c r="AI556" s="36"/>
      <c r="AJ556" s="36"/>
      <c r="AK556" s="36"/>
      <c r="AT556" s="45"/>
      <c r="AU556" s="45"/>
      <c r="AV556" s="45"/>
      <c r="AW556" s="45"/>
      <c r="AX556" s="45"/>
      <c r="AY556" s="45"/>
      <c r="AZ556" s="45"/>
      <c r="BA556" s="45"/>
      <c r="CM556" s="46"/>
      <c r="CO556" s="70"/>
    </row>
    <row r="557" spans="13:93" ht="15">
      <c r="M557" s="45"/>
      <c r="N557" s="45"/>
      <c r="O557" s="45"/>
      <c r="P557" s="45"/>
      <c r="AD557" s="36"/>
      <c r="AE557" s="36"/>
      <c r="AF557" s="36"/>
      <c r="AG557" s="36"/>
      <c r="AH557" s="36"/>
      <c r="AI557" s="36"/>
      <c r="AJ557" s="36"/>
      <c r="AK557" s="36"/>
      <c r="AT557" s="45"/>
      <c r="AU557" s="45"/>
      <c r="AV557" s="45"/>
      <c r="AW557" s="45"/>
      <c r="AX557" s="45"/>
      <c r="AY557" s="45"/>
      <c r="AZ557" s="45"/>
      <c r="BA557" s="45"/>
      <c r="CM557" s="46"/>
      <c r="CO557" s="70"/>
    </row>
    <row r="558" spans="13:93" ht="15">
      <c r="M558" s="45"/>
      <c r="N558" s="45"/>
      <c r="O558" s="45"/>
      <c r="P558" s="45"/>
      <c r="AD558" s="36"/>
      <c r="AE558" s="36"/>
      <c r="AF558" s="36"/>
      <c r="AG558" s="36"/>
      <c r="AH558" s="36"/>
      <c r="AI558" s="36"/>
      <c r="AJ558" s="36"/>
      <c r="AK558" s="36"/>
      <c r="AT558" s="45"/>
      <c r="AU558" s="45"/>
      <c r="AV558" s="45"/>
      <c r="AW558" s="45"/>
      <c r="AX558" s="45"/>
      <c r="AY558" s="45"/>
      <c r="AZ558" s="45"/>
      <c r="BA558" s="45"/>
      <c r="CM558" s="46"/>
      <c r="CO558" s="70"/>
    </row>
    <row r="559" spans="13:93" ht="15">
      <c r="M559" s="45"/>
      <c r="N559" s="45"/>
      <c r="O559" s="45"/>
      <c r="P559" s="45"/>
      <c r="AD559" s="36"/>
      <c r="AE559" s="36"/>
      <c r="AF559" s="36"/>
      <c r="AG559" s="36"/>
      <c r="AH559" s="36"/>
      <c r="AI559" s="36"/>
      <c r="AJ559" s="36"/>
      <c r="AK559" s="36"/>
      <c r="AT559" s="45"/>
      <c r="AU559" s="45"/>
      <c r="AV559" s="45"/>
      <c r="AW559" s="45"/>
      <c r="AX559" s="45"/>
      <c r="AY559" s="45"/>
      <c r="AZ559" s="45"/>
      <c r="BA559" s="45"/>
      <c r="CM559" s="46"/>
      <c r="CO559" s="70"/>
    </row>
    <row r="560" spans="13:93" ht="15">
      <c r="M560" s="45"/>
      <c r="N560" s="45"/>
      <c r="O560" s="45"/>
      <c r="P560" s="45"/>
      <c r="AD560" s="36"/>
      <c r="AE560" s="36"/>
      <c r="AF560" s="36"/>
      <c r="AG560" s="36"/>
      <c r="AH560" s="36"/>
      <c r="AI560" s="36"/>
      <c r="AJ560" s="36"/>
      <c r="AK560" s="36"/>
      <c r="AT560" s="45"/>
      <c r="AU560" s="45"/>
      <c r="AV560" s="45"/>
      <c r="AW560" s="45"/>
      <c r="AX560" s="45"/>
      <c r="AY560" s="45"/>
      <c r="AZ560" s="45"/>
      <c r="BA560" s="45"/>
      <c r="CM560" s="46"/>
      <c r="CO560" s="70"/>
    </row>
    <row r="561" spans="13:93" ht="15">
      <c r="M561" s="45"/>
      <c r="N561" s="45"/>
      <c r="O561" s="45"/>
      <c r="P561" s="45"/>
      <c r="AD561" s="36"/>
      <c r="AE561" s="36"/>
      <c r="AF561" s="36"/>
      <c r="AG561" s="36"/>
      <c r="AH561" s="36"/>
      <c r="AI561" s="36"/>
      <c r="AJ561" s="36"/>
      <c r="AK561" s="36"/>
      <c r="AT561" s="45"/>
      <c r="AU561" s="45"/>
      <c r="AV561" s="45"/>
      <c r="AW561" s="45"/>
      <c r="AX561" s="45"/>
      <c r="AY561" s="45"/>
      <c r="AZ561" s="45"/>
      <c r="BA561" s="45"/>
      <c r="CM561" s="46"/>
      <c r="CO561" s="70"/>
    </row>
    <row r="562" spans="13:93" ht="15">
      <c r="M562" s="45"/>
      <c r="N562" s="45"/>
      <c r="O562" s="45"/>
      <c r="P562" s="45"/>
      <c r="AD562" s="36"/>
      <c r="AE562" s="36"/>
      <c r="AF562" s="36"/>
      <c r="AG562" s="36"/>
      <c r="AH562" s="36"/>
      <c r="AI562" s="36"/>
      <c r="AJ562" s="36"/>
      <c r="AK562" s="36"/>
      <c r="AT562" s="45"/>
      <c r="AU562" s="45"/>
      <c r="AV562" s="45"/>
      <c r="AW562" s="45"/>
      <c r="AX562" s="45"/>
      <c r="AY562" s="45"/>
      <c r="AZ562" s="45"/>
      <c r="BA562" s="45"/>
      <c r="CM562" s="46"/>
      <c r="CO562" s="70"/>
    </row>
    <row r="563" spans="13:93" ht="15">
      <c r="M563" s="45"/>
      <c r="N563" s="45"/>
      <c r="O563" s="45"/>
      <c r="P563" s="45"/>
      <c r="AD563" s="36"/>
      <c r="AE563" s="36"/>
      <c r="AF563" s="36"/>
      <c r="AG563" s="36"/>
      <c r="AH563" s="36"/>
      <c r="AI563" s="36"/>
      <c r="AJ563" s="36"/>
      <c r="AK563" s="36"/>
      <c r="AT563" s="45"/>
      <c r="AU563" s="45"/>
      <c r="AV563" s="45"/>
      <c r="AW563" s="45"/>
      <c r="AX563" s="45"/>
      <c r="AY563" s="45"/>
      <c r="AZ563" s="45"/>
      <c r="BA563" s="45"/>
      <c r="CM563" s="46"/>
      <c r="CO563" s="70"/>
    </row>
    <row r="564" spans="13:93" ht="15">
      <c r="M564" s="45"/>
      <c r="N564" s="45"/>
      <c r="O564" s="45"/>
      <c r="P564" s="45"/>
      <c r="AD564" s="36"/>
      <c r="AE564" s="36"/>
      <c r="AF564" s="36"/>
      <c r="AG564" s="36"/>
      <c r="AH564" s="36"/>
      <c r="AI564" s="36"/>
      <c r="AJ564" s="36"/>
      <c r="AK564" s="36"/>
      <c r="AT564" s="45"/>
      <c r="AU564" s="45"/>
      <c r="AV564" s="45"/>
      <c r="AW564" s="45"/>
      <c r="AX564" s="45"/>
      <c r="AY564" s="45"/>
      <c r="AZ564" s="45"/>
      <c r="BA564" s="45"/>
      <c r="CM564" s="46"/>
      <c r="CO564" s="70"/>
    </row>
    <row r="565" spans="13:93" ht="15">
      <c r="M565" s="45"/>
      <c r="N565" s="45"/>
      <c r="O565" s="45"/>
      <c r="P565" s="45"/>
      <c r="AD565" s="36"/>
      <c r="AE565" s="36"/>
      <c r="AF565" s="36"/>
      <c r="AG565" s="36"/>
      <c r="AH565" s="36"/>
      <c r="AI565" s="36"/>
      <c r="AJ565" s="36"/>
      <c r="AK565" s="36"/>
      <c r="AT565" s="45"/>
      <c r="AU565" s="45"/>
      <c r="AV565" s="45"/>
      <c r="AW565" s="45"/>
      <c r="AX565" s="45"/>
      <c r="AY565" s="45"/>
      <c r="AZ565" s="45"/>
      <c r="BA565" s="45"/>
      <c r="CM565" s="46"/>
      <c r="CO565" s="70"/>
    </row>
    <row r="566" spans="13:93" ht="15">
      <c r="M566" s="45"/>
      <c r="N566" s="45"/>
      <c r="O566" s="45"/>
      <c r="P566" s="45"/>
      <c r="AD566" s="36"/>
      <c r="AE566" s="36"/>
      <c r="AF566" s="36"/>
      <c r="AG566" s="36"/>
      <c r="AH566" s="36"/>
      <c r="AI566" s="36"/>
      <c r="AJ566" s="36"/>
      <c r="AK566" s="36"/>
      <c r="AT566" s="45"/>
      <c r="AU566" s="45"/>
      <c r="AV566" s="45"/>
      <c r="AW566" s="45"/>
      <c r="AX566" s="45"/>
      <c r="AY566" s="45"/>
      <c r="AZ566" s="45"/>
      <c r="BA566" s="45"/>
      <c r="CM566" s="46"/>
      <c r="CO566" s="70"/>
    </row>
    <row r="567" spans="13:93" ht="15">
      <c r="M567" s="45"/>
      <c r="N567" s="45"/>
      <c r="O567" s="45"/>
      <c r="P567" s="45"/>
      <c r="AD567" s="36"/>
      <c r="AE567" s="36"/>
      <c r="AF567" s="36"/>
      <c r="AG567" s="36"/>
      <c r="AH567" s="36"/>
      <c r="AI567" s="36"/>
      <c r="AJ567" s="36"/>
      <c r="AK567" s="36"/>
      <c r="AT567" s="45"/>
      <c r="AU567" s="45"/>
      <c r="AV567" s="45"/>
      <c r="AW567" s="45"/>
      <c r="AX567" s="45"/>
      <c r="AY567" s="45"/>
      <c r="AZ567" s="45"/>
      <c r="BA567" s="45"/>
      <c r="CM567" s="46"/>
      <c r="CO567" s="70"/>
    </row>
    <row r="568" spans="13:93" ht="15">
      <c r="M568" s="45"/>
      <c r="N568" s="45"/>
      <c r="O568" s="45"/>
      <c r="P568" s="45"/>
      <c r="AD568" s="36"/>
      <c r="AE568" s="36"/>
      <c r="AF568" s="36"/>
      <c r="AG568" s="36"/>
      <c r="AH568" s="36"/>
      <c r="AI568" s="36"/>
      <c r="AJ568" s="36"/>
      <c r="AK568" s="36"/>
      <c r="AT568" s="45"/>
      <c r="AU568" s="45"/>
      <c r="AV568" s="45"/>
      <c r="AW568" s="45"/>
      <c r="AX568" s="45"/>
      <c r="AY568" s="45"/>
      <c r="AZ568" s="45"/>
      <c r="BA568" s="45"/>
      <c r="CM568" s="46"/>
      <c r="CO568" s="70"/>
    </row>
    <row r="569" spans="13:93" ht="15">
      <c r="M569" s="45"/>
      <c r="N569" s="45"/>
      <c r="O569" s="45"/>
      <c r="P569" s="45"/>
      <c r="AD569" s="36"/>
      <c r="AE569" s="36"/>
      <c r="AF569" s="36"/>
      <c r="AG569" s="36"/>
      <c r="AH569" s="36"/>
      <c r="AI569" s="36"/>
      <c r="AJ569" s="36"/>
      <c r="AK569" s="36"/>
      <c r="AT569" s="45"/>
      <c r="AU569" s="45"/>
      <c r="AV569" s="45"/>
      <c r="AW569" s="45"/>
      <c r="AX569" s="45"/>
      <c r="AY569" s="45"/>
      <c r="AZ569" s="45"/>
      <c r="BA569" s="45"/>
      <c r="CM569" s="46"/>
      <c r="CO569" s="70"/>
    </row>
    <row r="570" spans="13:93" ht="15">
      <c r="M570" s="45"/>
      <c r="N570" s="45"/>
      <c r="O570" s="45"/>
      <c r="P570" s="45"/>
      <c r="AD570" s="36"/>
      <c r="AE570" s="36"/>
      <c r="AF570" s="36"/>
      <c r="AG570" s="36"/>
      <c r="AH570" s="36"/>
      <c r="AI570" s="36"/>
      <c r="AJ570" s="36"/>
      <c r="AK570" s="36"/>
      <c r="AT570" s="45"/>
      <c r="AU570" s="45"/>
      <c r="AV570" s="45"/>
      <c r="AW570" s="45"/>
      <c r="AX570" s="45"/>
      <c r="AY570" s="45"/>
      <c r="AZ570" s="45"/>
      <c r="BA570" s="45"/>
      <c r="CM570" s="46"/>
      <c r="CO570" s="70"/>
    </row>
    <row r="571" spans="13:93" ht="15">
      <c r="M571" s="45"/>
      <c r="N571" s="45"/>
      <c r="O571" s="45"/>
      <c r="P571" s="45"/>
      <c r="AD571" s="36"/>
      <c r="AE571" s="36"/>
      <c r="AF571" s="36"/>
      <c r="AG571" s="36"/>
      <c r="AH571" s="36"/>
      <c r="AI571" s="36"/>
      <c r="AJ571" s="36"/>
      <c r="AK571" s="36"/>
      <c r="AT571" s="45"/>
      <c r="AU571" s="45"/>
      <c r="AV571" s="45"/>
      <c r="AW571" s="45"/>
      <c r="AX571" s="45"/>
      <c r="AY571" s="45"/>
      <c r="AZ571" s="45"/>
      <c r="BA571" s="45"/>
      <c r="CM571" s="46"/>
      <c r="CO571" s="70"/>
    </row>
    <row r="572" spans="13:93" ht="15">
      <c r="M572" s="45"/>
      <c r="N572" s="45"/>
      <c r="O572" s="45"/>
      <c r="P572" s="45"/>
      <c r="AD572" s="36"/>
      <c r="AE572" s="36"/>
      <c r="AF572" s="36"/>
      <c r="AG572" s="36"/>
      <c r="AH572" s="36"/>
      <c r="AI572" s="36"/>
      <c r="AJ572" s="36"/>
      <c r="AK572" s="36"/>
      <c r="AT572" s="45"/>
      <c r="AU572" s="45"/>
      <c r="AV572" s="45"/>
      <c r="AW572" s="45"/>
      <c r="AX572" s="45"/>
      <c r="AY572" s="45"/>
      <c r="AZ572" s="45"/>
      <c r="BA572" s="45"/>
      <c r="CM572" s="46"/>
      <c r="CO572" s="70"/>
    </row>
    <row r="573" spans="13:93" ht="15">
      <c r="M573" s="45"/>
      <c r="N573" s="45"/>
      <c r="O573" s="45"/>
      <c r="P573" s="45"/>
      <c r="AD573" s="36"/>
      <c r="AE573" s="36"/>
      <c r="AF573" s="36"/>
      <c r="AG573" s="36"/>
      <c r="AH573" s="36"/>
      <c r="AI573" s="36"/>
      <c r="AJ573" s="36"/>
      <c r="AK573" s="36"/>
      <c r="AT573" s="45"/>
      <c r="AU573" s="45"/>
      <c r="AV573" s="45"/>
      <c r="AW573" s="45"/>
      <c r="AX573" s="45"/>
      <c r="AY573" s="45"/>
      <c r="AZ573" s="45"/>
      <c r="BA573" s="45"/>
      <c r="CM573" s="46"/>
      <c r="CO573" s="70"/>
    </row>
    <row r="574" spans="13:93" ht="15">
      <c r="M574" s="45"/>
      <c r="N574" s="45"/>
      <c r="O574" s="45"/>
      <c r="P574" s="45"/>
      <c r="AD574" s="36"/>
      <c r="AE574" s="36"/>
      <c r="AF574" s="36"/>
      <c r="AG574" s="36"/>
      <c r="AH574" s="36"/>
      <c r="AI574" s="36"/>
      <c r="AJ574" s="36"/>
      <c r="AK574" s="36"/>
      <c r="AT574" s="45"/>
      <c r="AU574" s="45"/>
      <c r="AV574" s="45"/>
      <c r="AW574" s="45"/>
      <c r="AX574" s="45"/>
      <c r="AY574" s="45"/>
      <c r="AZ574" s="45"/>
      <c r="BA574" s="45"/>
      <c r="CM574" s="46"/>
      <c r="CO574" s="70"/>
    </row>
    <row r="575" spans="13:93" ht="15">
      <c r="M575" s="45"/>
      <c r="N575" s="45"/>
      <c r="O575" s="45"/>
      <c r="P575" s="45"/>
      <c r="AD575" s="36"/>
      <c r="AE575" s="36"/>
      <c r="AF575" s="36"/>
      <c r="AG575" s="36"/>
      <c r="AH575" s="36"/>
      <c r="AI575" s="36"/>
      <c r="AJ575" s="36"/>
      <c r="AK575" s="36"/>
      <c r="AT575" s="45"/>
      <c r="AU575" s="45"/>
      <c r="AV575" s="45"/>
      <c r="AW575" s="45"/>
      <c r="AX575" s="45"/>
      <c r="AY575" s="45"/>
      <c r="AZ575" s="45"/>
      <c r="BA575" s="45"/>
      <c r="CM575" s="46"/>
      <c r="CO575" s="70"/>
    </row>
    <row r="576" spans="13:93" ht="15">
      <c r="M576" s="45"/>
      <c r="N576" s="45"/>
      <c r="O576" s="45"/>
      <c r="P576" s="45"/>
      <c r="AD576" s="36"/>
      <c r="AE576" s="36"/>
      <c r="AF576" s="36"/>
      <c r="AG576" s="36"/>
      <c r="AH576" s="36"/>
      <c r="AI576" s="36"/>
      <c r="AJ576" s="36"/>
      <c r="AK576" s="36"/>
      <c r="AT576" s="45"/>
      <c r="AU576" s="45"/>
      <c r="AV576" s="45"/>
      <c r="AW576" s="45"/>
      <c r="AX576" s="45"/>
      <c r="AY576" s="45"/>
      <c r="AZ576" s="45"/>
      <c r="BA576" s="45"/>
      <c r="CM576" s="46"/>
      <c r="CO576" s="70"/>
    </row>
    <row r="577" spans="13:93" ht="15">
      <c r="M577" s="45"/>
      <c r="N577" s="45"/>
      <c r="O577" s="45"/>
      <c r="P577" s="45"/>
      <c r="AD577" s="36"/>
      <c r="AE577" s="36"/>
      <c r="AF577" s="36"/>
      <c r="AG577" s="36"/>
      <c r="AH577" s="36"/>
      <c r="AI577" s="36"/>
      <c r="AJ577" s="36"/>
      <c r="AK577" s="36"/>
      <c r="AT577" s="45"/>
      <c r="AU577" s="45"/>
      <c r="AV577" s="45"/>
      <c r="AW577" s="45"/>
      <c r="AX577" s="45"/>
      <c r="AY577" s="45"/>
      <c r="AZ577" s="45"/>
      <c r="BA577" s="45"/>
      <c r="CM577" s="46"/>
      <c r="CO577" s="70"/>
    </row>
    <row r="578" spans="13:93" ht="15">
      <c r="M578" s="45"/>
      <c r="N578" s="45"/>
      <c r="O578" s="45"/>
      <c r="P578" s="45"/>
      <c r="AD578" s="36"/>
      <c r="AE578" s="36"/>
      <c r="AF578" s="36"/>
      <c r="AG578" s="36"/>
      <c r="AH578" s="36"/>
      <c r="AI578" s="36"/>
      <c r="AJ578" s="36"/>
      <c r="AK578" s="36"/>
      <c r="AT578" s="45"/>
      <c r="AU578" s="45"/>
      <c r="AV578" s="45"/>
      <c r="AW578" s="45"/>
      <c r="AX578" s="45"/>
      <c r="AY578" s="45"/>
      <c r="AZ578" s="45"/>
      <c r="BA578" s="45"/>
      <c r="CM578" s="46"/>
      <c r="CO578" s="70"/>
    </row>
    <row r="579" spans="13:93" ht="15">
      <c r="M579" s="45"/>
      <c r="N579" s="45"/>
      <c r="O579" s="45"/>
      <c r="P579" s="45"/>
      <c r="AD579" s="36"/>
      <c r="AE579" s="36"/>
      <c r="AF579" s="36"/>
      <c r="AG579" s="36"/>
      <c r="AH579" s="36"/>
      <c r="AI579" s="36"/>
      <c r="AJ579" s="36"/>
      <c r="AK579" s="36"/>
      <c r="AT579" s="45"/>
      <c r="AU579" s="45"/>
      <c r="AV579" s="45"/>
      <c r="AW579" s="45"/>
      <c r="AX579" s="45"/>
      <c r="AY579" s="45"/>
      <c r="AZ579" s="45"/>
      <c r="BA579" s="45"/>
      <c r="CM579" s="46"/>
      <c r="CO579" s="70"/>
    </row>
    <row r="580" spans="13:93" ht="15">
      <c r="M580" s="45"/>
      <c r="N580" s="45"/>
      <c r="O580" s="45"/>
      <c r="P580" s="45"/>
      <c r="AD580" s="36"/>
      <c r="AE580" s="36"/>
      <c r="AF580" s="36"/>
      <c r="AG580" s="36"/>
      <c r="AH580" s="36"/>
      <c r="AI580" s="36"/>
      <c r="AJ580" s="36"/>
      <c r="AK580" s="36"/>
      <c r="AT580" s="45"/>
      <c r="AU580" s="45"/>
      <c r="AV580" s="45"/>
      <c r="AW580" s="45"/>
      <c r="AX580" s="45"/>
      <c r="AY580" s="45"/>
      <c r="AZ580" s="45"/>
      <c r="BA580" s="45"/>
      <c r="CM580" s="46"/>
      <c r="CO580" s="70"/>
    </row>
    <row r="581" spans="13:93" ht="15">
      <c r="M581" s="45"/>
      <c r="N581" s="45"/>
      <c r="O581" s="45"/>
      <c r="P581" s="45"/>
      <c r="AD581" s="36"/>
      <c r="AE581" s="36"/>
      <c r="AF581" s="36"/>
      <c r="AG581" s="36"/>
      <c r="AH581" s="36"/>
      <c r="AI581" s="36"/>
      <c r="AJ581" s="36"/>
      <c r="AK581" s="36"/>
      <c r="AT581" s="45"/>
      <c r="AU581" s="45"/>
      <c r="AV581" s="45"/>
      <c r="AW581" s="45"/>
      <c r="AX581" s="45"/>
      <c r="AY581" s="45"/>
      <c r="AZ581" s="45"/>
      <c r="BA581" s="45"/>
      <c r="CM581" s="46"/>
      <c r="CO581" s="70"/>
    </row>
    <row r="582" spans="13:93" ht="15">
      <c r="M582" s="45"/>
      <c r="N582" s="45"/>
      <c r="O582" s="45"/>
      <c r="P582" s="45"/>
      <c r="AD582" s="36"/>
      <c r="AE582" s="36"/>
      <c r="AF582" s="36"/>
      <c r="AG582" s="36"/>
      <c r="AH582" s="36"/>
      <c r="AI582" s="36"/>
      <c r="AJ582" s="36"/>
      <c r="AK582" s="36"/>
      <c r="AT582" s="45"/>
      <c r="AU582" s="45"/>
      <c r="AV582" s="45"/>
      <c r="AW582" s="45"/>
      <c r="AX582" s="45"/>
      <c r="AY582" s="45"/>
      <c r="AZ582" s="45"/>
      <c r="BA582" s="45"/>
      <c r="CM582" s="46"/>
      <c r="CO582" s="70"/>
    </row>
    <row r="583" spans="13:93" ht="15">
      <c r="M583" s="45"/>
      <c r="N583" s="45"/>
      <c r="O583" s="45"/>
      <c r="P583" s="45"/>
      <c r="AD583" s="36"/>
      <c r="AE583" s="36"/>
      <c r="AF583" s="36"/>
      <c r="AG583" s="36"/>
      <c r="AH583" s="36"/>
      <c r="AI583" s="36"/>
      <c r="AJ583" s="36"/>
      <c r="AK583" s="36"/>
      <c r="AT583" s="45"/>
      <c r="AU583" s="45"/>
      <c r="AV583" s="45"/>
      <c r="AW583" s="45"/>
      <c r="AX583" s="45"/>
      <c r="AY583" s="45"/>
      <c r="AZ583" s="45"/>
      <c r="BA583" s="45"/>
      <c r="CM583" s="46"/>
      <c r="CO583" s="70"/>
    </row>
    <row r="584" spans="13:93" ht="15">
      <c r="M584" s="45"/>
      <c r="N584" s="45"/>
      <c r="O584" s="45"/>
      <c r="P584" s="45"/>
      <c r="AD584" s="36"/>
      <c r="AE584" s="36"/>
      <c r="AF584" s="36"/>
      <c r="AG584" s="36"/>
      <c r="AH584" s="36"/>
      <c r="AI584" s="36"/>
      <c r="AJ584" s="36"/>
      <c r="AK584" s="36"/>
      <c r="AT584" s="45"/>
      <c r="AU584" s="45"/>
      <c r="AV584" s="45"/>
      <c r="AW584" s="45"/>
      <c r="AX584" s="45"/>
      <c r="AY584" s="45"/>
      <c r="AZ584" s="45"/>
      <c r="BA584" s="45"/>
      <c r="CM584" s="46"/>
      <c r="CO584" s="70"/>
    </row>
    <row r="585" spans="13:93" ht="15">
      <c r="M585" s="45"/>
      <c r="N585" s="45"/>
      <c r="O585" s="45"/>
      <c r="P585" s="45"/>
      <c r="AD585" s="36"/>
      <c r="AE585" s="36"/>
      <c r="AF585" s="36"/>
      <c r="AG585" s="36"/>
      <c r="AH585" s="36"/>
      <c r="AI585" s="36"/>
      <c r="AJ585" s="36"/>
      <c r="AK585" s="36"/>
      <c r="AT585" s="45"/>
      <c r="AU585" s="45"/>
      <c r="AV585" s="45"/>
      <c r="AW585" s="45"/>
      <c r="AX585" s="45"/>
      <c r="AY585" s="45"/>
      <c r="AZ585" s="45"/>
      <c r="BA585" s="45"/>
      <c r="CM585" s="46"/>
      <c r="CO585" s="70"/>
    </row>
    <row r="586" spans="13:93" ht="15">
      <c r="M586" s="45"/>
      <c r="N586" s="45"/>
      <c r="O586" s="45"/>
      <c r="P586" s="45"/>
      <c r="AD586" s="36"/>
      <c r="AE586" s="36"/>
      <c r="AF586" s="36"/>
      <c r="AG586" s="36"/>
      <c r="AH586" s="36"/>
      <c r="AI586" s="36"/>
      <c r="AJ586" s="36"/>
      <c r="AK586" s="36"/>
      <c r="AT586" s="45"/>
      <c r="AU586" s="45"/>
      <c r="AV586" s="45"/>
      <c r="AW586" s="45"/>
      <c r="AX586" s="45"/>
      <c r="AY586" s="45"/>
      <c r="AZ586" s="45"/>
      <c r="BA586" s="45"/>
      <c r="CM586" s="46"/>
      <c r="CO586" s="70"/>
    </row>
    <row r="587" spans="13:93" ht="15">
      <c r="M587" s="45"/>
      <c r="N587" s="45"/>
      <c r="O587" s="45"/>
      <c r="P587" s="45"/>
      <c r="AD587" s="36"/>
      <c r="AE587" s="36"/>
      <c r="AF587" s="36"/>
      <c r="AG587" s="36"/>
      <c r="AH587" s="36"/>
      <c r="AI587" s="36"/>
      <c r="AJ587" s="36"/>
      <c r="AK587" s="36"/>
      <c r="AT587" s="45"/>
      <c r="AU587" s="45"/>
      <c r="AV587" s="45"/>
      <c r="AW587" s="45"/>
      <c r="AX587" s="45"/>
      <c r="AY587" s="45"/>
      <c r="AZ587" s="45"/>
      <c r="BA587" s="45"/>
      <c r="CM587" s="46"/>
      <c r="CO587" s="70"/>
    </row>
    <row r="588" spans="13:93" ht="15">
      <c r="M588" s="45"/>
      <c r="N588" s="45"/>
      <c r="O588" s="45"/>
      <c r="P588" s="45"/>
      <c r="AD588" s="36"/>
      <c r="AE588" s="36"/>
      <c r="AF588" s="36"/>
      <c r="AG588" s="36"/>
      <c r="AH588" s="36"/>
      <c r="AI588" s="36"/>
      <c r="AJ588" s="36"/>
      <c r="AK588" s="36"/>
      <c r="AT588" s="45"/>
      <c r="AU588" s="45"/>
      <c r="AV588" s="45"/>
      <c r="AW588" s="45"/>
      <c r="AX588" s="45"/>
      <c r="AY588" s="45"/>
      <c r="AZ588" s="45"/>
      <c r="BA588" s="45"/>
      <c r="CM588" s="46"/>
      <c r="CO588" s="70"/>
    </row>
    <row r="589" spans="13:93" ht="15">
      <c r="M589" s="45"/>
      <c r="N589" s="45"/>
      <c r="O589" s="45"/>
      <c r="P589" s="45"/>
      <c r="AD589" s="36"/>
      <c r="AE589" s="36"/>
      <c r="AF589" s="36"/>
      <c r="AG589" s="36"/>
      <c r="AH589" s="36"/>
      <c r="AI589" s="36"/>
      <c r="AJ589" s="36"/>
      <c r="AK589" s="36"/>
      <c r="AT589" s="45"/>
      <c r="AU589" s="45"/>
      <c r="AV589" s="45"/>
      <c r="AW589" s="45"/>
      <c r="AX589" s="45"/>
      <c r="AY589" s="45"/>
      <c r="AZ589" s="45"/>
      <c r="BA589" s="45"/>
      <c r="CM589" s="46"/>
      <c r="CO589" s="70"/>
    </row>
    <row r="590" spans="13:93" ht="15">
      <c r="M590" s="45"/>
      <c r="N590" s="45"/>
      <c r="O590" s="45"/>
      <c r="P590" s="45"/>
      <c r="AD590" s="36"/>
      <c r="AE590" s="36"/>
      <c r="AF590" s="36"/>
      <c r="AG590" s="36"/>
      <c r="AH590" s="36"/>
      <c r="AI590" s="36"/>
      <c r="AJ590" s="36"/>
      <c r="AK590" s="36"/>
      <c r="AT590" s="45"/>
      <c r="AU590" s="45"/>
      <c r="AV590" s="45"/>
      <c r="AW590" s="45"/>
      <c r="AX590" s="45"/>
      <c r="AY590" s="45"/>
      <c r="AZ590" s="45"/>
      <c r="BA590" s="45"/>
      <c r="CM590" s="46"/>
      <c r="CO590" s="70"/>
    </row>
    <row r="591" spans="13:93" ht="15">
      <c r="M591" s="45"/>
      <c r="N591" s="45"/>
      <c r="O591" s="45"/>
      <c r="P591" s="45"/>
      <c r="AD591" s="36"/>
      <c r="AE591" s="36"/>
      <c r="AF591" s="36"/>
      <c r="AG591" s="36"/>
      <c r="AH591" s="36"/>
      <c r="AI591" s="36"/>
      <c r="AJ591" s="36"/>
      <c r="AK591" s="36"/>
      <c r="AT591" s="45"/>
      <c r="AU591" s="45"/>
      <c r="AV591" s="45"/>
      <c r="AW591" s="45"/>
      <c r="AX591" s="45"/>
      <c r="AY591" s="45"/>
      <c r="AZ591" s="45"/>
      <c r="BA591" s="45"/>
      <c r="CM591" s="46"/>
      <c r="CO591" s="70"/>
    </row>
    <row r="592" spans="13:93" ht="15">
      <c r="M592" s="45"/>
      <c r="N592" s="45"/>
      <c r="O592" s="45"/>
      <c r="P592" s="45"/>
      <c r="AD592" s="36"/>
      <c r="AE592" s="36"/>
      <c r="AF592" s="36"/>
      <c r="AG592" s="36"/>
      <c r="AH592" s="36"/>
      <c r="AI592" s="36"/>
      <c r="AJ592" s="36"/>
      <c r="AK592" s="36"/>
      <c r="AT592" s="45"/>
      <c r="AU592" s="45"/>
      <c r="AV592" s="45"/>
      <c r="AW592" s="45"/>
      <c r="AX592" s="45"/>
      <c r="AY592" s="45"/>
      <c r="AZ592" s="45"/>
      <c r="BA592" s="45"/>
      <c r="CM592" s="46"/>
      <c r="CO592" s="70"/>
    </row>
    <row r="593" spans="13:93" ht="15">
      <c r="M593" s="45"/>
      <c r="N593" s="45"/>
      <c r="O593" s="45"/>
      <c r="P593" s="45"/>
      <c r="AD593" s="36"/>
      <c r="AE593" s="36"/>
      <c r="AF593" s="36"/>
      <c r="AG593" s="36"/>
      <c r="AH593" s="36"/>
      <c r="AI593" s="36"/>
      <c r="AJ593" s="36"/>
      <c r="AK593" s="36"/>
      <c r="AT593" s="45"/>
      <c r="AU593" s="45"/>
      <c r="AV593" s="45"/>
      <c r="AW593" s="45"/>
      <c r="AX593" s="45"/>
      <c r="AY593" s="45"/>
      <c r="AZ593" s="45"/>
      <c r="BA593" s="45"/>
      <c r="CM593" s="46"/>
      <c r="CO593" s="70"/>
    </row>
    <row r="594" spans="13:93" ht="15">
      <c r="M594" s="45"/>
      <c r="N594" s="45"/>
      <c r="O594" s="45"/>
      <c r="P594" s="45"/>
      <c r="AD594" s="36"/>
      <c r="AE594" s="36"/>
      <c r="AF594" s="36"/>
      <c r="AG594" s="36"/>
      <c r="AH594" s="36"/>
      <c r="AI594" s="36"/>
      <c r="AJ594" s="36"/>
      <c r="AK594" s="36"/>
      <c r="AT594" s="45"/>
      <c r="AU594" s="45"/>
      <c r="AV594" s="45"/>
      <c r="AW594" s="45"/>
      <c r="AX594" s="45"/>
      <c r="AY594" s="45"/>
      <c r="AZ594" s="45"/>
      <c r="BA594" s="45"/>
      <c r="CM594" s="46"/>
      <c r="CO594" s="70"/>
    </row>
    <row r="595" spans="13:93" ht="15">
      <c r="M595" s="45"/>
      <c r="N595" s="45"/>
      <c r="O595" s="45"/>
      <c r="P595" s="45"/>
      <c r="AD595" s="36"/>
      <c r="AE595" s="36"/>
      <c r="AF595" s="36"/>
      <c r="AG595" s="36"/>
      <c r="AH595" s="36"/>
      <c r="AI595" s="36"/>
      <c r="AJ595" s="36"/>
      <c r="AK595" s="36"/>
      <c r="AT595" s="45"/>
      <c r="AU595" s="45"/>
      <c r="AV595" s="45"/>
      <c r="AW595" s="45"/>
      <c r="AX595" s="45"/>
      <c r="AY595" s="45"/>
      <c r="AZ595" s="45"/>
      <c r="BA595" s="45"/>
      <c r="CM595" s="46"/>
      <c r="CO595" s="70"/>
    </row>
    <row r="596" spans="13:93" ht="15">
      <c r="M596" s="45"/>
      <c r="N596" s="45"/>
      <c r="O596" s="45"/>
      <c r="P596" s="45"/>
      <c r="AD596" s="36"/>
      <c r="AE596" s="36"/>
      <c r="AF596" s="36"/>
      <c r="AG596" s="36"/>
      <c r="AH596" s="36"/>
      <c r="AI596" s="36"/>
      <c r="AJ596" s="36"/>
      <c r="AK596" s="36"/>
      <c r="AT596" s="45"/>
      <c r="AU596" s="45"/>
      <c r="AV596" s="45"/>
      <c r="AW596" s="45"/>
      <c r="AX596" s="45"/>
      <c r="AY596" s="45"/>
      <c r="AZ596" s="45"/>
      <c r="BA596" s="45"/>
      <c r="CM596" s="46"/>
      <c r="CO596" s="70"/>
    </row>
    <row r="597" spans="13:93" ht="15">
      <c r="M597" s="45"/>
      <c r="N597" s="45"/>
      <c r="O597" s="45"/>
      <c r="P597" s="45"/>
      <c r="AD597" s="36"/>
      <c r="AE597" s="36"/>
      <c r="AF597" s="36"/>
      <c r="AG597" s="36"/>
      <c r="AH597" s="36"/>
      <c r="AI597" s="36"/>
      <c r="AJ597" s="36"/>
      <c r="AK597" s="36"/>
      <c r="AT597" s="45"/>
      <c r="AU597" s="45"/>
      <c r="AV597" s="45"/>
      <c r="AW597" s="45"/>
      <c r="AX597" s="45"/>
      <c r="AY597" s="45"/>
      <c r="AZ597" s="45"/>
      <c r="BA597" s="45"/>
      <c r="CM597" s="46"/>
      <c r="CO597" s="70"/>
    </row>
    <row r="598" spans="13:93" ht="15">
      <c r="M598" s="45"/>
      <c r="N598" s="45"/>
      <c r="O598" s="45"/>
      <c r="P598" s="45"/>
      <c r="AD598" s="36"/>
      <c r="AE598" s="36"/>
      <c r="AF598" s="36"/>
      <c r="AG598" s="36"/>
      <c r="AH598" s="36"/>
      <c r="AI598" s="36"/>
      <c r="AJ598" s="36"/>
      <c r="AK598" s="36"/>
      <c r="AT598" s="45"/>
      <c r="AU598" s="45"/>
      <c r="AV598" s="45"/>
      <c r="AW598" s="45"/>
      <c r="AX598" s="45"/>
      <c r="AY598" s="45"/>
      <c r="AZ598" s="45"/>
      <c r="BA598" s="45"/>
      <c r="CM598" s="46"/>
      <c r="CO598" s="70"/>
    </row>
    <row r="599" spans="13:93" ht="15">
      <c r="M599" s="45"/>
      <c r="N599" s="45"/>
      <c r="O599" s="45"/>
      <c r="P599" s="45"/>
      <c r="AD599" s="36"/>
      <c r="AE599" s="36"/>
      <c r="AF599" s="36"/>
      <c r="AG599" s="36"/>
      <c r="AH599" s="36"/>
      <c r="AI599" s="36"/>
      <c r="AJ599" s="36"/>
      <c r="AK599" s="36"/>
      <c r="AT599" s="45"/>
      <c r="AU599" s="45"/>
      <c r="AV599" s="45"/>
      <c r="AW599" s="45"/>
      <c r="AX599" s="45"/>
      <c r="AY599" s="45"/>
      <c r="AZ599" s="45"/>
      <c r="BA599" s="45"/>
      <c r="CM599" s="46"/>
      <c r="CO599" s="70"/>
    </row>
    <row r="600" spans="13:93" ht="15">
      <c r="M600" s="45"/>
      <c r="N600" s="45"/>
      <c r="O600" s="45"/>
      <c r="P600" s="45"/>
      <c r="AD600" s="36"/>
      <c r="AE600" s="36"/>
      <c r="AF600" s="36"/>
      <c r="AG600" s="36"/>
      <c r="AH600" s="36"/>
      <c r="AI600" s="36"/>
      <c r="AJ600" s="36"/>
      <c r="AK600" s="36"/>
      <c r="AT600" s="45"/>
      <c r="AU600" s="45"/>
      <c r="AV600" s="45"/>
      <c r="AW600" s="45"/>
      <c r="AX600" s="45"/>
      <c r="AY600" s="45"/>
      <c r="AZ600" s="45"/>
      <c r="BA600" s="45"/>
      <c r="CM600" s="46"/>
      <c r="CO600" s="70"/>
    </row>
    <row r="601" spans="13:93" ht="15">
      <c r="M601" s="45"/>
      <c r="N601" s="45"/>
      <c r="O601" s="45"/>
      <c r="P601" s="45"/>
      <c r="AD601" s="36"/>
      <c r="AE601" s="36"/>
      <c r="AF601" s="36"/>
      <c r="AG601" s="36"/>
      <c r="AH601" s="36"/>
      <c r="AI601" s="36"/>
      <c r="AJ601" s="36"/>
      <c r="AK601" s="36"/>
      <c r="AT601" s="45"/>
      <c r="AU601" s="45"/>
      <c r="AV601" s="45"/>
      <c r="AW601" s="45"/>
      <c r="AX601" s="45"/>
      <c r="AY601" s="45"/>
      <c r="AZ601" s="45"/>
      <c r="BA601" s="45"/>
      <c r="CM601" s="46"/>
      <c r="CO601" s="70"/>
    </row>
    <row r="602" spans="13:93" ht="15">
      <c r="M602" s="45"/>
      <c r="N602" s="45"/>
      <c r="O602" s="45"/>
      <c r="P602" s="45"/>
      <c r="AD602" s="36"/>
      <c r="AE602" s="36"/>
      <c r="AF602" s="36"/>
      <c r="AG602" s="36"/>
      <c r="AH602" s="36"/>
      <c r="AI602" s="36"/>
      <c r="AJ602" s="36"/>
      <c r="AK602" s="36"/>
      <c r="AT602" s="45"/>
      <c r="AU602" s="45"/>
      <c r="AV602" s="45"/>
      <c r="AW602" s="45"/>
      <c r="AX602" s="45"/>
      <c r="AY602" s="45"/>
      <c r="AZ602" s="45"/>
      <c r="BA602" s="45"/>
      <c r="CM602" s="46"/>
      <c r="CO602" s="70"/>
    </row>
    <row r="603" spans="13:93" ht="15">
      <c r="M603" s="45"/>
      <c r="N603" s="45"/>
      <c r="O603" s="45"/>
      <c r="P603" s="45"/>
      <c r="AD603" s="36"/>
      <c r="AE603" s="36"/>
      <c r="AF603" s="36"/>
      <c r="AG603" s="36"/>
      <c r="AH603" s="36"/>
      <c r="AI603" s="36"/>
      <c r="AJ603" s="36"/>
      <c r="AK603" s="36"/>
      <c r="AT603" s="45"/>
      <c r="AU603" s="45"/>
      <c r="AV603" s="45"/>
      <c r="AW603" s="45"/>
      <c r="AX603" s="45"/>
      <c r="AY603" s="45"/>
      <c r="AZ603" s="45"/>
      <c r="BA603" s="45"/>
      <c r="CM603" s="46"/>
      <c r="CO603" s="70"/>
    </row>
    <row r="604" spans="13:93" ht="15">
      <c r="M604" s="45"/>
      <c r="N604" s="45"/>
      <c r="O604" s="45"/>
      <c r="P604" s="45"/>
      <c r="AD604" s="36"/>
      <c r="AE604" s="36"/>
      <c r="AF604" s="36"/>
      <c r="AG604" s="36"/>
      <c r="AH604" s="36"/>
      <c r="AI604" s="36"/>
      <c r="AJ604" s="36"/>
      <c r="AK604" s="36"/>
      <c r="AT604" s="45"/>
      <c r="AU604" s="45"/>
      <c r="AV604" s="45"/>
      <c r="AW604" s="45"/>
      <c r="AX604" s="45"/>
      <c r="AY604" s="45"/>
      <c r="AZ604" s="45"/>
      <c r="BA604" s="45"/>
      <c r="CM604" s="46"/>
      <c r="CO604" s="70"/>
    </row>
    <row r="605" spans="13:93" ht="15">
      <c r="M605" s="45"/>
      <c r="N605" s="45"/>
      <c r="O605" s="45"/>
      <c r="P605" s="45"/>
      <c r="AD605" s="36"/>
      <c r="AE605" s="36"/>
      <c r="AF605" s="36"/>
      <c r="AG605" s="36"/>
      <c r="AH605" s="36"/>
      <c r="AI605" s="36"/>
      <c r="AJ605" s="36"/>
      <c r="AK605" s="36"/>
      <c r="AT605" s="45"/>
      <c r="AU605" s="45"/>
      <c r="AV605" s="45"/>
      <c r="AW605" s="45"/>
      <c r="AX605" s="45"/>
      <c r="AY605" s="45"/>
      <c r="AZ605" s="45"/>
      <c r="BA605" s="45"/>
      <c r="CM605" s="46"/>
      <c r="CO605" s="70"/>
    </row>
    <row r="606" spans="13:93" ht="15">
      <c r="M606" s="45"/>
      <c r="N606" s="45"/>
      <c r="O606" s="45"/>
      <c r="P606" s="45"/>
      <c r="AD606" s="36"/>
      <c r="AE606" s="36"/>
      <c r="AF606" s="36"/>
      <c r="AG606" s="36"/>
      <c r="AH606" s="36"/>
      <c r="AI606" s="36"/>
      <c r="AJ606" s="36"/>
      <c r="AK606" s="36"/>
      <c r="AT606" s="45"/>
      <c r="AU606" s="45"/>
      <c r="AV606" s="45"/>
      <c r="AW606" s="45"/>
      <c r="AX606" s="45"/>
      <c r="AY606" s="45"/>
      <c r="AZ606" s="45"/>
      <c r="BA606" s="45"/>
      <c r="CM606" s="46"/>
      <c r="CO606" s="70"/>
    </row>
    <row r="607" spans="13:93" ht="15">
      <c r="M607" s="45"/>
      <c r="N607" s="45"/>
      <c r="O607" s="45"/>
      <c r="P607" s="45"/>
      <c r="AD607" s="36"/>
      <c r="AE607" s="36"/>
      <c r="AF607" s="36"/>
      <c r="AG607" s="36"/>
      <c r="AH607" s="36"/>
      <c r="AI607" s="36"/>
      <c r="AJ607" s="36"/>
      <c r="AK607" s="36"/>
      <c r="AT607" s="45"/>
      <c r="AU607" s="45"/>
      <c r="AV607" s="45"/>
      <c r="AW607" s="45"/>
      <c r="AX607" s="45"/>
      <c r="AY607" s="45"/>
      <c r="AZ607" s="45"/>
      <c r="BA607" s="45"/>
      <c r="CM607" s="46"/>
      <c r="CO607" s="70"/>
    </row>
    <row r="608" spans="13:93" ht="15">
      <c r="M608" s="45"/>
      <c r="N608" s="45"/>
      <c r="O608" s="45"/>
      <c r="P608" s="45"/>
      <c r="AD608" s="36"/>
      <c r="AE608" s="36"/>
      <c r="AF608" s="36"/>
      <c r="AG608" s="36"/>
      <c r="AH608" s="36"/>
      <c r="AI608" s="36"/>
      <c r="AJ608" s="36"/>
      <c r="AK608" s="36"/>
      <c r="AT608" s="45"/>
      <c r="AU608" s="45"/>
      <c r="AV608" s="45"/>
      <c r="AW608" s="45"/>
      <c r="AX608" s="45"/>
      <c r="AY608" s="45"/>
      <c r="AZ608" s="45"/>
      <c r="BA608" s="45"/>
      <c r="CM608" s="46"/>
      <c r="CO608" s="70"/>
    </row>
    <row r="609" spans="13:93" ht="15">
      <c r="M609" s="45"/>
      <c r="N609" s="45"/>
      <c r="O609" s="45"/>
      <c r="P609" s="45"/>
      <c r="AD609" s="36"/>
      <c r="AE609" s="36"/>
      <c r="AF609" s="36"/>
      <c r="AG609" s="36"/>
      <c r="AH609" s="36"/>
      <c r="AI609" s="36"/>
      <c r="AJ609" s="36"/>
      <c r="AK609" s="36"/>
      <c r="AT609" s="45"/>
      <c r="AU609" s="45"/>
      <c r="AV609" s="45"/>
      <c r="AW609" s="45"/>
      <c r="AX609" s="45"/>
      <c r="AY609" s="45"/>
      <c r="AZ609" s="45"/>
      <c r="BA609" s="45"/>
      <c r="CM609" s="46"/>
      <c r="CO609" s="70"/>
    </row>
    <row r="610" spans="13:93" ht="15">
      <c r="M610" s="45"/>
      <c r="N610" s="45"/>
      <c r="O610" s="45"/>
      <c r="P610" s="45"/>
      <c r="AD610" s="36"/>
      <c r="AE610" s="36"/>
      <c r="AF610" s="36"/>
      <c r="AG610" s="36"/>
      <c r="AH610" s="36"/>
      <c r="AI610" s="36"/>
      <c r="AJ610" s="36"/>
      <c r="AK610" s="36"/>
      <c r="AT610" s="45"/>
      <c r="AU610" s="45"/>
      <c r="AV610" s="45"/>
      <c r="AW610" s="45"/>
      <c r="AX610" s="45"/>
      <c r="AY610" s="45"/>
      <c r="AZ610" s="45"/>
      <c r="BA610" s="45"/>
      <c r="CM610" s="46"/>
      <c r="CO610" s="70"/>
    </row>
    <row r="611" spans="13:93" ht="15">
      <c r="M611" s="45"/>
      <c r="N611" s="45"/>
      <c r="O611" s="45"/>
      <c r="P611" s="45"/>
      <c r="AD611" s="36"/>
      <c r="AE611" s="36"/>
      <c r="AF611" s="36"/>
      <c r="AG611" s="36"/>
      <c r="AH611" s="36"/>
      <c r="AI611" s="36"/>
      <c r="AJ611" s="36"/>
      <c r="AK611" s="36"/>
      <c r="AT611" s="45"/>
      <c r="AU611" s="45"/>
      <c r="AV611" s="45"/>
      <c r="AW611" s="45"/>
      <c r="AX611" s="45"/>
      <c r="AY611" s="45"/>
      <c r="AZ611" s="45"/>
      <c r="BA611" s="45"/>
      <c r="CM611" s="46"/>
      <c r="CO611" s="70"/>
    </row>
    <row r="612" spans="13:93" ht="15">
      <c r="M612" s="45"/>
      <c r="N612" s="45"/>
      <c r="O612" s="45"/>
      <c r="P612" s="45"/>
      <c r="AD612" s="36"/>
      <c r="AE612" s="36"/>
      <c r="AF612" s="36"/>
      <c r="AG612" s="36"/>
      <c r="AH612" s="36"/>
      <c r="AI612" s="36"/>
      <c r="AJ612" s="36"/>
      <c r="AK612" s="36"/>
      <c r="AT612" s="45"/>
      <c r="AU612" s="45"/>
      <c r="AV612" s="45"/>
      <c r="AW612" s="45"/>
      <c r="AX612" s="45"/>
      <c r="AY612" s="45"/>
      <c r="AZ612" s="45"/>
      <c r="BA612" s="45"/>
      <c r="CM612" s="46"/>
      <c r="CO612" s="70"/>
    </row>
    <row r="613" spans="13:93" ht="15">
      <c r="M613" s="45"/>
      <c r="N613" s="45"/>
      <c r="O613" s="45"/>
      <c r="P613" s="45"/>
      <c r="AD613" s="36"/>
      <c r="AE613" s="36"/>
      <c r="AF613" s="36"/>
      <c r="AG613" s="36"/>
      <c r="AH613" s="36"/>
      <c r="AI613" s="36"/>
      <c r="AJ613" s="36"/>
      <c r="AK613" s="36"/>
      <c r="AT613" s="45"/>
      <c r="AU613" s="45"/>
      <c r="AV613" s="45"/>
      <c r="AW613" s="45"/>
      <c r="AX613" s="45"/>
      <c r="AY613" s="45"/>
      <c r="AZ613" s="45"/>
      <c r="BA613" s="45"/>
      <c r="CM613" s="46"/>
      <c r="CO613" s="70"/>
    </row>
    <row r="614" spans="13:93" ht="15">
      <c r="M614" s="45"/>
      <c r="N614" s="45"/>
      <c r="O614" s="45"/>
      <c r="P614" s="45"/>
      <c r="AD614" s="36"/>
      <c r="AE614" s="36"/>
      <c r="AF614" s="36"/>
      <c r="AG614" s="36"/>
      <c r="AH614" s="36"/>
      <c r="AI614" s="36"/>
      <c r="AJ614" s="36"/>
      <c r="AK614" s="36"/>
      <c r="AT614" s="45"/>
      <c r="AU614" s="45"/>
      <c r="AV614" s="45"/>
      <c r="AW614" s="45"/>
      <c r="AX614" s="45"/>
      <c r="AY614" s="45"/>
      <c r="AZ614" s="45"/>
      <c r="BA614" s="45"/>
      <c r="CM614" s="46"/>
      <c r="CO614" s="70"/>
    </row>
    <row r="615" spans="13:93" ht="15">
      <c r="M615" s="45"/>
      <c r="N615" s="45"/>
      <c r="O615" s="45"/>
      <c r="P615" s="45"/>
      <c r="AD615" s="36"/>
      <c r="AE615" s="36"/>
      <c r="AF615" s="36"/>
      <c r="AG615" s="36"/>
      <c r="AH615" s="36"/>
      <c r="AI615" s="36"/>
      <c r="AJ615" s="36"/>
      <c r="AK615" s="36"/>
      <c r="AT615" s="45"/>
      <c r="AU615" s="45"/>
      <c r="AV615" s="45"/>
      <c r="AW615" s="45"/>
      <c r="AX615" s="45"/>
      <c r="AY615" s="45"/>
      <c r="AZ615" s="45"/>
      <c r="BA615" s="45"/>
      <c r="CM615" s="46"/>
      <c r="CO615" s="70"/>
    </row>
    <row r="616" spans="13:93" ht="15">
      <c r="M616" s="45"/>
      <c r="N616" s="45"/>
      <c r="O616" s="45"/>
      <c r="P616" s="45"/>
      <c r="AD616" s="36"/>
      <c r="AE616" s="36"/>
      <c r="AF616" s="36"/>
      <c r="AG616" s="36"/>
      <c r="AH616" s="36"/>
      <c r="AI616" s="36"/>
      <c r="AJ616" s="36"/>
      <c r="AK616" s="36"/>
      <c r="AT616" s="45"/>
      <c r="AU616" s="45"/>
      <c r="AV616" s="45"/>
      <c r="AW616" s="45"/>
      <c r="AX616" s="45"/>
      <c r="AY616" s="45"/>
      <c r="AZ616" s="45"/>
      <c r="BA616" s="45"/>
      <c r="CM616" s="46"/>
      <c r="CO616" s="70"/>
    </row>
    <row r="617" spans="13:93" ht="15">
      <c r="M617" s="45"/>
      <c r="N617" s="45"/>
      <c r="O617" s="45"/>
      <c r="P617" s="45"/>
      <c r="AD617" s="36"/>
      <c r="AE617" s="36"/>
      <c r="AF617" s="36"/>
      <c r="AG617" s="36"/>
      <c r="AH617" s="36"/>
      <c r="AI617" s="36"/>
      <c r="AJ617" s="36"/>
      <c r="AK617" s="36"/>
      <c r="AT617" s="45"/>
      <c r="AU617" s="45"/>
      <c r="AV617" s="45"/>
      <c r="AW617" s="45"/>
      <c r="AX617" s="45"/>
      <c r="AY617" s="45"/>
      <c r="AZ617" s="45"/>
      <c r="BA617" s="45"/>
      <c r="CM617" s="46"/>
      <c r="CO617" s="70"/>
    </row>
    <row r="618" spans="13:93" ht="15">
      <c r="M618" s="45"/>
      <c r="N618" s="45"/>
      <c r="O618" s="45"/>
      <c r="P618" s="45"/>
      <c r="AD618" s="36"/>
      <c r="AE618" s="36"/>
      <c r="AF618" s="36"/>
      <c r="AG618" s="36"/>
      <c r="AH618" s="36"/>
      <c r="AI618" s="36"/>
      <c r="AJ618" s="36"/>
      <c r="AK618" s="36"/>
      <c r="AT618" s="45"/>
      <c r="AU618" s="45"/>
      <c r="AV618" s="45"/>
      <c r="AW618" s="45"/>
      <c r="AX618" s="45"/>
      <c r="AY618" s="45"/>
      <c r="AZ618" s="45"/>
      <c r="BA618" s="45"/>
      <c r="CM618" s="46"/>
      <c r="CO618" s="70"/>
    </row>
    <row r="619" spans="13:93" ht="15">
      <c r="M619" s="45"/>
      <c r="N619" s="45"/>
      <c r="O619" s="45"/>
      <c r="P619" s="45"/>
      <c r="AD619" s="36"/>
      <c r="AE619" s="36"/>
      <c r="AF619" s="36"/>
      <c r="AG619" s="36"/>
      <c r="AH619" s="36"/>
      <c r="AI619" s="36"/>
      <c r="AJ619" s="36"/>
      <c r="AK619" s="36"/>
      <c r="AT619" s="45"/>
      <c r="AU619" s="45"/>
      <c r="AV619" s="45"/>
      <c r="AW619" s="45"/>
      <c r="AX619" s="45"/>
      <c r="AY619" s="45"/>
      <c r="AZ619" s="45"/>
      <c r="BA619" s="45"/>
      <c r="CM619" s="46"/>
      <c r="CO619" s="70"/>
    </row>
    <row r="620" spans="13:93" ht="15">
      <c r="M620" s="45"/>
      <c r="N620" s="45"/>
      <c r="O620" s="45"/>
      <c r="P620" s="45"/>
      <c r="AD620" s="36"/>
      <c r="AE620" s="36"/>
      <c r="AF620" s="36"/>
      <c r="AG620" s="36"/>
      <c r="AH620" s="36"/>
      <c r="AI620" s="36"/>
      <c r="AJ620" s="36"/>
      <c r="AK620" s="36"/>
      <c r="AT620" s="45"/>
      <c r="AU620" s="45"/>
      <c r="AV620" s="45"/>
      <c r="AW620" s="45"/>
      <c r="AX620" s="45"/>
      <c r="AY620" s="45"/>
      <c r="AZ620" s="45"/>
      <c r="BA620" s="45"/>
      <c r="CM620" s="46"/>
      <c r="CO620" s="70"/>
    </row>
    <row r="621" spans="13:93" ht="15">
      <c r="M621" s="45"/>
      <c r="N621" s="45"/>
      <c r="O621" s="45"/>
      <c r="P621" s="45"/>
      <c r="AD621" s="36"/>
      <c r="AE621" s="36"/>
      <c r="AF621" s="36"/>
      <c r="AG621" s="36"/>
      <c r="AH621" s="36"/>
      <c r="AI621" s="36"/>
      <c r="AJ621" s="36"/>
      <c r="AK621" s="36"/>
      <c r="AT621" s="45"/>
      <c r="AU621" s="45"/>
      <c r="AV621" s="45"/>
      <c r="AW621" s="45"/>
      <c r="AX621" s="45"/>
      <c r="AY621" s="45"/>
      <c r="AZ621" s="45"/>
      <c r="BA621" s="45"/>
      <c r="CM621" s="46"/>
      <c r="CO621" s="70"/>
    </row>
    <row r="622" spans="13:93" ht="15">
      <c r="M622" s="45"/>
      <c r="N622" s="45"/>
      <c r="O622" s="45"/>
      <c r="P622" s="45"/>
      <c r="AD622" s="36"/>
      <c r="AE622" s="36"/>
      <c r="AF622" s="36"/>
      <c r="AG622" s="36"/>
      <c r="AH622" s="36"/>
      <c r="AI622" s="36"/>
      <c r="AJ622" s="36"/>
      <c r="AK622" s="36"/>
      <c r="AT622" s="45"/>
      <c r="AU622" s="45"/>
      <c r="AV622" s="45"/>
      <c r="AW622" s="45"/>
      <c r="AX622" s="45"/>
      <c r="AY622" s="45"/>
      <c r="AZ622" s="45"/>
      <c r="BA622" s="45"/>
      <c r="CM622" s="46"/>
      <c r="CO622" s="70"/>
    </row>
    <row r="623" spans="13:93" ht="15">
      <c r="M623" s="45"/>
      <c r="N623" s="45"/>
      <c r="O623" s="45"/>
      <c r="P623" s="45"/>
      <c r="AD623" s="36"/>
      <c r="AE623" s="36"/>
      <c r="AF623" s="36"/>
      <c r="AG623" s="36"/>
      <c r="AH623" s="36"/>
      <c r="AI623" s="36"/>
      <c r="AJ623" s="36"/>
      <c r="AK623" s="36"/>
      <c r="AT623" s="45"/>
      <c r="AU623" s="45"/>
      <c r="AV623" s="45"/>
      <c r="AW623" s="45"/>
      <c r="AX623" s="45"/>
      <c r="AY623" s="45"/>
      <c r="AZ623" s="45"/>
      <c r="BA623" s="45"/>
      <c r="CM623" s="46"/>
      <c r="CO623" s="70"/>
    </row>
    <row r="624" spans="13:93" ht="15">
      <c r="M624" s="45"/>
      <c r="N624" s="45"/>
      <c r="O624" s="45"/>
      <c r="P624" s="45"/>
      <c r="AD624" s="36"/>
      <c r="AE624" s="36"/>
      <c r="AF624" s="36"/>
      <c r="AG624" s="36"/>
      <c r="AH624" s="36"/>
      <c r="AI624" s="36"/>
      <c r="AJ624" s="36"/>
      <c r="AK624" s="36"/>
      <c r="AT624" s="45"/>
      <c r="AU624" s="45"/>
      <c r="AV624" s="45"/>
      <c r="AW624" s="45"/>
      <c r="AX624" s="45"/>
      <c r="AY624" s="45"/>
      <c r="AZ624" s="45"/>
      <c r="BA624" s="45"/>
      <c r="CM624" s="46"/>
      <c r="CO624" s="70"/>
    </row>
    <row r="625" spans="13:93" ht="15">
      <c r="M625" s="45"/>
      <c r="N625" s="45"/>
      <c r="O625" s="45"/>
      <c r="P625" s="45"/>
      <c r="AD625" s="36"/>
      <c r="AE625" s="36"/>
      <c r="AF625" s="36"/>
      <c r="AG625" s="36"/>
      <c r="AH625" s="36"/>
      <c r="AI625" s="36"/>
      <c r="AJ625" s="36"/>
      <c r="AK625" s="36"/>
      <c r="AT625" s="45"/>
      <c r="AU625" s="45"/>
      <c r="AV625" s="45"/>
      <c r="AW625" s="45"/>
      <c r="AX625" s="45"/>
      <c r="AY625" s="45"/>
      <c r="AZ625" s="45"/>
      <c r="BA625" s="45"/>
      <c r="CM625" s="46"/>
      <c r="CO625" s="70"/>
    </row>
    <row r="626" spans="13:93" ht="15">
      <c r="M626" s="45"/>
      <c r="N626" s="45"/>
      <c r="O626" s="45"/>
      <c r="P626" s="45"/>
      <c r="AD626" s="36"/>
      <c r="AE626" s="36"/>
      <c r="AF626" s="36"/>
      <c r="AG626" s="36"/>
      <c r="AH626" s="36"/>
      <c r="AI626" s="36"/>
      <c r="AJ626" s="36"/>
      <c r="AK626" s="36"/>
      <c r="AT626" s="45"/>
      <c r="AU626" s="45"/>
      <c r="AV626" s="45"/>
      <c r="AW626" s="45"/>
      <c r="AX626" s="45"/>
      <c r="AY626" s="45"/>
      <c r="AZ626" s="45"/>
      <c r="BA626" s="45"/>
      <c r="CM626" s="46"/>
      <c r="CO626" s="70"/>
    </row>
    <row r="627" spans="13:93" ht="15">
      <c r="M627" s="45"/>
      <c r="N627" s="45"/>
      <c r="O627" s="45"/>
      <c r="P627" s="45"/>
      <c r="AD627" s="36"/>
      <c r="AE627" s="36"/>
      <c r="AF627" s="36"/>
      <c r="AG627" s="36"/>
      <c r="AH627" s="36"/>
      <c r="AI627" s="36"/>
      <c r="AJ627" s="36"/>
      <c r="AK627" s="36"/>
      <c r="AT627" s="45"/>
      <c r="AU627" s="45"/>
      <c r="AV627" s="45"/>
      <c r="AW627" s="45"/>
      <c r="AX627" s="45"/>
      <c r="AY627" s="45"/>
      <c r="AZ627" s="45"/>
      <c r="BA627" s="45"/>
      <c r="CM627" s="46"/>
      <c r="CO627" s="70"/>
    </row>
    <row r="628" spans="13:93" ht="15">
      <c r="M628" s="45"/>
      <c r="N628" s="45"/>
      <c r="O628" s="45"/>
      <c r="P628" s="45"/>
      <c r="AD628" s="36"/>
      <c r="AE628" s="36"/>
      <c r="AF628" s="36"/>
      <c r="AG628" s="36"/>
      <c r="AH628" s="36"/>
      <c r="AI628" s="36"/>
      <c r="AJ628" s="36"/>
      <c r="AK628" s="36"/>
      <c r="AT628" s="45"/>
      <c r="AU628" s="45"/>
      <c r="AV628" s="45"/>
      <c r="AW628" s="45"/>
      <c r="AX628" s="45"/>
      <c r="AY628" s="45"/>
      <c r="AZ628" s="45"/>
      <c r="BA628" s="45"/>
      <c r="CM628" s="46"/>
      <c r="CO628" s="70"/>
    </row>
    <row r="629" spans="13:93" ht="15">
      <c r="M629" s="45"/>
      <c r="N629" s="45"/>
      <c r="O629" s="45"/>
      <c r="P629" s="45"/>
      <c r="AD629" s="36"/>
      <c r="AE629" s="36"/>
      <c r="AF629" s="36"/>
      <c r="AG629" s="36"/>
      <c r="AH629" s="36"/>
      <c r="AI629" s="36"/>
      <c r="AJ629" s="36"/>
      <c r="AK629" s="36"/>
      <c r="AT629" s="45"/>
      <c r="AU629" s="45"/>
      <c r="AV629" s="45"/>
      <c r="AW629" s="45"/>
      <c r="AX629" s="45"/>
      <c r="AY629" s="45"/>
      <c r="AZ629" s="45"/>
      <c r="BA629" s="45"/>
      <c r="CM629" s="46"/>
      <c r="CO629" s="70"/>
    </row>
    <row r="630" spans="13:93" ht="15">
      <c r="M630" s="45"/>
      <c r="N630" s="45"/>
      <c r="O630" s="45"/>
      <c r="P630" s="45"/>
      <c r="AD630" s="36"/>
      <c r="AE630" s="36"/>
      <c r="AF630" s="36"/>
      <c r="AG630" s="36"/>
      <c r="AH630" s="36"/>
      <c r="AI630" s="36"/>
      <c r="AJ630" s="36"/>
      <c r="AK630" s="36"/>
      <c r="AT630" s="45"/>
      <c r="AU630" s="45"/>
      <c r="AV630" s="45"/>
      <c r="AW630" s="45"/>
      <c r="AX630" s="45"/>
      <c r="AY630" s="45"/>
      <c r="AZ630" s="45"/>
      <c r="BA630" s="45"/>
      <c r="CM630" s="46"/>
      <c r="CO630" s="70"/>
    </row>
    <row r="631" spans="13:93" ht="15">
      <c r="M631" s="45"/>
      <c r="N631" s="45"/>
      <c r="O631" s="45"/>
      <c r="P631" s="45"/>
      <c r="AD631" s="36"/>
      <c r="AE631" s="36"/>
      <c r="AF631" s="36"/>
      <c r="AG631" s="36"/>
      <c r="AH631" s="36"/>
      <c r="AI631" s="36"/>
      <c r="AJ631" s="36"/>
      <c r="AK631" s="36"/>
      <c r="AT631" s="45"/>
      <c r="AU631" s="45"/>
      <c r="AV631" s="45"/>
      <c r="AW631" s="45"/>
      <c r="AX631" s="45"/>
      <c r="AY631" s="45"/>
      <c r="AZ631" s="45"/>
      <c r="BA631" s="45"/>
      <c r="CM631" s="46"/>
      <c r="CO631" s="70"/>
    </row>
    <row r="632" spans="13:93" ht="15">
      <c r="M632" s="45"/>
      <c r="N632" s="45"/>
      <c r="O632" s="45"/>
      <c r="P632" s="45"/>
      <c r="AD632" s="36"/>
      <c r="AE632" s="36"/>
      <c r="AF632" s="36"/>
      <c r="AG632" s="36"/>
      <c r="AH632" s="36"/>
      <c r="AI632" s="36"/>
      <c r="AJ632" s="36"/>
      <c r="AK632" s="36"/>
      <c r="AT632" s="45"/>
      <c r="AU632" s="45"/>
      <c r="AV632" s="45"/>
      <c r="AW632" s="45"/>
      <c r="AX632" s="45"/>
      <c r="AY632" s="45"/>
      <c r="AZ632" s="45"/>
      <c r="BA632" s="45"/>
      <c r="CM632" s="46"/>
      <c r="CO632" s="70"/>
    </row>
    <row r="633" spans="13:93" ht="15">
      <c r="M633" s="45"/>
      <c r="N633" s="45"/>
      <c r="O633" s="45"/>
      <c r="P633" s="45"/>
      <c r="AD633" s="36"/>
      <c r="AE633" s="36"/>
      <c r="AF633" s="36"/>
      <c r="AG633" s="36"/>
      <c r="AH633" s="36"/>
      <c r="AI633" s="36"/>
      <c r="AJ633" s="36"/>
      <c r="AK633" s="36"/>
      <c r="AT633" s="45"/>
      <c r="AU633" s="45"/>
      <c r="AV633" s="45"/>
      <c r="AW633" s="45"/>
      <c r="AX633" s="45"/>
      <c r="AY633" s="45"/>
      <c r="AZ633" s="45"/>
      <c r="BA633" s="45"/>
      <c r="CM633" s="46"/>
      <c r="CO633" s="70"/>
    </row>
    <row r="634" spans="13:93" ht="15">
      <c r="M634" s="45"/>
      <c r="N634" s="45"/>
      <c r="O634" s="45"/>
      <c r="P634" s="45"/>
      <c r="AD634" s="36"/>
      <c r="AE634" s="36"/>
      <c r="AF634" s="36"/>
      <c r="AG634" s="36"/>
      <c r="AH634" s="36"/>
      <c r="AI634" s="36"/>
      <c r="AJ634" s="36"/>
      <c r="AK634" s="36"/>
      <c r="AT634" s="45"/>
      <c r="AU634" s="45"/>
      <c r="AV634" s="45"/>
      <c r="AW634" s="45"/>
      <c r="AX634" s="45"/>
      <c r="AY634" s="45"/>
      <c r="AZ634" s="45"/>
      <c r="BA634" s="45"/>
      <c r="CM634" s="46"/>
      <c r="CO634" s="70"/>
    </row>
    <row r="635" spans="13:93" ht="15">
      <c r="M635" s="45"/>
      <c r="N635" s="45"/>
      <c r="O635" s="45"/>
      <c r="P635" s="45"/>
      <c r="AD635" s="36"/>
      <c r="AE635" s="36"/>
      <c r="AF635" s="36"/>
      <c r="AG635" s="36"/>
      <c r="AH635" s="36"/>
      <c r="AI635" s="36"/>
      <c r="AJ635" s="36"/>
      <c r="AK635" s="36"/>
      <c r="AT635" s="45"/>
      <c r="AU635" s="45"/>
      <c r="AV635" s="45"/>
      <c r="AW635" s="45"/>
      <c r="AX635" s="45"/>
      <c r="AY635" s="45"/>
      <c r="AZ635" s="45"/>
      <c r="BA635" s="45"/>
      <c r="CM635" s="46"/>
      <c r="CO635" s="70"/>
    </row>
    <row r="636" spans="13:93" ht="15">
      <c r="M636" s="45"/>
      <c r="N636" s="45"/>
      <c r="O636" s="45"/>
      <c r="P636" s="45"/>
      <c r="AD636" s="36"/>
      <c r="AE636" s="36"/>
      <c r="AF636" s="36"/>
      <c r="AG636" s="36"/>
      <c r="AH636" s="36"/>
      <c r="AI636" s="36"/>
      <c r="AJ636" s="36"/>
      <c r="AK636" s="36"/>
      <c r="AT636" s="45"/>
      <c r="AU636" s="45"/>
      <c r="AV636" s="45"/>
      <c r="AW636" s="45"/>
      <c r="AX636" s="45"/>
      <c r="AY636" s="45"/>
      <c r="AZ636" s="45"/>
      <c r="BA636" s="45"/>
      <c r="CM636" s="46"/>
      <c r="CO636" s="70"/>
    </row>
    <row r="637" spans="13:93" ht="15">
      <c r="M637" s="45"/>
      <c r="N637" s="45"/>
      <c r="O637" s="45"/>
      <c r="P637" s="45"/>
      <c r="AD637" s="36"/>
      <c r="AE637" s="36"/>
      <c r="AF637" s="36"/>
      <c r="AG637" s="36"/>
      <c r="AH637" s="36"/>
      <c r="AI637" s="36"/>
      <c r="AJ637" s="36"/>
      <c r="AK637" s="36"/>
      <c r="AT637" s="45"/>
      <c r="AU637" s="45"/>
      <c r="AV637" s="45"/>
      <c r="AW637" s="45"/>
      <c r="AX637" s="45"/>
      <c r="AY637" s="45"/>
      <c r="AZ637" s="45"/>
      <c r="BA637" s="45"/>
      <c r="CM637" s="46"/>
      <c r="CO637" s="70"/>
    </row>
    <row r="638" spans="13:93" ht="15">
      <c r="M638" s="45"/>
      <c r="N638" s="45"/>
      <c r="O638" s="45"/>
      <c r="P638" s="45"/>
      <c r="AD638" s="36"/>
      <c r="AE638" s="36"/>
      <c r="AF638" s="36"/>
      <c r="AG638" s="36"/>
      <c r="AH638" s="36"/>
      <c r="AI638" s="36"/>
      <c r="AJ638" s="36"/>
      <c r="AK638" s="36"/>
      <c r="AT638" s="45"/>
      <c r="AU638" s="45"/>
      <c r="AV638" s="45"/>
      <c r="AW638" s="45"/>
      <c r="AX638" s="45"/>
      <c r="AY638" s="45"/>
      <c r="AZ638" s="45"/>
      <c r="BA638" s="45"/>
      <c r="CM638" s="46"/>
      <c r="CO638" s="70"/>
    </row>
    <row r="639" spans="13:93" ht="15">
      <c r="M639" s="45"/>
      <c r="N639" s="45"/>
      <c r="O639" s="45"/>
      <c r="P639" s="45"/>
      <c r="AD639" s="36"/>
      <c r="AE639" s="36"/>
      <c r="AF639" s="36"/>
      <c r="AG639" s="36"/>
      <c r="AH639" s="36"/>
      <c r="AI639" s="36"/>
      <c r="AJ639" s="36"/>
      <c r="AK639" s="36"/>
      <c r="AT639" s="45"/>
      <c r="AU639" s="45"/>
      <c r="AV639" s="45"/>
      <c r="AW639" s="45"/>
      <c r="AX639" s="45"/>
      <c r="AY639" s="45"/>
      <c r="AZ639" s="45"/>
      <c r="BA639" s="45"/>
      <c r="CM639" s="46"/>
      <c r="CO639" s="70"/>
    </row>
    <row r="640" spans="13:93" ht="15">
      <c r="M640" s="45"/>
      <c r="N640" s="45"/>
      <c r="O640" s="45"/>
      <c r="P640" s="45"/>
      <c r="AD640" s="36"/>
      <c r="AE640" s="36"/>
      <c r="AF640" s="36"/>
      <c r="AG640" s="36"/>
      <c r="AH640" s="36"/>
      <c r="AI640" s="36"/>
      <c r="AJ640" s="36"/>
      <c r="AK640" s="36"/>
      <c r="AT640" s="45"/>
      <c r="AU640" s="45"/>
      <c r="AV640" s="45"/>
      <c r="AW640" s="45"/>
      <c r="AX640" s="45"/>
      <c r="AY640" s="45"/>
      <c r="AZ640" s="45"/>
      <c r="BA640" s="45"/>
      <c r="CM640" s="46"/>
      <c r="CO640" s="70"/>
    </row>
    <row r="641" spans="13:93" ht="15">
      <c r="M641" s="45"/>
      <c r="N641" s="45"/>
      <c r="O641" s="45"/>
      <c r="P641" s="45"/>
      <c r="AD641" s="36"/>
      <c r="AE641" s="36"/>
      <c r="AF641" s="36"/>
      <c r="AG641" s="36"/>
      <c r="AH641" s="36"/>
      <c r="AI641" s="36"/>
      <c r="AJ641" s="36"/>
      <c r="AK641" s="36"/>
      <c r="AT641" s="45"/>
      <c r="AU641" s="45"/>
      <c r="AV641" s="45"/>
      <c r="AW641" s="45"/>
      <c r="AX641" s="45"/>
      <c r="AY641" s="45"/>
      <c r="AZ641" s="45"/>
      <c r="BA641" s="45"/>
      <c r="CM641" s="46"/>
      <c r="CO641" s="70"/>
    </row>
    <row r="642" spans="13:93" ht="15">
      <c r="M642" s="45"/>
      <c r="N642" s="45"/>
      <c r="O642" s="45"/>
      <c r="P642" s="45"/>
      <c r="AD642" s="36"/>
      <c r="AE642" s="36"/>
      <c r="AF642" s="36"/>
      <c r="AG642" s="36"/>
      <c r="AH642" s="36"/>
      <c r="AI642" s="36"/>
      <c r="AJ642" s="36"/>
      <c r="AK642" s="36"/>
      <c r="AT642" s="45"/>
      <c r="AU642" s="45"/>
      <c r="AV642" s="45"/>
      <c r="AW642" s="45"/>
      <c r="AX642" s="45"/>
      <c r="AY642" s="45"/>
      <c r="AZ642" s="45"/>
      <c r="BA642" s="45"/>
      <c r="CM642" s="46"/>
      <c r="CO642" s="70"/>
    </row>
    <row r="643" spans="13:93" ht="15">
      <c r="M643" s="45"/>
      <c r="N643" s="45"/>
      <c r="O643" s="45"/>
      <c r="P643" s="45"/>
      <c r="AD643" s="36"/>
      <c r="AE643" s="36"/>
      <c r="AF643" s="36"/>
      <c r="AG643" s="36"/>
      <c r="AH643" s="36"/>
      <c r="AI643" s="36"/>
      <c r="AJ643" s="36"/>
      <c r="AK643" s="36"/>
      <c r="AT643" s="45"/>
      <c r="AU643" s="45"/>
      <c r="AV643" s="45"/>
      <c r="AW643" s="45"/>
      <c r="AX643" s="45"/>
      <c r="AY643" s="45"/>
      <c r="AZ643" s="45"/>
      <c r="BA643" s="45"/>
      <c r="CM643" s="46"/>
      <c r="CO643" s="70"/>
    </row>
    <row r="644" spans="13:93" ht="15">
      <c r="M644" s="45"/>
      <c r="N644" s="45"/>
      <c r="O644" s="45"/>
      <c r="P644" s="45"/>
      <c r="AD644" s="36"/>
      <c r="AE644" s="36"/>
      <c r="AF644" s="36"/>
      <c r="AG644" s="36"/>
      <c r="AH644" s="36"/>
      <c r="AI644" s="36"/>
      <c r="AJ644" s="36"/>
      <c r="AK644" s="36"/>
      <c r="AT644" s="45"/>
      <c r="AU644" s="45"/>
      <c r="AV644" s="45"/>
      <c r="AW644" s="45"/>
      <c r="AX644" s="45"/>
      <c r="AY644" s="45"/>
      <c r="AZ644" s="45"/>
      <c r="BA644" s="45"/>
      <c r="CM644" s="46"/>
      <c r="CO644" s="70"/>
    </row>
    <row r="645" spans="13:93" ht="15">
      <c r="M645" s="45"/>
      <c r="N645" s="45"/>
      <c r="O645" s="45"/>
      <c r="P645" s="45"/>
      <c r="AD645" s="36"/>
      <c r="AE645" s="36"/>
      <c r="AF645" s="36"/>
      <c r="AG645" s="36"/>
      <c r="AH645" s="36"/>
      <c r="AI645" s="36"/>
      <c r="AJ645" s="36"/>
      <c r="AK645" s="36"/>
      <c r="AT645" s="45"/>
      <c r="AU645" s="45"/>
      <c r="AV645" s="45"/>
      <c r="AW645" s="45"/>
      <c r="AX645" s="45"/>
      <c r="AY645" s="45"/>
      <c r="AZ645" s="45"/>
      <c r="BA645" s="45"/>
      <c r="CM645" s="46"/>
      <c r="CO645" s="70"/>
    </row>
    <row r="646" spans="13:93" ht="15">
      <c r="M646" s="45"/>
      <c r="N646" s="45"/>
      <c r="O646" s="45"/>
      <c r="P646" s="45"/>
      <c r="AD646" s="36"/>
      <c r="AE646" s="36"/>
      <c r="AF646" s="36"/>
      <c r="AG646" s="36"/>
      <c r="AH646" s="36"/>
      <c r="AI646" s="36"/>
      <c r="AJ646" s="36"/>
      <c r="AK646" s="36"/>
      <c r="AT646" s="45"/>
      <c r="AU646" s="45"/>
      <c r="AV646" s="45"/>
      <c r="AW646" s="45"/>
      <c r="AX646" s="45"/>
      <c r="AY646" s="45"/>
      <c r="AZ646" s="45"/>
      <c r="BA646" s="45"/>
      <c r="CM646" s="46"/>
      <c r="CO646" s="70"/>
    </row>
    <row r="647" spans="13:93" ht="15">
      <c r="M647" s="45"/>
      <c r="N647" s="45"/>
      <c r="O647" s="45"/>
      <c r="P647" s="45"/>
      <c r="AD647" s="36"/>
      <c r="AE647" s="36"/>
      <c r="AF647" s="36"/>
      <c r="AG647" s="36"/>
      <c r="AH647" s="36"/>
      <c r="AI647" s="36"/>
      <c r="AJ647" s="36"/>
      <c r="AK647" s="36"/>
      <c r="AT647" s="45"/>
      <c r="AU647" s="45"/>
      <c r="AV647" s="45"/>
      <c r="AW647" s="45"/>
      <c r="AX647" s="45"/>
      <c r="AY647" s="45"/>
      <c r="AZ647" s="45"/>
      <c r="BA647" s="45"/>
      <c r="CM647" s="46"/>
      <c r="CO647" s="70"/>
    </row>
    <row r="648" spans="13:93" ht="15">
      <c r="M648" s="45"/>
      <c r="N648" s="45"/>
      <c r="O648" s="45"/>
      <c r="P648" s="45"/>
      <c r="AD648" s="36"/>
      <c r="AE648" s="36"/>
      <c r="AF648" s="36"/>
      <c r="AG648" s="36"/>
      <c r="AH648" s="36"/>
      <c r="AI648" s="36"/>
      <c r="AJ648" s="36"/>
      <c r="AK648" s="36"/>
      <c r="AT648" s="45"/>
      <c r="AU648" s="45"/>
      <c r="AV648" s="45"/>
      <c r="AW648" s="45"/>
      <c r="AX648" s="45"/>
      <c r="AY648" s="45"/>
      <c r="AZ648" s="45"/>
      <c r="BA648" s="45"/>
      <c r="CM648" s="46"/>
      <c r="CO648" s="70"/>
    </row>
    <row r="649" spans="13:93" ht="15">
      <c r="M649" s="45"/>
      <c r="N649" s="45"/>
      <c r="O649" s="45"/>
      <c r="P649" s="45"/>
      <c r="AD649" s="36"/>
      <c r="AE649" s="36"/>
      <c r="AF649" s="36"/>
      <c r="AG649" s="36"/>
      <c r="AH649" s="36"/>
      <c r="AI649" s="36"/>
      <c r="AJ649" s="36"/>
      <c r="AK649" s="36"/>
      <c r="AT649" s="45"/>
      <c r="AU649" s="45"/>
      <c r="AV649" s="45"/>
      <c r="AW649" s="45"/>
      <c r="AX649" s="45"/>
      <c r="AY649" s="45"/>
      <c r="AZ649" s="45"/>
      <c r="BA649" s="45"/>
      <c r="CM649" s="46"/>
      <c r="CO649" s="70"/>
    </row>
    <row r="650" spans="13:93" ht="15">
      <c r="M650" s="45"/>
      <c r="N650" s="45"/>
      <c r="O650" s="45"/>
      <c r="P650" s="45"/>
      <c r="AD650" s="36"/>
      <c r="AE650" s="36"/>
      <c r="AF650" s="36"/>
      <c r="AG650" s="36"/>
      <c r="AH650" s="36"/>
      <c r="AI650" s="36"/>
      <c r="AJ650" s="36"/>
      <c r="AK650" s="36"/>
      <c r="AT650" s="45"/>
      <c r="AU650" s="45"/>
      <c r="AV650" s="45"/>
      <c r="AW650" s="45"/>
      <c r="AX650" s="45"/>
      <c r="AY650" s="45"/>
      <c r="AZ650" s="45"/>
      <c r="BA650" s="45"/>
      <c r="CM650" s="46"/>
      <c r="CO650" s="70"/>
    </row>
    <row r="651" spans="13:93" ht="15">
      <c r="M651" s="45"/>
      <c r="N651" s="45"/>
      <c r="O651" s="45"/>
      <c r="P651" s="45"/>
      <c r="AD651" s="36"/>
      <c r="AE651" s="36"/>
      <c r="AF651" s="36"/>
      <c r="AG651" s="36"/>
      <c r="AH651" s="36"/>
      <c r="AI651" s="36"/>
      <c r="AJ651" s="36"/>
      <c r="AK651" s="36"/>
      <c r="AT651" s="45"/>
      <c r="AU651" s="45"/>
      <c r="AV651" s="45"/>
      <c r="AW651" s="45"/>
      <c r="AX651" s="45"/>
      <c r="AY651" s="45"/>
      <c r="AZ651" s="45"/>
      <c r="BA651" s="45"/>
      <c r="CM651" s="46"/>
      <c r="CO651" s="70"/>
    </row>
    <row r="652" spans="13:93" ht="15">
      <c r="M652" s="45"/>
      <c r="N652" s="45"/>
      <c r="O652" s="45"/>
      <c r="P652" s="45"/>
      <c r="AD652" s="36"/>
      <c r="AE652" s="36"/>
      <c r="AF652" s="36"/>
      <c r="AG652" s="36"/>
      <c r="AH652" s="36"/>
      <c r="AI652" s="36"/>
      <c r="AJ652" s="36"/>
      <c r="AK652" s="36"/>
      <c r="AT652" s="45"/>
      <c r="AU652" s="45"/>
      <c r="AV652" s="45"/>
      <c r="AW652" s="45"/>
      <c r="AX652" s="45"/>
      <c r="AY652" s="45"/>
      <c r="AZ652" s="45"/>
      <c r="BA652" s="45"/>
      <c r="CM652" s="46"/>
      <c r="CO652" s="70"/>
    </row>
    <row r="653" spans="13:93" ht="15">
      <c r="M653" s="45"/>
      <c r="N653" s="45"/>
      <c r="O653" s="45"/>
      <c r="P653" s="45"/>
      <c r="AD653" s="36"/>
      <c r="AE653" s="36"/>
      <c r="AF653" s="36"/>
      <c r="AG653" s="36"/>
      <c r="AH653" s="36"/>
      <c r="AI653" s="36"/>
      <c r="AJ653" s="36"/>
      <c r="AK653" s="36"/>
      <c r="AT653" s="45"/>
      <c r="AU653" s="45"/>
      <c r="AV653" s="45"/>
      <c r="AW653" s="45"/>
      <c r="AX653" s="45"/>
      <c r="AY653" s="45"/>
      <c r="AZ653" s="45"/>
      <c r="BA653" s="45"/>
      <c r="CM653" s="46"/>
      <c r="CO653" s="70"/>
    </row>
    <row r="654" spans="13:93" ht="15">
      <c r="M654" s="45"/>
      <c r="N654" s="45"/>
      <c r="O654" s="45"/>
      <c r="P654" s="45"/>
      <c r="AD654" s="36"/>
      <c r="AE654" s="36"/>
      <c r="AF654" s="36"/>
      <c r="AG654" s="36"/>
      <c r="AH654" s="36"/>
      <c r="AI654" s="36"/>
      <c r="AJ654" s="36"/>
      <c r="AK654" s="36"/>
      <c r="AT654" s="45"/>
      <c r="AU654" s="45"/>
      <c r="AV654" s="45"/>
      <c r="AW654" s="45"/>
      <c r="AX654" s="45"/>
      <c r="AY654" s="45"/>
      <c r="AZ654" s="45"/>
      <c r="BA654" s="45"/>
      <c r="CM654" s="46"/>
      <c r="CO654" s="70"/>
    </row>
    <row r="655" spans="13:93" ht="15">
      <c r="M655" s="45"/>
      <c r="N655" s="45"/>
      <c r="O655" s="45"/>
      <c r="P655" s="45"/>
      <c r="AD655" s="36"/>
      <c r="AE655" s="36"/>
      <c r="AF655" s="36"/>
      <c r="AG655" s="36"/>
      <c r="AH655" s="36"/>
      <c r="AI655" s="36"/>
      <c r="AJ655" s="36"/>
      <c r="AK655" s="36"/>
      <c r="AT655" s="45"/>
      <c r="AU655" s="45"/>
      <c r="AV655" s="45"/>
      <c r="AW655" s="45"/>
      <c r="AX655" s="45"/>
      <c r="AY655" s="45"/>
      <c r="AZ655" s="45"/>
      <c r="BA655" s="45"/>
      <c r="CM655" s="46"/>
      <c r="CO655" s="70"/>
    </row>
    <row r="656" spans="13:93" ht="15">
      <c r="M656" s="45"/>
      <c r="N656" s="45"/>
      <c r="O656" s="45"/>
      <c r="P656" s="45"/>
      <c r="AD656" s="36"/>
      <c r="AE656" s="36"/>
      <c r="AF656" s="36"/>
      <c r="AG656" s="36"/>
      <c r="AH656" s="36"/>
      <c r="AI656" s="36"/>
      <c r="AJ656" s="36"/>
      <c r="AK656" s="36"/>
      <c r="AT656" s="45"/>
      <c r="AU656" s="45"/>
      <c r="AV656" s="45"/>
      <c r="AW656" s="45"/>
      <c r="AX656" s="45"/>
      <c r="AY656" s="45"/>
      <c r="AZ656" s="45"/>
      <c r="BA656" s="45"/>
      <c r="CM656" s="46"/>
      <c r="CO656" s="70"/>
    </row>
    <row r="657" spans="13:93" ht="15">
      <c r="M657" s="45"/>
      <c r="N657" s="45"/>
      <c r="O657" s="45"/>
      <c r="P657" s="45"/>
      <c r="AD657" s="36"/>
      <c r="AE657" s="36"/>
      <c r="AF657" s="36"/>
      <c r="AG657" s="36"/>
      <c r="AH657" s="36"/>
      <c r="AI657" s="36"/>
      <c r="AJ657" s="36"/>
      <c r="AK657" s="36"/>
      <c r="AT657" s="45"/>
      <c r="AU657" s="45"/>
      <c r="AV657" s="45"/>
      <c r="AW657" s="45"/>
      <c r="AX657" s="45"/>
      <c r="AY657" s="45"/>
      <c r="AZ657" s="45"/>
      <c r="BA657" s="45"/>
      <c r="CM657" s="46"/>
      <c r="CO657" s="70"/>
    </row>
    <row r="658" spans="13:93" ht="15">
      <c r="M658" s="45"/>
      <c r="N658" s="45"/>
      <c r="O658" s="45"/>
      <c r="P658" s="45"/>
      <c r="AD658" s="36"/>
      <c r="AE658" s="36"/>
      <c r="AF658" s="36"/>
      <c r="AG658" s="36"/>
      <c r="AH658" s="36"/>
      <c r="AI658" s="36"/>
      <c r="AJ658" s="36"/>
      <c r="AK658" s="36"/>
      <c r="AT658" s="45"/>
      <c r="AU658" s="45"/>
      <c r="AV658" s="45"/>
      <c r="AW658" s="45"/>
      <c r="AX658" s="45"/>
      <c r="AY658" s="45"/>
      <c r="AZ658" s="45"/>
      <c r="BA658" s="45"/>
      <c r="CM658" s="46"/>
      <c r="CO658" s="70"/>
    </row>
    <row r="659" spans="13:93" ht="15">
      <c r="M659" s="45"/>
      <c r="N659" s="45"/>
      <c r="O659" s="45"/>
      <c r="P659" s="45"/>
      <c r="AD659" s="36"/>
      <c r="AE659" s="36"/>
      <c r="AF659" s="36"/>
      <c r="AG659" s="36"/>
      <c r="AH659" s="36"/>
      <c r="AI659" s="36"/>
      <c r="AJ659" s="36"/>
      <c r="AK659" s="36"/>
      <c r="AT659" s="45"/>
      <c r="AU659" s="45"/>
      <c r="AV659" s="45"/>
      <c r="AW659" s="45"/>
      <c r="AX659" s="45"/>
      <c r="AY659" s="45"/>
      <c r="AZ659" s="45"/>
      <c r="BA659" s="45"/>
      <c r="CM659" s="46"/>
      <c r="CO659" s="70"/>
    </row>
    <row r="660" spans="13:93" ht="15">
      <c r="M660" s="45"/>
      <c r="N660" s="45"/>
      <c r="O660" s="45"/>
      <c r="P660" s="45"/>
      <c r="AD660" s="36"/>
      <c r="AE660" s="36"/>
      <c r="AF660" s="36"/>
      <c r="AG660" s="36"/>
      <c r="AH660" s="36"/>
      <c r="AI660" s="36"/>
      <c r="AJ660" s="36"/>
      <c r="AK660" s="36"/>
      <c r="AT660" s="45"/>
      <c r="AU660" s="45"/>
      <c r="AV660" s="45"/>
      <c r="AW660" s="45"/>
      <c r="AX660" s="45"/>
      <c r="AY660" s="45"/>
      <c r="AZ660" s="45"/>
      <c r="BA660" s="45"/>
      <c r="CM660" s="46"/>
      <c r="CO660" s="70"/>
    </row>
    <row r="661" spans="13:93" ht="15">
      <c r="M661" s="45"/>
      <c r="N661" s="45"/>
      <c r="O661" s="45"/>
      <c r="P661" s="45"/>
      <c r="AD661" s="36"/>
      <c r="AE661" s="36"/>
      <c r="AF661" s="36"/>
      <c r="AG661" s="36"/>
      <c r="AH661" s="36"/>
      <c r="AI661" s="36"/>
      <c r="AJ661" s="36"/>
      <c r="AK661" s="36"/>
      <c r="AT661" s="45"/>
      <c r="AU661" s="45"/>
      <c r="AV661" s="45"/>
      <c r="AW661" s="45"/>
      <c r="AX661" s="45"/>
      <c r="AY661" s="45"/>
      <c r="AZ661" s="45"/>
      <c r="BA661" s="45"/>
      <c r="CM661" s="46"/>
      <c r="CO661" s="70"/>
    </row>
    <row r="662" spans="13:93" ht="15">
      <c r="M662" s="45"/>
      <c r="N662" s="45"/>
      <c r="O662" s="45"/>
      <c r="P662" s="45"/>
      <c r="AD662" s="36"/>
      <c r="AE662" s="36"/>
      <c r="AF662" s="36"/>
      <c r="AG662" s="36"/>
      <c r="AH662" s="36"/>
      <c r="AI662" s="36"/>
      <c r="AJ662" s="36"/>
      <c r="AK662" s="36"/>
      <c r="AT662" s="45"/>
      <c r="AU662" s="45"/>
      <c r="AV662" s="45"/>
      <c r="AW662" s="45"/>
      <c r="AX662" s="45"/>
      <c r="AY662" s="45"/>
      <c r="AZ662" s="45"/>
      <c r="BA662" s="45"/>
      <c r="CM662" s="46"/>
      <c r="CO662" s="70"/>
    </row>
    <row r="663" spans="13:93" ht="15">
      <c r="M663" s="45"/>
      <c r="N663" s="45"/>
      <c r="O663" s="45"/>
      <c r="P663" s="45"/>
      <c r="AD663" s="36"/>
      <c r="AE663" s="36"/>
      <c r="AF663" s="36"/>
      <c r="AG663" s="36"/>
      <c r="AH663" s="36"/>
      <c r="AI663" s="36"/>
      <c r="AJ663" s="36"/>
      <c r="AK663" s="36"/>
      <c r="AT663" s="45"/>
      <c r="AU663" s="45"/>
      <c r="AV663" s="45"/>
      <c r="AW663" s="45"/>
      <c r="AX663" s="45"/>
      <c r="AY663" s="45"/>
      <c r="AZ663" s="45"/>
      <c r="BA663" s="45"/>
      <c r="CM663" s="46"/>
      <c r="CO663" s="70"/>
    </row>
    <row r="664" spans="13:93" ht="15">
      <c r="M664" s="45"/>
      <c r="N664" s="45"/>
      <c r="O664" s="45"/>
      <c r="P664" s="45"/>
      <c r="AD664" s="36"/>
      <c r="AE664" s="36"/>
      <c r="AF664" s="36"/>
      <c r="AG664" s="36"/>
      <c r="AH664" s="36"/>
      <c r="AI664" s="36"/>
      <c r="AJ664" s="36"/>
      <c r="AK664" s="36"/>
      <c r="AT664" s="45"/>
      <c r="AU664" s="45"/>
      <c r="AV664" s="45"/>
      <c r="AW664" s="45"/>
      <c r="AX664" s="45"/>
      <c r="AY664" s="45"/>
      <c r="AZ664" s="45"/>
      <c r="BA664" s="45"/>
      <c r="CM664" s="46"/>
      <c r="CO664" s="70"/>
    </row>
    <row r="665" spans="13:93" ht="15">
      <c r="M665" s="45"/>
      <c r="N665" s="45"/>
      <c r="O665" s="45"/>
      <c r="P665" s="45"/>
      <c r="AD665" s="36"/>
      <c r="AE665" s="36"/>
      <c r="AF665" s="36"/>
      <c r="AG665" s="36"/>
      <c r="AH665" s="36"/>
      <c r="AI665" s="36"/>
      <c r="AJ665" s="36"/>
      <c r="AK665" s="36"/>
      <c r="AT665" s="45"/>
      <c r="AU665" s="45"/>
      <c r="AV665" s="45"/>
      <c r="AW665" s="45"/>
      <c r="AX665" s="45"/>
      <c r="AY665" s="45"/>
      <c r="AZ665" s="45"/>
      <c r="BA665" s="45"/>
      <c r="CM665" s="46"/>
      <c r="CO665" s="70"/>
    </row>
    <row r="666" spans="13:93" ht="15">
      <c r="M666" s="45"/>
      <c r="N666" s="45"/>
      <c r="O666" s="45"/>
      <c r="P666" s="45"/>
      <c r="AD666" s="36"/>
      <c r="AE666" s="36"/>
      <c r="AF666" s="36"/>
      <c r="AG666" s="36"/>
      <c r="AH666" s="36"/>
      <c r="AI666" s="36"/>
      <c r="AJ666" s="36"/>
      <c r="AK666" s="36"/>
      <c r="AT666" s="45"/>
      <c r="AU666" s="45"/>
      <c r="AV666" s="45"/>
      <c r="AW666" s="45"/>
      <c r="AX666" s="45"/>
      <c r="AY666" s="45"/>
      <c r="AZ666" s="45"/>
      <c r="BA666" s="45"/>
      <c r="CM666" s="46"/>
      <c r="CO666" s="70"/>
    </row>
    <row r="667" spans="13:93" ht="15">
      <c r="M667" s="45"/>
      <c r="N667" s="45"/>
      <c r="O667" s="45"/>
      <c r="P667" s="45"/>
      <c r="AD667" s="36"/>
      <c r="AE667" s="36"/>
      <c r="AF667" s="36"/>
      <c r="AG667" s="36"/>
      <c r="AH667" s="36"/>
      <c r="AI667" s="36"/>
      <c r="AJ667" s="36"/>
      <c r="AK667" s="36"/>
      <c r="AT667" s="45"/>
      <c r="AU667" s="45"/>
      <c r="AV667" s="45"/>
      <c r="AW667" s="45"/>
      <c r="AX667" s="45"/>
      <c r="AY667" s="45"/>
      <c r="AZ667" s="45"/>
      <c r="BA667" s="45"/>
      <c r="CM667" s="46"/>
      <c r="CO667" s="70"/>
    </row>
    <row r="668" spans="13:93" ht="15">
      <c r="M668" s="45"/>
      <c r="N668" s="45"/>
      <c r="O668" s="45"/>
      <c r="P668" s="45"/>
      <c r="AD668" s="36"/>
      <c r="AE668" s="36"/>
      <c r="AF668" s="36"/>
      <c r="AG668" s="36"/>
      <c r="AH668" s="36"/>
      <c r="AI668" s="36"/>
      <c r="AJ668" s="36"/>
      <c r="AK668" s="36"/>
      <c r="AT668" s="45"/>
      <c r="AU668" s="45"/>
      <c r="AV668" s="45"/>
      <c r="AW668" s="45"/>
      <c r="AX668" s="45"/>
      <c r="AY668" s="45"/>
      <c r="AZ668" s="45"/>
      <c r="BA668" s="45"/>
      <c r="CM668" s="46"/>
      <c r="CO668" s="70"/>
    </row>
    <row r="669" spans="13:93" ht="15">
      <c r="M669" s="45"/>
      <c r="N669" s="45"/>
      <c r="O669" s="45"/>
      <c r="P669" s="45"/>
      <c r="AD669" s="36"/>
      <c r="AE669" s="36"/>
      <c r="AF669" s="36"/>
      <c r="AG669" s="36"/>
      <c r="AH669" s="36"/>
      <c r="AI669" s="36"/>
      <c r="AJ669" s="36"/>
      <c r="AK669" s="36"/>
      <c r="AT669" s="45"/>
      <c r="AU669" s="45"/>
      <c r="AV669" s="45"/>
      <c r="AW669" s="45"/>
      <c r="AX669" s="45"/>
      <c r="AY669" s="45"/>
      <c r="AZ669" s="45"/>
      <c r="BA669" s="45"/>
      <c r="CM669" s="46"/>
      <c r="CO669" s="70"/>
    </row>
    <row r="670" spans="13:93" ht="15">
      <c r="M670" s="45"/>
      <c r="N670" s="45"/>
      <c r="O670" s="45"/>
      <c r="P670" s="45"/>
      <c r="AD670" s="36"/>
      <c r="AE670" s="36"/>
      <c r="AF670" s="36"/>
      <c r="AG670" s="36"/>
      <c r="AH670" s="36"/>
      <c r="AI670" s="36"/>
      <c r="AJ670" s="36"/>
      <c r="AK670" s="36"/>
      <c r="AT670" s="45"/>
      <c r="AU670" s="45"/>
      <c r="AV670" s="45"/>
      <c r="AW670" s="45"/>
      <c r="AX670" s="45"/>
      <c r="AY670" s="45"/>
      <c r="AZ670" s="45"/>
      <c r="BA670" s="45"/>
      <c r="CM670" s="46"/>
      <c r="CO670" s="70"/>
    </row>
    <row r="671" spans="13:93" ht="15">
      <c r="M671" s="45"/>
      <c r="N671" s="45"/>
      <c r="O671" s="45"/>
      <c r="P671" s="45"/>
      <c r="AD671" s="36"/>
      <c r="AE671" s="36"/>
      <c r="AF671" s="36"/>
      <c r="AG671" s="36"/>
      <c r="AH671" s="36"/>
      <c r="AI671" s="36"/>
      <c r="AJ671" s="36"/>
      <c r="AK671" s="36"/>
      <c r="AT671" s="45"/>
      <c r="AU671" s="45"/>
      <c r="AV671" s="45"/>
      <c r="AW671" s="45"/>
      <c r="AX671" s="45"/>
      <c r="AY671" s="45"/>
      <c r="AZ671" s="45"/>
      <c r="BA671" s="45"/>
      <c r="CM671" s="46"/>
      <c r="CO671" s="70"/>
    </row>
    <row r="672" spans="13:93" ht="15">
      <c r="M672" s="45"/>
      <c r="N672" s="45"/>
      <c r="O672" s="45"/>
      <c r="P672" s="45"/>
      <c r="AD672" s="36"/>
      <c r="AE672" s="36"/>
      <c r="AF672" s="36"/>
      <c r="AG672" s="36"/>
      <c r="AH672" s="36"/>
      <c r="AI672" s="36"/>
      <c r="AJ672" s="36"/>
      <c r="AK672" s="36"/>
      <c r="AT672" s="45"/>
      <c r="AU672" s="45"/>
      <c r="AV672" s="45"/>
      <c r="AW672" s="45"/>
      <c r="AX672" s="45"/>
      <c r="AY672" s="45"/>
      <c r="AZ672" s="45"/>
      <c r="BA672" s="45"/>
      <c r="CM672" s="46"/>
      <c r="CO672" s="70"/>
    </row>
    <row r="673" spans="13:93" ht="15">
      <c r="M673" s="45"/>
      <c r="N673" s="45"/>
      <c r="O673" s="45"/>
      <c r="P673" s="45"/>
      <c r="AD673" s="36"/>
      <c r="AE673" s="36"/>
      <c r="AF673" s="36"/>
      <c r="AG673" s="36"/>
      <c r="AH673" s="36"/>
      <c r="AI673" s="36"/>
      <c r="AJ673" s="36"/>
      <c r="AK673" s="36"/>
      <c r="AT673" s="45"/>
      <c r="AU673" s="45"/>
      <c r="AV673" s="45"/>
      <c r="AW673" s="45"/>
      <c r="AX673" s="45"/>
      <c r="AY673" s="45"/>
      <c r="AZ673" s="45"/>
      <c r="BA673" s="45"/>
      <c r="CM673" s="46"/>
      <c r="CO673" s="70"/>
    </row>
    <row r="674" spans="13:93" ht="15">
      <c r="M674" s="45"/>
      <c r="N674" s="45"/>
      <c r="O674" s="45"/>
      <c r="P674" s="45"/>
      <c r="AD674" s="36"/>
      <c r="AE674" s="36"/>
      <c r="AF674" s="36"/>
      <c r="AG674" s="36"/>
      <c r="AH674" s="36"/>
      <c r="AI674" s="36"/>
      <c r="AJ674" s="36"/>
      <c r="AK674" s="36"/>
      <c r="AT674" s="45"/>
      <c r="AU674" s="45"/>
      <c r="AV674" s="45"/>
      <c r="AW674" s="45"/>
      <c r="AX674" s="45"/>
      <c r="AY674" s="45"/>
      <c r="AZ674" s="45"/>
      <c r="BA674" s="45"/>
      <c r="CM674" s="46"/>
      <c r="CO674" s="70"/>
    </row>
    <row r="675" spans="13:93" ht="15">
      <c r="M675" s="45"/>
      <c r="N675" s="45"/>
      <c r="O675" s="45"/>
      <c r="P675" s="45"/>
      <c r="AD675" s="36"/>
      <c r="AE675" s="36"/>
      <c r="AF675" s="36"/>
      <c r="AG675" s="36"/>
      <c r="AH675" s="36"/>
      <c r="AI675" s="36"/>
      <c r="AJ675" s="36"/>
      <c r="AK675" s="36"/>
      <c r="AT675" s="45"/>
      <c r="AU675" s="45"/>
      <c r="AV675" s="45"/>
      <c r="AW675" s="45"/>
      <c r="AX675" s="45"/>
      <c r="AY675" s="45"/>
      <c r="AZ675" s="45"/>
      <c r="BA675" s="45"/>
      <c r="CM675" s="46"/>
      <c r="CO675" s="70"/>
    </row>
    <row r="676" spans="13:93" ht="15">
      <c r="M676" s="45"/>
      <c r="N676" s="45"/>
      <c r="O676" s="45"/>
      <c r="P676" s="45"/>
      <c r="AD676" s="36"/>
      <c r="AE676" s="36"/>
      <c r="AF676" s="36"/>
      <c r="AG676" s="36"/>
      <c r="AH676" s="36"/>
      <c r="AI676" s="36"/>
      <c r="AJ676" s="36"/>
      <c r="AK676" s="36"/>
      <c r="AT676" s="45"/>
      <c r="AU676" s="45"/>
      <c r="AV676" s="45"/>
      <c r="AW676" s="45"/>
      <c r="AX676" s="45"/>
      <c r="AY676" s="45"/>
      <c r="AZ676" s="45"/>
      <c r="BA676" s="45"/>
      <c r="CM676" s="46"/>
      <c r="CO676" s="70"/>
    </row>
    <row r="677" spans="13:93" ht="15">
      <c r="M677" s="45"/>
      <c r="N677" s="45"/>
      <c r="O677" s="45"/>
      <c r="P677" s="45"/>
      <c r="AD677" s="36"/>
      <c r="AE677" s="36"/>
      <c r="AF677" s="36"/>
      <c r="AG677" s="36"/>
      <c r="AH677" s="36"/>
      <c r="AI677" s="36"/>
      <c r="AJ677" s="36"/>
      <c r="AK677" s="36"/>
      <c r="AT677" s="45"/>
      <c r="AU677" s="45"/>
      <c r="AV677" s="45"/>
      <c r="AW677" s="45"/>
      <c r="AX677" s="45"/>
      <c r="AY677" s="45"/>
      <c r="AZ677" s="45"/>
      <c r="BA677" s="45"/>
      <c r="CM677" s="46"/>
      <c r="CO677" s="70"/>
    </row>
    <row r="678" spans="13:93" ht="15">
      <c r="M678" s="45"/>
      <c r="N678" s="45"/>
      <c r="O678" s="45"/>
      <c r="P678" s="45"/>
      <c r="AD678" s="36"/>
      <c r="AE678" s="36"/>
      <c r="AF678" s="36"/>
      <c r="AG678" s="36"/>
      <c r="AH678" s="36"/>
      <c r="AI678" s="36"/>
      <c r="AJ678" s="36"/>
      <c r="AK678" s="36"/>
      <c r="AT678" s="45"/>
      <c r="AU678" s="45"/>
      <c r="AV678" s="45"/>
      <c r="AW678" s="45"/>
      <c r="AX678" s="45"/>
      <c r="AY678" s="45"/>
      <c r="AZ678" s="45"/>
      <c r="BA678" s="45"/>
      <c r="CM678" s="46"/>
      <c r="CO678" s="70"/>
    </row>
    <row r="679" spans="13:93" ht="15">
      <c r="M679" s="45"/>
      <c r="N679" s="45"/>
      <c r="O679" s="45"/>
      <c r="P679" s="45"/>
      <c r="AD679" s="36"/>
      <c r="AE679" s="36"/>
      <c r="AF679" s="36"/>
      <c r="AG679" s="36"/>
      <c r="AH679" s="36"/>
      <c r="AI679" s="36"/>
      <c r="AJ679" s="36"/>
      <c r="AK679" s="36"/>
      <c r="AT679" s="45"/>
      <c r="AU679" s="45"/>
      <c r="AV679" s="45"/>
      <c r="AW679" s="45"/>
      <c r="AX679" s="45"/>
      <c r="AY679" s="45"/>
      <c r="AZ679" s="45"/>
      <c r="BA679" s="45"/>
      <c r="CM679" s="46"/>
      <c r="CO679" s="70"/>
    </row>
    <row r="680" spans="13:93" ht="15">
      <c r="M680" s="45"/>
      <c r="N680" s="45"/>
      <c r="O680" s="45"/>
      <c r="P680" s="45"/>
      <c r="AD680" s="36"/>
      <c r="AE680" s="36"/>
      <c r="AF680" s="36"/>
      <c r="AG680" s="36"/>
      <c r="AH680" s="36"/>
      <c r="AI680" s="36"/>
      <c r="AJ680" s="36"/>
      <c r="AK680" s="36"/>
      <c r="AT680" s="45"/>
      <c r="AU680" s="45"/>
      <c r="AV680" s="45"/>
      <c r="AW680" s="45"/>
      <c r="AX680" s="45"/>
      <c r="AY680" s="45"/>
      <c r="AZ680" s="45"/>
      <c r="BA680" s="45"/>
      <c r="CM680" s="46"/>
      <c r="CO680" s="70"/>
    </row>
    <row r="681" spans="13:93" ht="15">
      <c r="M681" s="45"/>
      <c r="N681" s="45"/>
      <c r="O681" s="45"/>
      <c r="P681" s="45"/>
      <c r="AD681" s="36"/>
      <c r="AE681" s="36"/>
      <c r="AF681" s="36"/>
      <c r="AG681" s="36"/>
      <c r="AH681" s="36"/>
      <c r="AI681" s="36"/>
      <c r="AJ681" s="36"/>
      <c r="AK681" s="36"/>
      <c r="AT681" s="45"/>
      <c r="AU681" s="45"/>
      <c r="AV681" s="45"/>
      <c r="AW681" s="45"/>
      <c r="AX681" s="45"/>
      <c r="AY681" s="45"/>
      <c r="AZ681" s="45"/>
      <c r="BA681" s="45"/>
      <c r="CM681" s="46"/>
      <c r="CO681" s="70"/>
    </row>
    <row r="682" spans="13:93" ht="15">
      <c r="M682" s="45"/>
      <c r="N682" s="45"/>
      <c r="O682" s="45"/>
      <c r="P682" s="45"/>
      <c r="AD682" s="36"/>
      <c r="AE682" s="36"/>
      <c r="AF682" s="36"/>
      <c r="AG682" s="36"/>
      <c r="AH682" s="36"/>
      <c r="AI682" s="36"/>
      <c r="AJ682" s="36"/>
      <c r="AK682" s="36"/>
      <c r="AT682" s="45"/>
      <c r="AU682" s="45"/>
      <c r="AV682" s="45"/>
      <c r="AW682" s="45"/>
      <c r="AX682" s="45"/>
      <c r="AY682" s="45"/>
      <c r="AZ682" s="45"/>
      <c r="BA682" s="45"/>
      <c r="CM682" s="46"/>
      <c r="CO682" s="70"/>
    </row>
    <row r="683" spans="13:93" ht="15">
      <c r="M683" s="45"/>
      <c r="N683" s="45"/>
      <c r="O683" s="45"/>
      <c r="P683" s="45"/>
      <c r="AD683" s="36"/>
      <c r="AE683" s="36"/>
      <c r="AF683" s="36"/>
      <c r="AG683" s="36"/>
      <c r="AH683" s="36"/>
      <c r="AI683" s="36"/>
      <c r="AJ683" s="36"/>
      <c r="AK683" s="36"/>
      <c r="AT683" s="45"/>
      <c r="AU683" s="45"/>
      <c r="AV683" s="45"/>
      <c r="AW683" s="45"/>
      <c r="AX683" s="45"/>
      <c r="AY683" s="45"/>
      <c r="AZ683" s="45"/>
      <c r="BA683" s="45"/>
      <c r="CM683" s="46"/>
      <c r="CO683" s="70"/>
    </row>
    <row r="684" spans="13:93" ht="15">
      <c r="M684" s="45"/>
      <c r="N684" s="45"/>
      <c r="O684" s="45"/>
      <c r="P684" s="45"/>
      <c r="AD684" s="36"/>
      <c r="AE684" s="36"/>
      <c r="AF684" s="36"/>
      <c r="AG684" s="36"/>
      <c r="AH684" s="36"/>
      <c r="AI684" s="36"/>
      <c r="AJ684" s="36"/>
      <c r="AK684" s="36"/>
      <c r="AT684" s="45"/>
      <c r="AU684" s="45"/>
      <c r="AV684" s="45"/>
      <c r="AW684" s="45"/>
      <c r="AX684" s="45"/>
      <c r="AY684" s="45"/>
      <c r="AZ684" s="45"/>
      <c r="BA684" s="45"/>
      <c r="CM684" s="46"/>
      <c r="CO684" s="70"/>
    </row>
    <row r="685" spans="13:93" ht="15">
      <c r="M685" s="45"/>
      <c r="N685" s="45"/>
      <c r="O685" s="45"/>
      <c r="P685" s="45"/>
      <c r="AD685" s="36"/>
      <c r="AE685" s="36"/>
      <c r="AF685" s="36"/>
      <c r="AG685" s="36"/>
      <c r="AH685" s="36"/>
      <c r="AI685" s="36"/>
      <c r="AJ685" s="36"/>
      <c r="AK685" s="36"/>
      <c r="AT685" s="45"/>
      <c r="AU685" s="45"/>
      <c r="AV685" s="45"/>
      <c r="AW685" s="45"/>
      <c r="AX685" s="45"/>
      <c r="AY685" s="45"/>
      <c r="AZ685" s="45"/>
      <c r="BA685" s="45"/>
      <c r="CM685" s="46"/>
      <c r="CO685" s="70"/>
    </row>
    <row r="686" spans="13:93" ht="15">
      <c r="M686" s="45"/>
      <c r="N686" s="45"/>
      <c r="O686" s="45"/>
      <c r="P686" s="45"/>
      <c r="AD686" s="36"/>
      <c r="AE686" s="36"/>
      <c r="AF686" s="36"/>
      <c r="AG686" s="36"/>
      <c r="AH686" s="36"/>
      <c r="AI686" s="36"/>
      <c r="AJ686" s="36"/>
      <c r="AK686" s="36"/>
      <c r="AT686" s="45"/>
      <c r="AU686" s="45"/>
      <c r="AV686" s="45"/>
      <c r="AW686" s="45"/>
      <c r="AX686" s="45"/>
      <c r="AY686" s="45"/>
      <c r="AZ686" s="45"/>
      <c r="BA686" s="45"/>
      <c r="CM686" s="46"/>
      <c r="CO686" s="70"/>
    </row>
    <row r="687" spans="13:93" ht="15">
      <c r="M687" s="45"/>
      <c r="N687" s="45"/>
      <c r="O687" s="45"/>
      <c r="P687" s="45"/>
      <c r="AD687" s="36"/>
      <c r="AE687" s="36"/>
      <c r="AF687" s="36"/>
      <c r="AG687" s="36"/>
      <c r="AH687" s="36"/>
      <c r="AI687" s="36"/>
      <c r="AJ687" s="36"/>
      <c r="AK687" s="36"/>
      <c r="AT687" s="45"/>
      <c r="AU687" s="45"/>
      <c r="AV687" s="45"/>
      <c r="AW687" s="45"/>
      <c r="AX687" s="45"/>
      <c r="AY687" s="45"/>
      <c r="AZ687" s="45"/>
      <c r="BA687" s="45"/>
      <c r="CM687" s="46"/>
      <c r="CO687" s="70"/>
    </row>
    <row r="688" spans="13:93" ht="15">
      <c r="M688" s="45"/>
      <c r="N688" s="45"/>
      <c r="O688" s="45"/>
      <c r="P688" s="45"/>
      <c r="AD688" s="36"/>
      <c r="AE688" s="36"/>
      <c r="AF688" s="36"/>
      <c r="AG688" s="36"/>
      <c r="AH688" s="36"/>
      <c r="AI688" s="36"/>
      <c r="AJ688" s="36"/>
      <c r="AK688" s="36"/>
      <c r="AT688" s="45"/>
      <c r="AU688" s="45"/>
      <c r="AV688" s="45"/>
      <c r="AW688" s="45"/>
      <c r="AX688" s="45"/>
      <c r="AY688" s="45"/>
      <c r="AZ688" s="45"/>
      <c r="BA688" s="45"/>
      <c r="CM688" s="46"/>
      <c r="CO688" s="70"/>
    </row>
    <row r="689" spans="13:93" ht="15">
      <c r="M689" s="45"/>
      <c r="N689" s="45"/>
      <c r="O689" s="45"/>
      <c r="P689" s="45"/>
      <c r="AD689" s="36"/>
      <c r="AE689" s="36"/>
      <c r="AF689" s="36"/>
      <c r="AG689" s="36"/>
      <c r="AH689" s="36"/>
      <c r="AI689" s="36"/>
      <c r="AJ689" s="36"/>
      <c r="AK689" s="36"/>
      <c r="AT689" s="45"/>
      <c r="AU689" s="45"/>
      <c r="AV689" s="45"/>
      <c r="AW689" s="45"/>
      <c r="AX689" s="45"/>
      <c r="AY689" s="45"/>
      <c r="AZ689" s="45"/>
      <c r="BA689" s="45"/>
      <c r="CM689" s="46"/>
      <c r="CO689" s="70"/>
    </row>
    <row r="690" spans="13:93" ht="15">
      <c r="M690" s="45"/>
      <c r="N690" s="45"/>
      <c r="O690" s="45"/>
      <c r="P690" s="45"/>
      <c r="AD690" s="36"/>
      <c r="AE690" s="36"/>
      <c r="AF690" s="36"/>
      <c r="AG690" s="36"/>
      <c r="AH690" s="36"/>
      <c r="AI690" s="36"/>
      <c r="AJ690" s="36"/>
      <c r="AK690" s="36"/>
      <c r="AT690" s="45"/>
      <c r="AU690" s="45"/>
      <c r="AV690" s="45"/>
      <c r="AW690" s="45"/>
      <c r="AX690" s="45"/>
      <c r="AY690" s="45"/>
      <c r="AZ690" s="45"/>
      <c r="BA690" s="45"/>
      <c r="CM690" s="46"/>
      <c r="CO690" s="70"/>
    </row>
    <row r="691" spans="13:93" ht="15">
      <c r="M691" s="45"/>
      <c r="N691" s="45"/>
      <c r="O691" s="45"/>
      <c r="P691" s="45"/>
      <c r="AD691" s="36"/>
      <c r="AE691" s="36"/>
      <c r="AF691" s="36"/>
      <c r="AG691" s="36"/>
      <c r="AH691" s="36"/>
      <c r="AI691" s="36"/>
      <c r="AJ691" s="36"/>
      <c r="AK691" s="36"/>
      <c r="AT691" s="45"/>
      <c r="AU691" s="45"/>
      <c r="AV691" s="45"/>
      <c r="AW691" s="45"/>
      <c r="AX691" s="45"/>
      <c r="AY691" s="45"/>
      <c r="AZ691" s="45"/>
      <c r="BA691" s="45"/>
      <c r="CM691" s="46"/>
      <c r="CO691" s="70"/>
    </row>
    <row r="692" spans="13:93" ht="15">
      <c r="M692" s="45"/>
      <c r="N692" s="45"/>
      <c r="O692" s="45"/>
      <c r="P692" s="45"/>
      <c r="AD692" s="36"/>
      <c r="AE692" s="36"/>
      <c r="AF692" s="36"/>
      <c r="AG692" s="36"/>
      <c r="AH692" s="36"/>
      <c r="AI692" s="36"/>
      <c r="AJ692" s="36"/>
      <c r="AK692" s="36"/>
      <c r="AT692" s="45"/>
      <c r="AU692" s="45"/>
      <c r="AV692" s="45"/>
      <c r="AW692" s="45"/>
      <c r="AX692" s="45"/>
      <c r="AY692" s="45"/>
      <c r="AZ692" s="45"/>
      <c r="BA692" s="45"/>
      <c r="CM692" s="46"/>
      <c r="CO692" s="70"/>
    </row>
    <row r="693" spans="13:93" ht="15">
      <c r="M693" s="45"/>
      <c r="N693" s="45"/>
      <c r="O693" s="45"/>
      <c r="P693" s="45"/>
      <c r="AD693" s="36"/>
      <c r="AE693" s="36"/>
      <c r="AF693" s="36"/>
      <c r="AG693" s="36"/>
      <c r="AH693" s="36"/>
      <c r="AI693" s="36"/>
      <c r="AJ693" s="36"/>
      <c r="AK693" s="36"/>
      <c r="AT693" s="45"/>
      <c r="AU693" s="45"/>
      <c r="AV693" s="45"/>
      <c r="AW693" s="45"/>
      <c r="AX693" s="45"/>
      <c r="AY693" s="45"/>
      <c r="AZ693" s="45"/>
      <c r="BA693" s="45"/>
      <c r="CM693" s="46"/>
      <c r="CO693" s="70"/>
    </row>
    <row r="694" spans="13:93" ht="15">
      <c r="M694" s="45"/>
      <c r="N694" s="45"/>
      <c r="O694" s="45"/>
      <c r="P694" s="45"/>
      <c r="AD694" s="36"/>
      <c r="AE694" s="36"/>
      <c r="AF694" s="36"/>
      <c r="AG694" s="36"/>
      <c r="AH694" s="36"/>
      <c r="AI694" s="36"/>
      <c r="AJ694" s="36"/>
      <c r="AK694" s="36"/>
      <c r="AT694" s="45"/>
      <c r="AU694" s="45"/>
      <c r="AV694" s="45"/>
      <c r="AW694" s="45"/>
      <c r="AX694" s="45"/>
      <c r="AY694" s="45"/>
      <c r="AZ694" s="45"/>
      <c r="BA694" s="45"/>
      <c r="CM694" s="46"/>
      <c r="CO694" s="70"/>
    </row>
    <row r="695" spans="13:93" ht="15">
      <c r="M695" s="45"/>
      <c r="N695" s="45"/>
      <c r="O695" s="45"/>
      <c r="P695" s="45"/>
      <c r="AD695" s="36"/>
      <c r="AE695" s="36"/>
      <c r="AF695" s="36"/>
      <c r="AG695" s="36"/>
      <c r="AH695" s="36"/>
      <c r="AI695" s="36"/>
      <c r="AJ695" s="36"/>
      <c r="AK695" s="36"/>
      <c r="AT695" s="45"/>
      <c r="AU695" s="45"/>
      <c r="AV695" s="45"/>
      <c r="AW695" s="45"/>
      <c r="AX695" s="45"/>
      <c r="AY695" s="45"/>
      <c r="AZ695" s="45"/>
      <c r="BA695" s="45"/>
      <c r="CM695" s="46"/>
      <c r="CO695" s="70"/>
    </row>
    <row r="696" spans="13:93" ht="15">
      <c r="M696" s="45"/>
      <c r="N696" s="45"/>
      <c r="O696" s="45"/>
      <c r="P696" s="45"/>
      <c r="AD696" s="36"/>
      <c r="AE696" s="36"/>
      <c r="AF696" s="36"/>
      <c r="AG696" s="36"/>
      <c r="AH696" s="36"/>
      <c r="AI696" s="36"/>
      <c r="AJ696" s="36"/>
      <c r="AK696" s="36"/>
      <c r="AT696" s="45"/>
      <c r="AU696" s="45"/>
      <c r="AV696" s="45"/>
      <c r="AW696" s="45"/>
      <c r="AX696" s="45"/>
      <c r="AY696" s="45"/>
      <c r="AZ696" s="45"/>
      <c r="BA696" s="45"/>
      <c r="CM696" s="46"/>
      <c r="CO696" s="70"/>
    </row>
    <row r="697" spans="13:93" ht="15">
      <c r="M697" s="45"/>
      <c r="N697" s="45"/>
      <c r="O697" s="45"/>
      <c r="P697" s="45"/>
      <c r="AD697" s="36"/>
      <c r="AE697" s="36"/>
      <c r="AF697" s="36"/>
      <c r="AG697" s="36"/>
      <c r="AH697" s="36"/>
      <c r="AI697" s="36"/>
      <c r="AJ697" s="36"/>
      <c r="AK697" s="36"/>
      <c r="AT697" s="45"/>
      <c r="AU697" s="45"/>
      <c r="AV697" s="45"/>
      <c r="AW697" s="45"/>
      <c r="AX697" s="45"/>
      <c r="AY697" s="45"/>
      <c r="AZ697" s="45"/>
      <c r="BA697" s="45"/>
      <c r="CM697" s="46"/>
      <c r="CO697" s="70"/>
    </row>
    <row r="698" spans="13:93" ht="15">
      <c r="M698" s="45"/>
      <c r="N698" s="45"/>
      <c r="O698" s="45"/>
      <c r="P698" s="45"/>
      <c r="AD698" s="36"/>
      <c r="AE698" s="36"/>
      <c r="AF698" s="36"/>
      <c r="AG698" s="36"/>
      <c r="AH698" s="36"/>
      <c r="AI698" s="36"/>
      <c r="AJ698" s="36"/>
      <c r="AK698" s="36"/>
      <c r="AT698" s="45"/>
      <c r="AU698" s="45"/>
      <c r="AV698" s="45"/>
      <c r="AW698" s="45"/>
      <c r="AX698" s="45"/>
      <c r="AY698" s="45"/>
      <c r="AZ698" s="45"/>
      <c r="BA698" s="45"/>
      <c r="CM698" s="46"/>
      <c r="CO698" s="70"/>
    </row>
    <row r="699" spans="13:93" ht="15">
      <c r="M699" s="45"/>
      <c r="N699" s="45"/>
      <c r="O699" s="45"/>
      <c r="P699" s="45"/>
      <c r="AD699" s="36"/>
      <c r="AE699" s="36"/>
      <c r="AF699" s="36"/>
      <c r="AG699" s="36"/>
      <c r="AH699" s="36"/>
      <c r="AI699" s="36"/>
      <c r="AJ699" s="36"/>
      <c r="AK699" s="36"/>
      <c r="AT699" s="45"/>
      <c r="AU699" s="45"/>
      <c r="AV699" s="45"/>
      <c r="AW699" s="45"/>
      <c r="AX699" s="45"/>
      <c r="AY699" s="45"/>
      <c r="AZ699" s="45"/>
      <c r="BA699" s="45"/>
      <c r="CM699" s="46"/>
      <c r="CO699" s="70"/>
    </row>
    <row r="700" spans="13:93" ht="15">
      <c r="M700" s="45"/>
      <c r="N700" s="45"/>
      <c r="O700" s="45"/>
      <c r="P700" s="45"/>
      <c r="AD700" s="36"/>
      <c r="AE700" s="36"/>
      <c r="AF700" s="36"/>
      <c r="AG700" s="36"/>
      <c r="AH700" s="36"/>
      <c r="AI700" s="36"/>
      <c r="AJ700" s="36"/>
      <c r="AK700" s="36"/>
      <c r="AT700" s="45"/>
      <c r="AU700" s="45"/>
      <c r="AV700" s="45"/>
      <c r="AW700" s="45"/>
      <c r="AX700" s="45"/>
      <c r="AY700" s="45"/>
      <c r="AZ700" s="45"/>
      <c r="BA700" s="45"/>
      <c r="CM700" s="46"/>
      <c r="CO700" s="70"/>
    </row>
    <row r="701" spans="13:93" ht="15">
      <c r="M701" s="45"/>
      <c r="N701" s="45"/>
      <c r="O701" s="45"/>
      <c r="P701" s="45"/>
      <c r="AD701" s="36"/>
      <c r="AE701" s="36"/>
      <c r="AF701" s="36"/>
      <c r="AG701" s="36"/>
      <c r="AH701" s="36"/>
      <c r="AI701" s="36"/>
      <c r="AJ701" s="36"/>
      <c r="AK701" s="36"/>
      <c r="AT701" s="45"/>
      <c r="AU701" s="45"/>
      <c r="AV701" s="45"/>
      <c r="AW701" s="45"/>
      <c r="AX701" s="45"/>
      <c r="AY701" s="45"/>
      <c r="AZ701" s="45"/>
      <c r="BA701" s="45"/>
      <c r="CM701" s="46"/>
      <c r="CO701" s="70"/>
    </row>
    <row r="702" spans="13:93" ht="15">
      <c r="M702" s="45"/>
      <c r="N702" s="45"/>
      <c r="O702" s="45"/>
      <c r="P702" s="45"/>
      <c r="AD702" s="36"/>
      <c r="AE702" s="36"/>
      <c r="AF702" s="36"/>
      <c r="AG702" s="36"/>
      <c r="AH702" s="36"/>
      <c r="AI702" s="36"/>
      <c r="AJ702" s="36"/>
      <c r="AK702" s="36"/>
      <c r="AT702" s="45"/>
      <c r="AU702" s="45"/>
      <c r="AV702" s="45"/>
      <c r="AW702" s="45"/>
      <c r="AX702" s="45"/>
      <c r="AY702" s="45"/>
      <c r="AZ702" s="45"/>
      <c r="BA702" s="45"/>
      <c r="CM702" s="46"/>
      <c r="CO702" s="70"/>
    </row>
    <row r="703" spans="13:93" ht="15">
      <c r="M703" s="45"/>
      <c r="N703" s="45"/>
      <c r="O703" s="45"/>
      <c r="P703" s="45"/>
      <c r="AD703" s="36"/>
      <c r="AE703" s="36"/>
      <c r="AF703" s="36"/>
      <c r="AG703" s="36"/>
      <c r="AH703" s="36"/>
      <c r="AI703" s="36"/>
      <c r="AJ703" s="36"/>
      <c r="AK703" s="36"/>
      <c r="AT703" s="45"/>
      <c r="AU703" s="45"/>
      <c r="AV703" s="45"/>
      <c r="AW703" s="45"/>
      <c r="AX703" s="45"/>
      <c r="AY703" s="45"/>
      <c r="AZ703" s="45"/>
      <c r="BA703" s="45"/>
      <c r="CM703" s="46"/>
      <c r="CO703" s="70"/>
    </row>
    <row r="704" spans="13:93" ht="15">
      <c r="M704" s="45"/>
      <c r="N704" s="45"/>
      <c r="O704" s="45"/>
      <c r="P704" s="45"/>
      <c r="AD704" s="36"/>
      <c r="AE704" s="36"/>
      <c r="AF704" s="36"/>
      <c r="AG704" s="36"/>
      <c r="AH704" s="36"/>
      <c r="AI704" s="36"/>
      <c r="AJ704" s="36"/>
      <c r="AK704" s="36"/>
      <c r="AT704" s="45"/>
      <c r="AU704" s="45"/>
      <c r="AV704" s="45"/>
      <c r="AW704" s="45"/>
      <c r="AX704" s="45"/>
      <c r="AY704" s="45"/>
      <c r="AZ704" s="45"/>
      <c r="BA704" s="45"/>
      <c r="CM704" s="46"/>
      <c r="CO704" s="70"/>
    </row>
    <row r="705" spans="13:93" ht="15">
      <c r="M705" s="45"/>
      <c r="N705" s="45"/>
      <c r="O705" s="45"/>
      <c r="P705" s="45"/>
      <c r="AD705" s="36"/>
      <c r="AE705" s="36"/>
      <c r="AF705" s="36"/>
      <c r="AG705" s="36"/>
      <c r="AH705" s="36"/>
      <c r="AI705" s="36"/>
      <c r="AJ705" s="36"/>
      <c r="AK705" s="36"/>
      <c r="AT705" s="45"/>
      <c r="AU705" s="45"/>
      <c r="AV705" s="45"/>
      <c r="AW705" s="45"/>
      <c r="AX705" s="45"/>
      <c r="AY705" s="45"/>
      <c r="AZ705" s="45"/>
      <c r="BA705" s="45"/>
      <c r="CM705" s="46"/>
      <c r="CO705" s="70"/>
    </row>
    <row r="706" spans="13:93" ht="15">
      <c r="M706" s="45"/>
      <c r="N706" s="45"/>
      <c r="O706" s="45"/>
      <c r="P706" s="45"/>
      <c r="AD706" s="36"/>
      <c r="AE706" s="36"/>
      <c r="AF706" s="36"/>
      <c r="AG706" s="36"/>
      <c r="AH706" s="36"/>
      <c r="AI706" s="36"/>
      <c r="AJ706" s="36"/>
      <c r="AK706" s="36"/>
      <c r="AT706" s="45"/>
      <c r="AU706" s="45"/>
      <c r="AV706" s="45"/>
      <c r="AW706" s="45"/>
      <c r="AX706" s="45"/>
      <c r="AY706" s="45"/>
      <c r="AZ706" s="45"/>
      <c r="BA706" s="45"/>
      <c r="CM706" s="46"/>
      <c r="CO706" s="70"/>
    </row>
    <row r="707" spans="13:93" ht="15">
      <c r="M707" s="45"/>
      <c r="N707" s="45"/>
      <c r="O707" s="45"/>
      <c r="P707" s="45"/>
      <c r="AD707" s="36"/>
      <c r="AE707" s="36"/>
      <c r="AF707" s="36"/>
      <c r="AG707" s="36"/>
      <c r="AH707" s="36"/>
      <c r="AI707" s="36"/>
      <c r="AJ707" s="36"/>
      <c r="AK707" s="36"/>
      <c r="AT707" s="45"/>
      <c r="AU707" s="45"/>
      <c r="AV707" s="45"/>
      <c r="AW707" s="45"/>
      <c r="AX707" s="45"/>
      <c r="AY707" s="45"/>
      <c r="AZ707" s="45"/>
      <c r="BA707" s="45"/>
      <c r="CM707" s="46"/>
      <c r="CO707" s="70"/>
    </row>
    <row r="708" spans="13:93" ht="15">
      <c r="M708" s="45"/>
      <c r="N708" s="45"/>
      <c r="O708" s="45"/>
      <c r="P708" s="45"/>
      <c r="AD708" s="36"/>
      <c r="AE708" s="36"/>
      <c r="AF708" s="36"/>
      <c r="AG708" s="36"/>
      <c r="AH708" s="36"/>
      <c r="AI708" s="36"/>
      <c r="AJ708" s="36"/>
      <c r="AK708" s="36"/>
      <c r="AT708" s="45"/>
      <c r="AU708" s="45"/>
      <c r="AV708" s="45"/>
      <c r="AW708" s="45"/>
      <c r="AX708" s="45"/>
      <c r="AY708" s="45"/>
      <c r="AZ708" s="45"/>
      <c r="BA708" s="45"/>
      <c r="CM708" s="46"/>
      <c r="CO708" s="70"/>
    </row>
    <row r="709" spans="13:93" ht="15">
      <c r="M709" s="45"/>
      <c r="N709" s="45"/>
      <c r="O709" s="45"/>
      <c r="P709" s="45"/>
      <c r="AD709" s="36"/>
      <c r="AE709" s="36"/>
      <c r="AF709" s="36"/>
      <c r="AG709" s="36"/>
      <c r="AH709" s="36"/>
      <c r="AI709" s="36"/>
      <c r="AJ709" s="36"/>
      <c r="AK709" s="36"/>
      <c r="AT709" s="45"/>
      <c r="AU709" s="45"/>
      <c r="AV709" s="45"/>
      <c r="AW709" s="45"/>
      <c r="AX709" s="45"/>
      <c r="AY709" s="45"/>
      <c r="AZ709" s="45"/>
      <c r="BA709" s="45"/>
      <c r="CM709" s="46"/>
      <c r="CO709" s="70"/>
    </row>
    <row r="710" spans="13:93" ht="15">
      <c r="M710" s="45"/>
      <c r="N710" s="45"/>
      <c r="O710" s="45"/>
      <c r="P710" s="45"/>
      <c r="AD710" s="36"/>
      <c r="AE710" s="36"/>
      <c r="AF710" s="36"/>
      <c r="AG710" s="36"/>
      <c r="AH710" s="36"/>
      <c r="AI710" s="36"/>
      <c r="AJ710" s="36"/>
      <c r="AK710" s="36"/>
      <c r="AT710" s="45"/>
      <c r="AU710" s="45"/>
      <c r="AV710" s="45"/>
      <c r="AW710" s="45"/>
      <c r="AX710" s="45"/>
      <c r="AY710" s="45"/>
      <c r="AZ710" s="45"/>
      <c r="BA710" s="45"/>
      <c r="CM710" s="46"/>
      <c r="CO710" s="70"/>
    </row>
    <row r="711" spans="13:93" ht="15">
      <c r="M711" s="45"/>
      <c r="N711" s="45"/>
      <c r="O711" s="45"/>
      <c r="P711" s="45"/>
      <c r="AD711" s="36"/>
      <c r="AE711" s="36"/>
      <c r="AF711" s="36"/>
      <c r="AG711" s="36"/>
      <c r="AH711" s="36"/>
      <c r="AI711" s="36"/>
      <c r="AJ711" s="36"/>
      <c r="AK711" s="36"/>
      <c r="AT711" s="45"/>
      <c r="AU711" s="45"/>
      <c r="AV711" s="45"/>
      <c r="AW711" s="45"/>
      <c r="AX711" s="45"/>
      <c r="AY711" s="45"/>
      <c r="AZ711" s="45"/>
      <c r="BA711" s="45"/>
      <c r="CM711" s="46"/>
      <c r="CO711" s="70"/>
    </row>
    <row r="712" spans="13:93" ht="15">
      <c r="M712" s="45"/>
      <c r="N712" s="45"/>
      <c r="O712" s="45"/>
      <c r="P712" s="45"/>
      <c r="AD712" s="36"/>
      <c r="AE712" s="36"/>
      <c r="AF712" s="36"/>
      <c r="AG712" s="36"/>
      <c r="AH712" s="36"/>
      <c r="AI712" s="36"/>
      <c r="AJ712" s="36"/>
      <c r="AK712" s="36"/>
      <c r="AT712" s="45"/>
      <c r="AU712" s="45"/>
      <c r="AV712" s="45"/>
      <c r="AW712" s="45"/>
      <c r="AX712" s="45"/>
      <c r="AY712" s="45"/>
      <c r="AZ712" s="45"/>
      <c r="BA712" s="45"/>
      <c r="CM712" s="46"/>
      <c r="CO712" s="70"/>
    </row>
    <row r="713" spans="13:93" ht="15">
      <c r="M713" s="45"/>
      <c r="N713" s="45"/>
      <c r="O713" s="45"/>
      <c r="P713" s="45"/>
      <c r="AD713" s="36"/>
      <c r="AE713" s="36"/>
      <c r="AF713" s="36"/>
      <c r="AG713" s="36"/>
      <c r="AH713" s="36"/>
      <c r="AI713" s="36"/>
      <c r="AJ713" s="36"/>
      <c r="AK713" s="36"/>
      <c r="AT713" s="45"/>
      <c r="AU713" s="45"/>
      <c r="AV713" s="45"/>
      <c r="AW713" s="45"/>
      <c r="AX713" s="45"/>
      <c r="AY713" s="45"/>
      <c r="AZ713" s="45"/>
      <c r="BA713" s="45"/>
      <c r="CM713" s="46"/>
      <c r="CO713" s="70"/>
    </row>
    <row r="714" spans="13:93" ht="15">
      <c r="M714" s="45"/>
      <c r="N714" s="45"/>
      <c r="O714" s="45"/>
      <c r="P714" s="45"/>
      <c r="AD714" s="36"/>
      <c r="AE714" s="36"/>
      <c r="AF714" s="36"/>
      <c r="AG714" s="36"/>
      <c r="AH714" s="36"/>
      <c r="AI714" s="36"/>
      <c r="AJ714" s="36"/>
      <c r="AK714" s="36"/>
      <c r="AT714" s="45"/>
      <c r="AU714" s="45"/>
      <c r="AV714" s="45"/>
      <c r="AW714" s="45"/>
      <c r="AX714" s="45"/>
      <c r="AY714" s="45"/>
      <c r="AZ714" s="45"/>
      <c r="BA714" s="45"/>
      <c r="CM714" s="46"/>
      <c r="CO714" s="70"/>
    </row>
    <row r="715" spans="13:93" ht="15">
      <c r="M715" s="45"/>
      <c r="N715" s="45"/>
      <c r="O715" s="45"/>
      <c r="P715" s="45"/>
      <c r="AD715" s="36"/>
      <c r="AE715" s="36"/>
      <c r="AF715" s="36"/>
      <c r="AG715" s="36"/>
      <c r="AH715" s="36"/>
      <c r="AI715" s="36"/>
      <c r="AJ715" s="36"/>
      <c r="AK715" s="36"/>
      <c r="AT715" s="45"/>
      <c r="AU715" s="45"/>
      <c r="AV715" s="45"/>
      <c r="AW715" s="45"/>
      <c r="AX715" s="45"/>
      <c r="AY715" s="45"/>
      <c r="AZ715" s="45"/>
      <c r="BA715" s="45"/>
      <c r="CM715" s="46"/>
      <c r="CO715" s="70"/>
    </row>
    <row r="716" spans="13:93" ht="15">
      <c r="M716" s="45"/>
      <c r="N716" s="45"/>
      <c r="O716" s="45"/>
      <c r="P716" s="45"/>
      <c r="AD716" s="36"/>
      <c r="AE716" s="36"/>
      <c r="AF716" s="36"/>
      <c r="AG716" s="36"/>
      <c r="AH716" s="36"/>
      <c r="AI716" s="36"/>
      <c r="AJ716" s="36"/>
      <c r="AK716" s="36"/>
      <c r="AT716" s="45"/>
      <c r="AU716" s="45"/>
      <c r="AV716" s="45"/>
      <c r="AW716" s="45"/>
      <c r="AX716" s="45"/>
      <c r="AY716" s="45"/>
      <c r="AZ716" s="45"/>
      <c r="BA716" s="45"/>
      <c r="CM716" s="46"/>
      <c r="CO716" s="70"/>
    </row>
    <row r="717" spans="13:93" ht="15">
      <c r="M717" s="45"/>
      <c r="N717" s="45"/>
      <c r="O717" s="45"/>
      <c r="P717" s="45"/>
      <c r="AD717" s="36"/>
      <c r="AE717" s="36"/>
      <c r="AF717" s="36"/>
      <c r="AG717" s="36"/>
      <c r="AH717" s="36"/>
      <c r="AI717" s="36"/>
      <c r="AJ717" s="36"/>
      <c r="AK717" s="36"/>
      <c r="AT717" s="45"/>
      <c r="AU717" s="45"/>
      <c r="AV717" s="45"/>
      <c r="AW717" s="45"/>
      <c r="AX717" s="45"/>
      <c r="AY717" s="45"/>
      <c r="AZ717" s="45"/>
      <c r="BA717" s="45"/>
      <c r="CM717" s="46"/>
      <c r="CO717" s="70"/>
    </row>
    <row r="718" spans="13:93" ht="15">
      <c r="M718" s="45"/>
      <c r="N718" s="45"/>
      <c r="O718" s="45"/>
      <c r="P718" s="45"/>
      <c r="AD718" s="36"/>
      <c r="AE718" s="36"/>
      <c r="AF718" s="36"/>
      <c r="AG718" s="36"/>
      <c r="AH718" s="36"/>
      <c r="AI718" s="36"/>
      <c r="AJ718" s="36"/>
      <c r="AK718" s="36"/>
      <c r="AT718" s="45"/>
      <c r="AU718" s="45"/>
      <c r="AV718" s="45"/>
      <c r="AW718" s="45"/>
      <c r="AX718" s="45"/>
      <c r="AY718" s="45"/>
      <c r="AZ718" s="45"/>
      <c r="BA718" s="45"/>
      <c r="CM718" s="46"/>
      <c r="CO718" s="70"/>
    </row>
    <row r="719" spans="13:93" ht="15">
      <c r="M719" s="45"/>
      <c r="N719" s="45"/>
      <c r="O719" s="45"/>
      <c r="P719" s="45"/>
      <c r="AD719" s="36"/>
      <c r="AE719" s="36"/>
      <c r="AF719" s="36"/>
      <c r="AG719" s="36"/>
      <c r="AH719" s="36"/>
      <c r="AI719" s="36"/>
      <c r="AJ719" s="36"/>
      <c r="AK719" s="36"/>
      <c r="AT719" s="45"/>
      <c r="AU719" s="45"/>
      <c r="AV719" s="45"/>
      <c r="AW719" s="45"/>
      <c r="AX719" s="45"/>
      <c r="AY719" s="45"/>
      <c r="AZ719" s="45"/>
      <c r="BA719" s="45"/>
      <c r="CM719" s="46"/>
      <c r="CO719" s="70"/>
    </row>
    <row r="720" spans="13:93" ht="15">
      <c r="M720" s="45"/>
      <c r="N720" s="45"/>
      <c r="O720" s="45"/>
      <c r="P720" s="45"/>
      <c r="AD720" s="36"/>
      <c r="AE720" s="36"/>
      <c r="AF720" s="36"/>
      <c r="AG720" s="36"/>
      <c r="AH720" s="36"/>
      <c r="AI720" s="36"/>
      <c r="AJ720" s="36"/>
      <c r="AK720" s="36"/>
      <c r="AT720" s="45"/>
      <c r="AU720" s="45"/>
      <c r="AV720" s="45"/>
      <c r="AW720" s="45"/>
      <c r="AX720" s="45"/>
      <c r="AY720" s="45"/>
      <c r="AZ720" s="45"/>
      <c r="BA720" s="45"/>
      <c r="CM720" s="46"/>
      <c r="CO720" s="70"/>
    </row>
    <row r="721" spans="13:93" ht="15">
      <c r="M721" s="45"/>
      <c r="N721" s="45"/>
      <c r="O721" s="45"/>
      <c r="P721" s="45"/>
      <c r="AD721" s="36"/>
      <c r="AE721" s="36"/>
      <c r="AF721" s="36"/>
      <c r="AG721" s="36"/>
      <c r="AH721" s="36"/>
      <c r="AI721" s="36"/>
      <c r="AJ721" s="36"/>
      <c r="AK721" s="36"/>
      <c r="AT721" s="45"/>
      <c r="AU721" s="45"/>
      <c r="AV721" s="45"/>
      <c r="AW721" s="45"/>
      <c r="AX721" s="45"/>
      <c r="AY721" s="45"/>
      <c r="AZ721" s="45"/>
      <c r="BA721" s="45"/>
      <c r="CM721" s="46"/>
      <c r="CO721" s="70"/>
    </row>
    <row r="722" spans="13:93" ht="15">
      <c r="M722" s="45"/>
      <c r="N722" s="45"/>
      <c r="O722" s="45"/>
      <c r="P722" s="45"/>
      <c r="AD722" s="36"/>
      <c r="AE722" s="36"/>
      <c r="AF722" s="36"/>
      <c r="AG722" s="36"/>
      <c r="AH722" s="36"/>
      <c r="AI722" s="36"/>
      <c r="AJ722" s="36"/>
      <c r="AK722" s="36"/>
      <c r="AT722" s="45"/>
      <c r="AU722" s="45"/>
      <c r="AV722" s="45"/>
      <c r="AW722" s="45"/>
      <c r="AX722" s="45"/>
      <c r="AY722" s="45"/>
      <c r="AZ722" s="45"/>
      <c r="BA722" s="45"/>
      <c r="CM722" s="46"/>
      <c r="CO722" s="70"/>
    </row>
    <row r="723" spans="13:93" ht="15">
      <c r="M723" s="45"/>
      <c r="N723" s="45"/>
      <c r="O723" s="45"/>
      <c r="P723" s="45"/>
      <c r="AD723" s="36"/>
      <c r="AE723" s="36"/>
      <c r="AF723" s="36"/>
      <c r="AG723" s="36"/>
      <c r="AH723" s="36"/>
      <c r="AI723" s="36"/>
      <c r="AJ723" s="36"/>
      <c r="AK723" s="36"/>
      <c r="AT723" s="45"/>
      <c r="AU723" s="45"/>
      <c r="AV723" s="45"/>
      <c r="AW723" s="45"/>
      <c r="AX723" s="45"/>
      <c r="AY723" s="45"/>
      <c r="AZ723" s="45"/>
      <c r="BA723" s="45"/>
      <c r="CM723" s="46"/>
      <c r="CO723" s="70"/>
    </row>
    <row r="724" spans="13:93" ht="15">
      <c r="M724" s="45"/>
      <c r="N724" s="45"/>
      <c r="O724" s="45"/>
      <c r="P724" s="45"/>
      <c r="AD724" s="36"/>
      <c r="AE724" s="36"/>
      <c r="AF724" s="36"/>
      <c r="AG724" s="36"/>
      <c r="AH724" s="36"/>
      <c r="AI724" s="36"/>
      <c r="AJ724" s="36"/>
      <c r="AK724" s="36"/>
      <c r="AT724" s="45"/>
      <c r="AU724" s="45"/>
      <c r="AV724" s="45"/>
      <c r="AW724" s="45"/>
      <c r="AX724" s="45"/>
      <c r="AY724" s="45"/>
      <c r="AZ724" s="45"/>
      <c r="BA724" s="45"/>
      <c r="CM724" s="46"/>
      <c r="CO724" s="70"/>
    </row>
    <row r="725" spans="13:93" ht="15">
      <c r="M725" s="45"/>
      <c r="N725" s="45"/>
      <c r="O725" s="45"/>
      <c r="P725" s="45"/>
      <c r="AD725" s="36"/>
      <c r="AE725" s="36"/>
      <c r="AF725" s="36"/>
      <c r="AG725" s="36"/>
      <c r="AH725" s="36"/>
      <c r="AI725" s="36"/>
      <c r="AJ725" s="36"/>
      <c r="AK725" s="36"/>
      <c r="AT725" s="45"/>
      <c r="AU725" s="45"/>
      <c r="AV725" s="45"/>
      <c r="AW725" s="45"/>
      <c r="AX725" s="45"/>
      <c r="AY725" s="45"/>
      <c r="AZ725" s="45"/>
      <c r="BA725" s="45"/>
      <c r="CM725" s="46"/>
      <c r="CO725" s="70"/>
    </row>
    <row r="726" spans="13:93" ht="15">
      <c r="M726" s="45"/>
      <c r="N726" s="45"/>
      <c r="O726" s="45"/>
      <c r="P726" s="45"/>
      <c r="AD726" s="36"/>
      <c r="AE726" s="36"/>
      <c r="AF726" s="36"/>
      <c r="AG726" s="36"/>
      <c r="AH726" s="36"/>
      <c r="AI726" s="36"/>
      <c r="AJ726" s="36"/>
      <c r="AK726" s="36"/>
      <c r="AT726" s="45"/>
      <c r="AU726" s="45"/>
      <c r="AV726" s="45"/>
      <c r="AW726" s="45"/>
      <c r="AX726" s="45"/>
      <c r="AY726" s="45"/>
      <c r="AZ726" s="45"/>
      <c r="BA726" s="45"/>
      <c r="CM726" s="46"/>
      <c r="CO726" s="70"/>
    </row>
    <row r="727" spans="13:93" ht="15">
      <c r="M727" s="45"/>
      <c r="N727" s="45"/>
      <c r="O727" s="45"/>
      <c r="P727" s="45"/>
      <c r="AD727" s="36"/>
      <c r="AE727" s="36"/>
      <c r="AF727" s="36"/>
      <c r="AG727" s="36"/>
      <c r="AH727" s="36"/>
      <c r="AI727" s="36"/>
      <c r="AJ727" s="36"/>
      <c r="AK727" s="36"/>
      <c r="AT727" s="45"/>
      <c r="AU727" s="45"/>
      <c r="AV727" s="45"/>
      <c r="AW727" s="45"/>
      <c r="AX727" s="45"/>
      <c r="AY727" s="45"/>
      <c r="AZ727" s="45"/>
      <c r="BA727" s="45"/>
      <c r="CM727" s="46"/>
      <c r="CO727" s="70"/>
    </row>
    <row r="728" spans="13:93" ht="15">
      <c r="M728" s="45"/>
      <c r="N728" s="45"/>
      <c r="O728" s="45"/>
      <c r="P728" s="45"/>
      <c r="AD728" s="36"/>
      <c r="AE728" s="36"/>
      <c r="AF728" s="36"/>
      <c r="AG728" s="36"/>
      <c r="AH728" s="36"/>
      <c r="AI728" s="36"/>
      <c r="AJ728" s="36"/>
      <c r="AK728" s="36"/>
      <c r="AT728" s="45"/>
      <c r="AU728" s="45"/>
      <c r="AV728" s="45"/>
      <c r="AW728" s="45"/>
      <c r="AX728" s="45"/>
      <c r="AY728" s="45"/>
      <c r="AZ728" s="45"/>
      <c r="BA728" s="45"/>
      <c r="CM728" s="46"/>
      <c r="CO728" s="70"/>
    </row>
    <row r="729" spans="13:93" ht="15">
      <c r="M729" s="45"/>
      <c r="N729" s="45"/>
      <c r="O729" s="45"/>
      <c r="P729" s="45"/>
      <c r="AD729" s="36"/>
      <c r="AE729" s="36"/>
      <c r="AF729" s="36"/>
      <c r="AG729" s="36"/>
      <c r="AH729" s="36"/>
      <c r="AI729" s="36"/>
      <c r="AJ729" s="36"/>
      <c r="AK729" s="36"/>
      <c r="AT729" s="45"/>
      <c r="AU729" s="45"/>
      <c r="AV729" s="45"/>
      <c r="AW729" s="45"/>
      <c r="AX729" s="45"/>
      <c r="AY729" s="45"/>
      <c r="AZ729" s="45"/>
      <c r="BA729" s="45"/>
      <c r="CM729" s="46"/>
      <c r="CO729" s="70"/>
    </row>
    <row r="730" spans="13:93" ht="15">
      <c r="M730" s="45"/>
      <c r="N730" s="45"/>
      <c r="O730" s="45"/>
      <c r="P730" s="45"/>
      <c r="AD730" s="36"/>
      <c r="AE730" s="36"/>
      <c r="AF730" s="36"/>
      <c r="AG730" s="36"/>
      <c r="AH730" s="36"/>
      <c r="AI730" s="36"/>
      <c r="AJ730" s="36"/>
      <c r="AK730" s="36"/>
      <c r="AT730" s="45"/>
      <c r="AU730" s="45"/>
      <c r="AV730" s="45"/>
      <c r="AW730" s="45"/>
      <c r="AX730" s="45"/>
      <c r="AY730" s="45"/>
      <c r="AZ730" s="45"/>
      <c r="BA730" s="45"/>
      <c r="CM730" s="46"/>
      <c r="CO730" s="70"/>
    </row>
    <row r="731" spans="13:93" ht="15">
      <c r="M731" s="45"/>
      <c r="N731" s="45"/>
      <c r="O731" s="45"/>
      <c r="P731" s="45"/>
      <c r="AD731" s="36"/>
      <c r="AE731" s="36"/>
      <c r="AF731" s="36"/>
      <c r="AG731" s="36"/>
      <c r="AH731" s="36"/>
      <c r="AI731" s="36"/>
      <c r="AJ731" s="36"/>
      <c r="AK731" s="36"/>
      <c r="AT731" s="45"/>
      <c r="AU731" s="45"/>
      <c r="AV731" s="45"/>
      <c r="AW731" s="45"/>
      <c r="AX731" s="45"/>
      <c r="AY731" s="45"/>
      <c r="AZ731" s="45"/>
      <c r="BA731" s="45"/>
      <c r="CM731" s="46"/>
      <c r="CO731" s="70"/>
    </row>
    <row r="732" spans="13:93" ht="15">
      <c r="M732" s="45"/>
      <c r="N732" s="45"/>
      <c r="O732" s="45"/>
      <c r="P732" s="45"/>
      <c r="AD732" s="36"/>
      <c r="AE732" s="36"/>
      <c r="AF732" s="36"/>
      <c r="AG732" s="36"/>
      <c r="AH732" s="36"/>
      <c r="AI732" s="36"/>
      <c r="AJ732" s="36"/>
      <c r="AK732" s="36"/>
      <c r="AT732" s="45"/>
      <c r="AU732" s="45"/>
      <c r="AV732" s="45"/>
      <c r="AW732" s="45"/>
      <c r="AX732" s="45"/>
      <c r="AY732" s="45"/>
      <c r="AZ732" s="45"/>
      <c r="BA732" s="45"/>
      <c r="CM732" s="46"/>
      <c r="CO732" s="70"/>
    </row>
    <row r="733" spans="13:93" ht="15">
      <c r="M733" s="45"/>
      <c r="N733" s="45"/>
      <c r="O733" s="45"/>
      <c r="P733" s="45"/>
      <c r="AD733" s="36"/>
      <c r="AE733" s="36"/>
      <c r="AF733" s="36"/>
      <c r="AG733" s="36"/>
      <c r="AH733" s="36"/>
      <c r="AI733" s="36"/>
      <c r="AJ733" s="36"/>
      <c r="AK733" s="36"/>
      <c r="AT733" s="45"/>
      <c r="AU733" s="45"/>
      <c r="AV733" s="45"/>
      <c r="AW733" s="45"/>
      <c r="AX733" s="45"/>
      <c r="AY733" s="45"/>
      <c r="AZ733" s="45"/>
      <c r="BA733" s="45"/>
      <c r="CM733" s="46"/>
      <c r="CO733" s="70"/>
    </row>
    <row r="734" spans="13:93" ht="15">
      <c r="M734" s="45"/>
      <c r="N734" s="45"/>
      <c r="O734" s="45"/>
      <c r="P734" s="45"/>
      <c r="AD734" s="36"/>
      <c r="AE734" s="36"/>
      <c r="AF734" s="36"/>
      <c r="AG734" s="36"/>
      <c r="AH734" s="36"/>
      <c r="AI734" s="36"/>
      <c r="AJ734" s="36"/>
      <c r="AK734" s="36"/>
      <c r="AT734" s="45"/>
      <c r="AU734" s="45"/>
      <c r="AV734" s="45"/>
      <c r="AW734" s="45"/>
      <c r="AX734" s="45"/>
      <c r="AY734" s="45"/>
      <c r="AZ734" s="45"/>
      <c r="BA734" s="45"/>
      <c r="CM734" s="46"/>
      <c r="CO734" s="70"/>
    </row>
    <row r="735" spans="13:93" ht="15">
      <c r="M735" s="45"/>
      <c r="N735" s="45"/>
      <c r="O735" s="45"/>
      <c r="P735" s="45"/>
      <c r="AD735" s="36"/>
      <c r="AE735" s="36"/>
      <c r="AF735" s="36"/>
      <c r="AG735" s="36"/>
      <c r="AH735" s="36"/>
      <c r="AI735" s="36"/>
      <c r="AJ735" s="36"/>
      <c r="AK735" s="36"/>
      <c r="AT735" s="45"/>
      <c r="AU735" s="45"/>
      <c r="AV735" s="45"/>
      <c r="AW735" s="45"/>
      <c r="AX735" s="45"/>
      <c r="AY735" s="45"/>
      <c r="AZ735" s="45"/>
      <c r="BA735" s="45"/>
      <c r="CM735" s="46"/>
      <c r="CO735" s="70"/>
    </row>
    <row r="736" spans="13:93" ht="15">
      <c r="M736" s="45"/>
      <c r="N736" s="45"/>
      <c r="O736" s="45"/>
      <c r="P736" s="45"/>
      <c r="AD736" s="36"/>
      <c r="AE736" s="36"/>
      <c r="AF736" s="36"/>
      <c r="AG736" s="36"/>
      <c r="AH736" s="36"/>
      <c r="AI736" s="36"/>
      <c r="AJ736" s="36"/>
      <c r="AK736" s="36"/>
      <c r="AT736" s="45"/>
      <c r="AU736" s="45"/>
      <c r="AV736" s="45"/>
      <c r="AW736" s="45"/>
      <c r="AX736" s="45"/>
      <c r="AY736" s="45"/>
      <c r="AZ736" s="45"/>
      <c r="BA736" s="45"/>
      <c r="CM736" s="46"/>
      <c r="CO736" s="70"/>
    </row>
    <row r="737" spans="13:93" ht="15">
      <c r="M737" s="45"/>
      <c r="N737" s="45"/>
      <c r="O737" s="45"/>
      <c r="P737" s="45"/>
      <c r="AD737" s="36"/>
      <c r="AE737" s="36"/>
      <c r="AF737" s="36"/>
      <c r="AG737" s="36"/>
      <c r="AH737" s="36"/>
      <c r="AI737" s="36"/>
      <c r="AJ737" s="36"/>
      <c r="AK737" s="36"/>
      <c r="AT737" s="45"/>
      <c r="AU737" s="45"/>
      <c r="AV737" s="45"/>
      <c r="AW737" s="45"/>
      <c r="AX737" s="45"/>
      <c r="AY737" s="45"/>
      <c r="AZ737" s="45"/>
      <c r="BA737" s="45"/>
      <c r="CM737" s="46"/>
      <c r="CO737" s="70"/>
    </row>
    <row r="738" spans="13:93" ht="15">
      <c r="M738" s="45"/>
      <c r="N738" s="45"/>
      <c r="O738" s="45"/>
      <c r="P738" s="45"/>
      <c r="AD738" s="36"/>
      <c r="AE738" s="36"/>
      <c r="AF738" s="36"/>
      <c r="AG738" s="36"/>
      <c r="AH738" s="36"/>
      <c r="AI738" s="36"/>
      <c r="AJ738" s="36"/>
      <c r="AK738" s="36"/>
      <c r="AT738" s="45"/>
      <c r="AU738" s="45"/>
      <c r="AV738" s="45"/>
      <c r="AW738" s="45"/>
      <c r="AX738" s="45"/>
      <c r="AY738" s="45"/>
      <c r="AZ738" s="45"/>
      <c r="BA738" s="45"/>
      <c r="CM738" s="46"/>
      <c r="CO738" s="70"/>
    </row>
    <row r="739" spans="13:93" ht="15">
      <c r="M739" s="45"/>
      <c r="N739" s="45"/>
      <c r="O739" s="45"/>
      <c r="P739" s="45"/>
      <c r="AD739" s="36"/>
      <c r="AE739" s="36"/>
      <c r="AF739" s="36"/>
      <c r="AG739" s="36"/>
      <c r="AH739" s="36"/>
      <c r="AI739" s="36"/>
      <c r="AJ739" s="36"/>
      <c r="AK739" s="36"/>
      <c r="AT739" s="45"/>
      <c r="AU739" s="45"/>
      <c r="AV739" s="45"/>
      <c r="AW739" s="45"/>
      <c r="AX739" s="45"/>
      <c r="AY739" s="45"/>
      <c r="AZ739" s="45"/>
      <c r="BA739" s="45"/>
      <c r="CM739" s="46"/>
      <c r="CO739" s="70"/>
    </row>
    <row r="740" spans="13:93" ht="15">
      <c r="M740" s="45"/>
      <c r="N740" s="45"/>
      <c r="O740" s="45"/>
      <c r="P740" s="45"/>
      <c r="AD740" s="36"/>
      <c r="AE740" s="36"/>
      <c r="AF740" s="36"/>
      <c r="AG740" s="36"/>
      <c r="AH740" s="36"/>
      <c r="AI740" s="36"/>
      <c r="AJ740" s="36"/>
      <c r="AK740" s="36"/>
      <c r="AT740" s="45"/>
      <c r="AU740" s="45"/>
      <c r="AV740" s="45"/>
      <c r="AW740" s="45"/>
      <c r="AX740" s="45"/>
      <c r="AY740" s="45"/>
      <c r="AZ740" s="45"/>
      <c r="BA740" s="45"/>
      <c r="CM740" s="46"/>
      <c r="CO740" s="70"/>
    </row>
    <row r="741" spans="13:93" ht="15">
      <c r="M741" s="45"/>
      <c r="N741" s="45"/>
      <c r="O741" s="45"/>
      <c r="P741" s="45"/>
      <c r="AD741" s="36"/>
      <c r="AE741" s="36"/>
      <c r="AF741" s="36"/>
      <c r="AG741" s="36"/>
      <c r="AH741" s="36"/>
      <c r="AI741" s="36"/>
      <c r="AJ741" s="36"/>
      <c r="AK741" s="36"/>
      <c r="AT741" s="45"/>
      <c r="AU741" s="45"/>
      <c r="AV741" s="45"/>
      <c r="AW741" s="45"/>
      <c r="AX741" s="45"/>
      <c r="AY741" s="45"/>
      <c r="AZ741" s="45"/>
      <c r="BA741" s="45"/>
      <c r="CM741" s="46"/>
      <c r="CO741" s="70"/>
    </row>
    <row r="742" spans="13:93" ht="15">
      <c r="M742" s="45"/>
      <c r="N742" s="45"/>
      <c r="O742" s="45"/>
      <c r="P742" s="45"/>
      <c r="AD742" s="36"/>
      <c r="AE742" s="36"/>
      <c r="AF742" s="36"/>
      <c r="AG742" s="36"/>
      <c r="AH742" s="36"/>
      <c r="AI742" s="36"/>
      <c r="AJ742" s="36"/>
      <c r="AK742" s="36"/>
      <c r="AT742" s="45"/>
      <c r="AU742" s="45"/>
      <c r="AV742" s="45"/>
      <c r="AW742" s="45"/>
      <c r="AX742" s="45"/>
      <c r="AY742" s="45"/>
      <c r="AZ742" s="45"/>
      <c r="BA742" s="45"/>
      <c r="CM742" s="46"/>
      <c r="CO742" s="70"/>
    </row>
    <row r="743" spans="13:93" ht="15">
      <c r="M743" s="45"/>
      <c r="N743" s="45"/>
      <c r="O743" s="45"/>
      <c r="P743" s="45"/>
      <c r="AD743" s="36"/>
      <c r="AE743" s="36"/>
      <c r="AF743" s="36"/>
      <c r="AG743" s="36"/>
      <c r="AH743" s="36"/>
      <c r="AI743" s="36"/>
      <c r="AJ743" s="36"/>
      <c r="AK743" s="36"/>
      <c r="AT743" s="45"/>
      <c r="AU743" s="45"/>
      <c r="AV743" s="45"/>
      <c r="AW743" s="45"/>
      <c r="AX743" s="45"/>
      <c r="AY743" s="45"/>
      <c r="AZ743" s="45"/>
      <c r="BA743" s="45"/>
      <c r="CM743" s="46"/>
      <c r="CO743" s="70"/>
    </row>
    <row r="744" spans="13:93" ht="15">
      <c r="M744" s="45"/>
      <c r="N744" s="45"/>
      <c r="O744" s="45"/>
      <c r="P744" s="45"/>
      <c r="AD744" s="36"/>
      <c r="AE744" s="36"/>
      <c r="AF744" s="36"/>
      <c r="AG744" s="36"/>
      <c r="AH744" s="36"/>
      <c r="AI744" s="36"/>
      <c r="AJ744" s="36"/>
      <c r="AK744" s="36"/>
      <c r="AT744" s="45"/>
      <c r="AU744" s="45"/>
      <c r="AV744" s="45"/>
      <c r="AW744" s="45"/>
      <c r="AX744" s="45"/>
      <c r="AY744" s="45"/>
      <c r="AZ744" s="45"/>
      <c r="BA744" s="45"/>
      <c r="CM744" s="46"/>
      <c r="CO744" s="70"/>
    </row>
    <row r="745" spans="13:93" ht="15">
      <c r="M745" s="45"/>
      <c r="N745" s="45"/>
      <c r="O745" s="45"/>
      <c r="P745" s="45"/>
      <c r="AD745" s="36"/>
      <c r="AE745" s="36"/>
      <c r="AF745" s="36"/>
      <c r="AG745" s="36"/>
      <c r="AH745" s="36"/>
      <c r="AI745" s="36"/>
      <c r="AJ745" s="36"/>
      <c r="AK745" s="36"/>
      <c r="AT745" s="45"/>
      <c r="AU745" s="45"/>
      <c r="AV745" s="45"/>
      <c r="AW745" s="45"/>
      <c r="AX745" s="45"/>
      <c r="AY745" s="45"/>
      <c r="AZ745" s="45"/>
      <c r="BA745" s="45"/>
      <c r="CM745" s="46"/>
      <c r="CO745" s="70"/>
    </row>
    <row r="746" spans="13:93" ht="15">
      <c r="M746" s="45"/>
      <c r="N746" s="45"/>
      <c r="O746" s="45"/>
      <c r="P746" s="45"/>
      <c r="AD746" s="36"/>
      <c r="AE746" s="36"/>
      <c r="AF746" s="36"/>
      <c r="AG746" s="36"/>
      <c r="AH746" s="36"/>
      <c r="AI746" s="36"/>
      <c r="AJ746" s="36"/>
      <c r="AK746" s="36"/>
      <c r="AT746" s="45"/>
      <c r="AU746" s="45"/>
      <c r="AV746" s="45"/>
      <c r="AW746" s="45"/>
      <c r="AX746" s="45"/>
      <c r="AY746" s="45"/>
      <c r="AZ746" s="45"/>
      <c r="BA746" s="45"/>
      <c r="CM746" s="46"/>
      <c r="CO746" s="70"/>
    </row>
    <row r="747" spans="13:93" ht="15">
      <c r="M747" s="45"/>
      <c r="N747" s="45"/>
      <c r="O747" s="45"/>
      <c r="P747" s="45"/>
      <c r="AD747" s="36"/>
      <c r="AE747" s="36"/>
      <c r="AF747" s="36"/>
      <c r="AG747" s="36"/>
      <c r="AH747" s="36"/>
      <c r="AI747" s="36"/>
      <c r="AJ747" s="36"/>
      <c r="AK747" s="36"/>
      <c r="AT747" s="45"/>
      <c r="AU747" s="45"/>
      <c r="AV747" s="45"/>
      <c r="AW747" s="45"/>
      <c r="AX747" s="45"/>
      <c r="AY747" s="45"/>
      <c r="AZ747" s="45"/>
      <c r="BA747" s="45"/>
      <c r="CM747" s="46"/>
      <c r="CO747" s="70"/>
    </row>
    <row r="748" spans="13:93" ht="15">
      <c r="M748" s="45"/>
      <c r="N748" s="45"/>
      <c r="O748" s="45"/>
      <c r="P748" s="45"/>
      <c r="AD748" s="36"/>
      <c r="AE748" s="36"/>
      <c r="AF748" s="36"/>
      <c r="AG748" s="36"/>
      <c r="AH748" s="36"/>
      <c r="AI748" s="36"/>
      <c r="AJ748" s="36"/>
      <c r="AK748" s="36"/>
      <c r="AT748" s="45"/>
      <c r="AU748" s="45"/>
      <c r="AV748" s="45"/>
      <c r="AW748" s="45"/>
      <c r="AX748" s="45"/>
      <c r="AY748" s="45"/>
      <c r="AZ748" s="45"/>
      <c r="BA748" s="45"/>
      <c r="CM748" s="46"/>
      <c r="CO748" s="70"/>
    </row>
    <row r="749" spans="13:93" ht="15">
      <c r="M749" s="45"/>
      <c r="N749" s="45"/>
      <c r="O749" s="45"/>
      <c r="P749" s="45"/>
      <c r="AD749" s="36"/>
      <c r="AE749" s="36"/>
      <c r="AF749" s="36"/>
      <c r="AG749" s="36"/>
      <c r="AH749" s="36"/>
      <c r="AI749" s="36"/>
      <c r="AJ749" s="36"/>
      <c r="AK749" s="36"/>
      <c r="AT749" s="45"/>
      <c r="AU749" s="45"/>
      <c r="AV749" s="45"/>
      <c r="AW749" s="45"/>
      <c r="AX749" s="45"/>
      <c r="AY749" s="45"/>
      <c r="AZ749" s="45"/>
      <c r="BA749" s="45"/>
      <c r="CM749" s="46"/>
      <c r="CO749" s="70"/>
    </row>
    <row r="750" spans="13:93" ht="15">
      <c r="M750" s="45"/>
      <c r="N750" s="45"/>
      <c r="O750" s="45"/>
      <c r="P750" s="45"/>
      <c r="AD750" s="36"/>
      <c r="AE750" s="36"/>
      <c r="AF750" s="36"/>
      <c r="AG750" s="36"/>
      <c r="AH750" s="36"/>
      <c r="AI750" s="36"/>
      <c r="AJ750" s="36"/>
      <c r="AK750" s="36"/>
      <c r="AT750" s="45"/>
      <c r="AU750" s="45"/>
      <c r="AV750" s="45"/>
      <c r="AW750" s="45"/>
      <c r="AX750" s="45"/>
      <c r="AY750" s="45"/>
      <c r="AZ750" s="45"/>
      <c r="BA750" s="45"/>
      <c r="CM750" s="46"/>
      <c r="CO750" s="70"/>
    </row>
    <row r="751" spans="13:93" ht="15">
      <c r="M751" s="45"/>
      <c r="N751" s="45"/>
      <c r="O751" s="45"/>
      <c r="P751" s="45"/>
      <c r="AD751" s="36"/>
      <c r="AE751" s="36"/>
      <c r="AF751" s="36"/>
      <c r="AG751" s="36"/>
      <c r="AH751" s="36"/>
      <c r="AI751" s="36"/>
      <c r="AJ751" s="36"/>
      <c r="AK751" s="36"/>
      <c r="AT751" s="45"/>
      <c r="AU751" s="45"/>
      <c r="AV751" s="45"/>
      <c r="AW751" s="45"/>
      <c r="AX751" s="45"/>
      <c r="AY751" s="45"/>
      <c r="AZ751" s="45"/>
      <c r="BA751" s="45"/>
      <c r="CM751" s="46"/>
      <c r="CO751" s="70"/>
    </row>
    <row r="752" spans="13:93" ht="15">
      <c r="M752" s="45"/>
      <c r="N752" s="45"/>
      <c r="O752" s="45"/>
      <c r="P752" s="45"/>
      <c r="AD752" s="36"/>
      <c r="AE752" s="36"/>
      <c r="AF752" s="36"/>
      <c r="AG752" s="36"/>
      <c r="AH752" s="36"/>
      <c r="AI752" s="36"/>
      <c r="AJ752" s="36"/>
      <c r="AK752" s="36"/>
      <c r="AT752" s="45"/>
      <c r="AU752" s="45"/>
      <c r="AV752" s="45"/>
      <c r="AW752" s="45"/>
      <c r="AX752" s="45"/>
      <c r="AY752" s="45"/>
      <c r="AZ752" s="45"/>
      <c r="BA752" s="45"/>
      <c r="CM752" s="46"/>
      <c r="CO752" s="70"/>
    </row>
    <row r="753" spans="13:93" ht="15">
      <c r="M753" s="45"/>
      <c r="N753" s="45"/>
      <c r="O753" s="45"/>
      <c r="P753" s="45"/>
      <c r="AD753" s="36"/>
      <c r="AE753" s="36"/>
      <c r="AF753" s="36"/>
      <c r="AG753" s="36"/>
      <c r="AH753" s="36"/>
      <c r="AI753" s="36"/>
      <c r="AJ753" s="36"/>
      <c r="AK753" s="36"/>
      <c r="AT753" s="45"/>
      <c r="AU753" s="45"/>
      <c r="AV753" s="45"/>
      <c r="AW753" s="45"/>
      <c r="AX753" s="45"/>
      <c r="AY753" s="45"/>
      <c r="AZ753" s="45"/>
      <c r="BA753" s="45"/>
      <c r="CM753" s="46"/>
      <c r="CO753" s="70"/>
    </row>
    <row r="754" spans="13:93" ht="15">
      <c r="M754" s="45"/>
      <c r="N754" s="45"/>
      <c r="O754" s="45"/>
      <c r="P754" s="45"/>
      <c r="AD754" s="36"/>
      <c r="AE754" s="36"/>
      <c r="AF754" s="36"/>
      <c r="AG754" s="36"/>
      <c r="AH754" s="36"/>
      <c r="AI754" s="36"/>
      <c r="AJ754" s="36"/>
      <c r="AK754" s="36"/>
      <c r="AT754" s="45"/>
      <c r="AU754" s="45"/>
      <c r="AV754" s="45"/>
      <c r="AW754" s="45"/>
      <c r="AX754" s="45"/>
      <c r="AY754" s="45"/>
      <c r="AZ754" s="45"/>
      <c r="BA754" s="45"/>
      <c r="CM754" s="46"/>
      <c r="CO754" s="70"/>
    </row>
    <row r="755" spans="13:93" ht="15">
      <c r="M755" s="45"/>
      <c r="N755" s="45"/>
      <c r="O755" s="45"/>
      <c r="P755" s="45"/>
      <c r="AD755" s="36"/>
      <c r="AE755" s="36"/>
      <c r="AF755" s="36"/>
      <c r="AG755" s="36"/>
      <c r="AH755" s="36"/>
      <c r="AI755" s="36"/>
      <c r="AJ755" s="36"/>
      <c r="AK755" s="36"/>
      <c r="AT755" s="45"/>
      <c r="AU755" s="45"/>
      <c r="AV755" s="45"/>
      <c r="AW755" s="45"/>
      <c r="AX755" s="45"/>
      <c r="AY755" s="45"/>
      <c r="AZ755" s="45"/>
      <c r="BA755" s="45"/>
      <c r="CM755" s="46"/>
      <c r="CO755" s="70"/>
    </row>
    <row r="756" spans="13:93" ht="15">
      <c r="M756" s="45"/>
      <c r="N756" s="45"/>
      <c r="O756" s="45"/>
      <c r="P756" s="45"/>
      <c r="AD756" s="36"/>
      <c r="AE756" s="36"/>
      <c r="AF756" s="36"/>
      <c r="AG756" s="36"/>
      <c r="AH756" s="36"/>
      <c r="AI756" s="36"/>
      <c r="AJ756" s="36"/>
      <c r="AK756" s="36"/>
      <c r="AT756" s="45"/>
      <c r="AU756" s="45"/>
      <c r="AV756" s="45"/>
      <c r="AW756" s="45"/>
      <c r="AX756" s="45"/>
      <c r="AY756" s="45"/>
      <c r="AZ756" s="45"/>
      <c r="BA756" s="45"/>
      <c r="CM756" s="46"/>
      <c r="CO756" s="70"/>
    </row>
    <row r="757" spans="13:93" ht="15">
      <c r="M757" s="45"/>
      <c r="N757" s="45"/>
      <c r="O757" s="45"/>
      <c r="P757" s="45"/>
      <c r="AD757" s="36"/>
      <c r="AE757" s="36"/>
      <c r="AF757" s="36"/>
      <c r="AG757" s="36"/>
      <c r="AH757" s="36"/>
      <c r="AI757" s="36"/>
      <c r="AJ757" s="36"/>
      <c r="AK757" s="36"/>
      <c r="AT757" s="45"/>
      <c r="AU757" s="45"/>
      <c r="AV757" s="45"/>
      <c r="AW757" s="45"/>
      <c r="AX757" s="45"/>
      <c r="AY757" s="45"/>
      <c r="AZ757" s="45"/>
      <c r="BA757" s="45"/>
      <c r="CM757" s="46"/>
      <c r="CO757" s="70"/>
    </row>
    <row r="758" spans="13:93" ht="15">
      <c r="M758" s="45"/>
      <c r="N758" s="45"/>
      <c r="O758" s="45"/>
      <c r="P758" s="45"/>
      <c r="AD758" s="36"/>
      <c r="AE758" s="36"/>
      <c r="AF758" s="36"/>
      <c r="AG758" s="36"/>
      <c r="AH758" s="36"/>
      <c r="AI758" s="36"/>
      <c r="AJ758" s="36"/>
      <c r="AK758" s="36"/>
      <c r="AT758" s="45"/>
      <c r="AU758" s="45"/>
      <c r="AV758" s="45"/>
      <c r="AW758" s="45"/>
      <c r="AX758" s="45"/>
      <c r="AY758" s="45"/>
      <c r="AZ758" s="45"/>
      <c r="BA758" s="45"/>
      <c r="CM758" s="46"/>
      <c r="CO758" s="70"/>
    </row>
    <row r="759" spans="13:93" ht="15">
      <c r="M759" s="45"/>
      <c r="N759" s="45"/>
      <c r="O759" s="45"/>
      <c r="P759" s="45"/>
      <c r="AD759" s="36"/>
      <c r="AE759" s="36"/>
      <c r="AF759" s="36"/>
      <c r="AG759" s="36"/>
      <c r="AH759" s="36"/>
      <c r="AI759" s="36"/>
      <c r="AJ759" s="36"/>
      <c r="AK759" s="36"/>
      <c r="AT759" s="45"/>
      <c r="AU759" s="45"/>
      <c r="AV759" s="45"/>
      <c r="AW759" s="45"/>
      <c r="AX759" s="45"/>
      <c r="AY759" s="45"/>
      <c r="AZ759" s="45"/>
      <c r="BA759" s="45"/>
      <c r="CM759" s="46"/>
      <c r="CO759" s="70"/>
    </row>
    <row r="760" spans="13:93" ht="15">
      <c r="M760" s="45"/>
      <c r="N760" s="45"/>
      <c r="O760" s="45"/>
      <c r="P760" s="45"/>
      <c r="AD760" s="36"/>
      <c r="AE760" s="36"/>
      <c r="AF760" s="36"/>
      <c r="AG760" s="36"/>
      <c r="AH760" s="36"/>
      <c r="AI760" s="36"/>
      <c r="AJ760" s="36"/>
      <c r="AK760" s="36"/>
      <c r="AT760" s="45"/>
      <c r="AU760" s="45"/>
      <c r="AV760" s="45"/>
      <c r="AW760" s="45"/>
      <c r="AX760" s="45"/>
      <c r="AY760" s="45"/>
      <c r="AZ760" s="45"/>
      <c r="BA760" s="45"/>
      <c r="CM760" s="46"/>
      <c r="CO760" s="70"/>
    </row>
    <row r="761" spans="13:93" ht="15">
      <c r="M761" s="45"/>
      <c r="N761" s="45"/>
      <c r="O761" s="45"/>
      <c r="P761" s="45"/>
      <c r="AD761" s="36"/>
      <c r="AE761" s="36"/>
      <c r="AF761" s="36"/>
      <c r="AG761" s="36"/>
      <c r="AH761" s="36"/>
      <c r="AI761" s="36"/>
      <c r="AJ761" s="36"/>
      <c r="AK761" s="36"/>
      <c r="AT761" s="45"/>
      <c r="AU761" s="45"/>
      <c r="AV761" s="45"/>
      <c r="AW761" s="45"/>
      <c r="AX761" s="45"/>
      <c r="AY761" s="45"/>
      <c r="AZ761" s="45"/>
      <c r="BA761" s="45"/>
      <c r="CM761" s="46"/>
      <c r="CO761" s="70"/>
    </row>
    <row r="762" spans="13:93" ht="15">
      <c r="M762" s="45"/>
      <c r="N762" s="45"/>
      <c r="O762" s="45"/>
      <c r="P762" s="45"/>
      <c r="AD762" s="36"/>
      <c r="AE762" s="36"/>
      <c r="AF762" s="36"/>
      <c r="AG762" s="36"/>
      <c r="AH762" s="36"/>
      <c r="AI762" s="36"/>
      <c r="AJ762" s="36"/>
      <c r="AK762" s="36"/>
      <c r="AT762" s="45"/>
      <c r="AU762" s="45"/>
      <c r="AV762" s="45"/>
      <c r="AW762" s="45"/>
      <c r="AX762" s="45"/>
      <c r="AY762" s="45"/>
      <c r="AZ762" s="45"/>
      <c r="BA762" s="45"/>
      <c r="CM762" s="46"/>
      <c r="CO762" s="70"/>
    </row>
    <row r="763" spans="13:93" ht="15">
      <c r="M763" s="45"/>
      <c r="N763" s="45"/>
      <c r="O763" s="45"/>
      <c r="P763" s="45"/>
      <c r="AD763" s="36"/>
      <c r="AE763" s="36"/>
      <c r="AF763" s="36"/>
      <c r="AG763" s="36"/>
      <c r="AH763" s="36"/>
      <c r="AI763" s="36"/>
      <c r="AJ763" s="36"/>
      <c r="AK763" s="36"/>
      <c r="AT763" s="45"/>
      <c r="AU763" s="45"/>
      <c r="AV763" s="45"/>
      <c r="AW763" s="45"/>
      <c r="AX763" s="45"/>
      <c r="AY763" s="45"/>
      <c r="AZ763" s="45"/>
      <c r="BA763" s="45"/>
      <c r="CM763" s="46"/>
      <c r="CO763" s="70"/>
    </row>
    <row r="764" spans="13:93" ht="15">
      <c r="M764" s="45"/>
      <c r="N764" s="45"/>
      <c r="O764" s="45"/>
      <c r="P764" s="45"/>
      <c r="AD764" s="36"/>
      <c r="AE764" s="36"/>
      <c r="AF764" s="36"/>
      <c r="AG764" s="36"/>
      <c r="AH764" s="36"/>
      <c r="AI764" s="36"/>
      <c r="AJ764" s="36"/>
      <c r="AK764" s="36"/>
      <c r="AT764" s="45"/>
      <c r="AU764" s="45"/>
      <c r="AV764" s="45"/>
      <c r="AW764" s="45"/>
      <c r="AX764" s="45"/>
      <c r="AY764" s="45"/>
      <c r="AZ764" s="45"/>
      <c r="BA764" s="45"/>
      <c r="CM764" s="46"/>
      <c r="CO764" s="70"/>
    </row>
    <row r="765" spans="13:93" ht="15">
      <c r="M765" s="45"/>
      <c r="N765" s="45"/>
      <c r="O765" s="45"/>
      <c r="P765" s="45"/>
      <c r="AD765" s="36"/>
      <c r="AE765" s="36"/>
      <c r="AF765" s="36"/>
      <c r="AG765" s="36"/>
      <c r="AH765" s="36"/>
      <c r="AI765" s="36"/>
      <c r="AJ765" s="36"/>
      <c r="AK765" s="36"/>
      <c r="AT765" s="45"/>
      <c r="AU765" s="45"/>
      <c r="AV765" s="45"/>
      <c r="AW765" s="45"/>
      <c r="AX765" s="45"/>
      <c r="AY765" s="45"/>
      <c r="AZ765" s="45"/>
      <c r="BA765" s="45"/>
      <c r="CM765" s="46"/>
      <c r="CO765" s="70"/>
    </row>
    <row r="766" spans="13:93" ht="15">
      <c r="M766" s="45"/>
      <c r="N766" s="45"/>
      <c r="O766" s="45"/>
      <c r="P766" s="45"/>
      <c r="AD766" s="36"/>
      <c r="AE766" s="36"/>
      <c r="AF766" s="36"/>
      <c r="AG766" s="36"/>
      <c r="AH766" s="36"/>
      <c r="AI766" s="36"/>
      <c r="AJ766" s="36"/>
      <c r="AK766" s="36"/>
      <c r="AT766" s="45"/>
      <c r="AU766" s="45"/>
      <c r="AV766" s="45"/>
      <c r="AW766" s="45"/>
      <c r="AX766" s="45"/>
      <c r="AY766" s="45"/>
      <c r="AZ766" s="45"/>
      <c r="BA766" s="45"/>
      <c r="CM766" s="46"/>
      <c r="CO766" s="70"/>
    </row>
    <row r="767" spans="13:93" ht="15">
      <c r="M767" s="45"/>
      <c r="N767" s="45"/>
      <c r="O767" s="45"/>
      <c r="P767" s="45"/>
      <c r="AD767" s="36"/>
      <c r="AE767" s="36"/>
      <c r="AF767" s="36"/>
      <c r="AG767" s="36"/>
      <c r="AH767" s="36"/>
      <c r="AI767" s="36"/>
      <c r="AJ767" s="36"/>
      <c r="AK767" s="36"/>
      <c r="AT767" s="45"/>
      <c r="AU767" s="45"/>
      <c r="AV767" s="45"/>
      <c r="AW767" s="45"/>
      <c r="AX767" s="45"/>
      <c r="AY767" s="45"/>
      <c r="AZ767" s="45"/>
      <c r="BA767" s="45"/>
      <c r="CM767" s="46"/>
      <c r="CO767" s="70"/>
    </row>
    <row r="768" spans="13:93" ht="15">
      <c r="M768" s="45"/>
      <c r="N768" s="45"/>
      <c r="O768" s="45"/>
      <c r="P768" s="45"/>
      <c r="AD768" s="36"/>
      <c r="AE768" s="36"/>
      <c r="AF768" s="36"/>
      <c r="AG768" s="36"/>
      <c r="AH768" s="36"/>
      <c r="AI768" s="36"/>
      <c r="AJ768" s="36"/>
      <c r="AK768" s="36"/>
      <c r="AT768" s="45"/>
      <c r="AU768" s="45"/>
      <c r="AV768" s="45"/>
      <c r="AW768" s="45"/>
      <c r="AX768" s="45"/>
      <c r="AY768" s="45"/>
      <c r="AZ768" s="45"/>
      <c r="BA768" s="45"/>
      <c r="CM768" s="46"/>
      <c r="CO768" s="70"/>
    </row>
    <row r="769" spans="13:93" ht="15">
      <c r="M769" s="45"/>
      <c r="N769" s="45"/>
      <c r="O769" s="45"/>
      <c r="P769" s="45"/>
      <c r="AD769" s="36"/>
      <c r="AE769" s="36"/>
      <c r="AF769" s="36"/>
      <c r="AG769" s="36"/>
      <c r="AH769" s="36"/>
      <c r="AI769" s="36"/>
      <c r="AJ769" s="36"/>
      <c r="AK769" s="36"/>
      <c r="AT769" s="45"/>
      <c r="AU769" s="45"/>
      <c r="AV769" s="45"/>
      <c r="AW769" s="45"/>
      <c r="AX769" s="45"/>
      <c r="AY769" s="45"/>
      <c r="AZ769" s="45"/>
      <c r="BA769" s="45"/>
      <c r="CM769" s="46"/>
      <c r="CO769" s="70"/>
    </row>
    <row r="770" spans="13:93" ht="15">
      <c r="M770" s="45"/>
      <c r="N770" s="45"/>
      <c r="O770" s="45"/>
      <c r="P770" s="45"/>
      <c r="AD770" s="36"/>
      <c r="AE770" s="36"/>
      <c r="AF770" s="36"/>
      <c r="AG770" s="36"/>
      <c r="AH770" s="36"/>
      <c r="AI770" s="36"/>
      <c r="AJ770" s="36"/>
      <c r="AK770" s="36"/>
      <c r="AT770" s="45"/>
      <c r="AU770" s="45"/>
      <c r="AV770" s="45"/>
      <c r="AW770" s="45"/>
      <c r="AX770" s="45"/>
      <c r="AY770" s="45"/>
      <c r="AZ770" s="45"/>
      <c r="BA770" s="45"/>
      <c r="CM770" s="46"/>
      <c r="CO770" s="70"/>
    </row>
    <row r="771" spans="13:93" ht="15">
      <c r="M771" s="45"/>
      <c r="N771" s="45"/>
      <c r="O771" s="45"/>
      <c r="P771" s="45"/>
      <c r="AD771" s="36"/>
      <c r="AE771" s="36"/>
      <c r="AF771" s="36"/>
      <c r="AG771" s="36"/>
      <c r="AH771" s="36"/>
      <c r="AI771" s="36"/>
      <c r="AJ771" s="36"/>
      <c r="AK771" s="36"/>
      <c r="AT771" s="45"/>
      <c r="AU771" s="45"/>
      <c r="AV771" s="45"/>
      <c r="AW771" s="45"/>
      <c r="AX771" s="45"/>
      <c r="AY771" s="45"/>
      <c r="AZ771" s="45"/>
      <c r="BA771" s="45"/>
      <c r="CM771" s="46"/>
      <c r="CO771" s="70"/>
    </row>
    <row r="772" spans="13:93" ht="15">
      <c r="M772" s="45"/>
      <c r="N772" s="45"/>
      <c r="O772" s="45"/>
      <c r="P772" s="45"/>
      <c r="AD772" s="36"/>
      <c r="AE772" s="36"/>
      <c r="AF772" s="36"/>
      <c r="AG772" s="36"/>
      <c r="AH772" s="36"/>
      <c r="AI772" s="36"/>
      <c r="AJ772" s="36"/>
      <c r="AK772" s="36"/>
      <c r="AT772" s="45"/>
      <c r="AU772" s="45"/>
      <c r="AV772" s="45"/>
      <c r="AW772" s="45"/>
      <c r="AX772" s="45"/>
      <c r="AY772" s="45"/>
      <c r="AZ772" s="45"/>
      <c r="BA772" s="45"/>
      <c r="CM772" s="46"/>
      <c r="CO772" s="70"/>
    </row>
    <row r="773" spans="13:93" ht="15">
      <c r="M773" s="45"/>
      <c r="N773" s="45"/>
      <c r="O773" s="45"/>
      <c r="P773" s="45"/>
      <c r="AD773" s="36"/>
      <c r="AE773" s="36"/>
      <c r="AF773" s="36"/>
      <c r="AG773" s="36"/>
      <c r="AH773" s="36"/>
      <c r="AI773" s="36"/>
      <c r="AJ773" s="36"/>
      <c r="AK773" s="36"/>
      <c r="AT773" s="45"/>
      <c r="AU773" s="45"/>
      <c r="AV773" s="45"/>
      <c r="AW773" s="45"/>
      <c r="AX773" s="45"/>
      <c r="AY773" s="45"/>
      <c r="AZ773" s="45"/>
      <c r="BA773" s="45"/>
      <c r="CM773" s="46"/>
      <c r="CO773" s="70"/>
    </row>
    <row r="774" spans="13:93" ht="15">
      <c r="M774" s="45"/>
      <c r="N774" s="45"/>
      <c r="O774" s="45"/>
      <c r="P774" s="45"/>
      <c r="AD774" s="36"/>
      <c r="AE774" s="36"/>
      <c r="AF774" s="36"/>
      <c r="AG774" s="36"/>
      <c r="AH774" s="36"/>
      <c r="AI774" s="36"/>
      <c r="AJ774" s="36"/>
      <c r="AK774" s="36"/>
      <c r="AT774" s="45"/>
      <c r="AU774" s="45"/>
      <c r="AV774" s="45"/>
      <c r="AW774" s="45"/>
      <c r="AX774" s="45"/>
      <c r="AY774" s="45"/>
      <c r="AZ774" s="45"/>
      <c r="BA774" s="45"/>
      <c r="CM774" s="46"/>
      <c r="CO774" s="70"/>
    </row>
    <row r="775" spans="13:93" ht="15">
      <c r="M775" s="45"/>
      <c r="N775" s="45"/>
      <c r="O775" s="45"/>
      <c r="P775" s="45"/>
      <c r="AD775" s="36"/>
      <c r="AE775" s="36"/>
      <c r="AF775" s="36"/>
      <c r="AG775" s="36"/>
      <c r="AH775" s="36"/>
      <c r="AI775" s="36"/>
      <c r="AJ775" s="36"/>
      <c r="AK775" s="36"/>
      <c r="AT775" s="45"/>
      <c r="AU775" s="45"/>
      <c r="AV775" s="45"/>
      <c r="AW775" s="45"/>
      <c r="AX775" s="45"/>
      <c r="AY775" s="45"/>
      <c r="AZ775" s="45"/>
      <c r="BA775" s="45"/>
      <c r="CM775" s="46"/>
      <c r="CO775" s="70"/>
    </row>
    <row r="776" spans="13:93" ht="15">
      <c r="M776" s="45"/>
      <c r="N776" s="45"/>
      <c r="O776" s="45"/>
      <c r="P776" s="45"/>
      <c r="AD776" s="36"/>
      <c r="AE776" s="36"/>
      <c r="AF776" s="36"/>
      <c r="AG776" s="36"/>
      <c r="AH776" s="36"/>
      <c r="AI776" s="36"/>
      <c r="AJ776" s="36"/>
      <c r="AK776" s="36"/>
      <c r="AT776" s="45"/>
      <c r="AU776" s="45"/>
      <c r="AV776" s="45"/>
      <c r="AW776" s="45"/>
      <c r="AX776" s="45"/>
      <c r="AY776" s="45"/>
      <c r="AZ776" s="45"/>
      <c r="BA776" s="45"/>
      <c r="CM776" s="46"/>
      <c r="CO776" s="70"/>
    </row>
    <row r="777" spans="13:93" ht="15">
      <c r="M777" s="45"/>
      <c r="N777" s="45"/>
      <c r="O777" s="45"/>
      <c r="P777" s="45"/>
      <c r="AD777" s="36"/>
      <c r="AE777" s="36"/>
      <c r="AF777" s="36"/>
      <c r="AG777" s="36"/>
      <c r="AH777" s="36"/>
      <c r="AI777" s="36"/>
      <c r="AJ777" s="36"/>
      <c r="AK777" s="36"/>
      <c r="AT777" s="45"/>
      <c r="AU777" s="45"/>
      <c r="AV777" s="45"/>
      <c r="AW777" s="45"/>
      <c r="AX777" s="45"/>
      <c r="AY777" s="45"/>
      <c r="AZ777" s="45"/>
      <c r="BA777" s="45"/>
      <c r="CM777" s="46"/>
      <c r="CO777" s="70"/>
    </row>
    <row r="778" spans="13:93" ht="15">
      <c r="M778" s="45"/>
      <c r="N778" s="45"/>
      <c r="O778" s="45"/>
      <c r="P778" s="45"/>
      <c r="AD778" s="36"/>
      <c r="AE778" s="36"/>
      <c r="AF778" s="36"/>
      <c r="AG778" s="36"/>
      <c r="AH778" s="36"/>
      <c r="AI778" s="36"/>
      <c r="AJ778" s="36"/>
      <c r="AK778" s="36"/>
      <c r="AT778" s="45"/>
      <c r="AU778" s="45"/>
      <c r="AV778" s="45"/>
      <c r="AW778" s="45"/>
      <c r="AX778" s="45"/>
      <c r="AY778" s="45"/>
      <c r="AZ778" s="45"/>
      <c r="BA778" s="45"/>
      <c r="CM778" s="46"/>
      <c r="CO778" s="70"/>
    </row>
    <row r="779" spans="13:93" ht="15">
      <c r="M779" s="45"/>
      <c r="N779" s="45"/>
      <c r="O779" s="45"/>
      <c r="P779" s="45"/>
      <c r="AD779" s="36"/>
      <c r="AE779" s="36"/>
      <c r="AF779" s="36"/>
      <c r="AG779" s="36"/>
      <c r="AH779" s="36"/>
      <c r="AI779" s="36"/>
      <c r="AJ779" s="36"/>
      <c r="AK779" s="36"/>
      <c r="AT779" s="45"/>
      <c r="AU779" s="45"/>
      <c r="AV779" s="45"/>
      <c r="AW779" s="45"/>
      <c r="AX779" s="45"/>
      <c r="AY779" s="45"/>
      <c r="AZ779" s="45"/>
      <c r="BA779" s="45"/>
      <c r="CM779" s="46"/>
      <c r="CO779" s="70"/>
    </row>
    <row r="780" spans="13:93" ht="15">
      <c r="M780" s="45"/>
      <c r="N780" s="45"/>
      <c r="O780" s="45"/>
      <c r="P780" s="45"/>
      <c r="AD780" s="36"/>
      <c r="AE780" s="36"/>
      <c r="AF780" s="36"/>
      <c r="AG780" s="36"/>
      <c r="AH780" s="36"/>
      <c r="AI780" s="36"/>
      <c r="AJ780" s="36"/>
      <c r="AK780" s="36"/>
      <c r="AT780" s="45"/>
      <c r="AU780" s="45"/>
      <c r="AV780" s="45"/>
      <c r="AW780" s="45"/>
      <c r="AX780" s="45"/>
      <c r="AY780" s="45"/>
      <c r="AZ780" s="45"/>
      <c r="BA780" s="45"/>
      <c r="CM780" s="46"/>
      <c r="CO780" s="70"/>
    </row>
    <row r="781" spans="13:93" ht="15">
      <c r="M781" s="45"/>
      <c r="N781" s="45"/>
      <c r="O781" s="45"/>
      <c r="P781" s="45"/>
      <c r="AD781" s="36"/>
      <c r="AE781" s="36"/>
      <c r="AF781" s="36"/>
      <c r="AG781" s="36"/>
      <c r="AH781" s="36"/>
      <c r="AI781" s="36"/>
      <c r="AJ781" s="36"/>
      <c r="AK781" s="36"/>
      <c r="AT781" s="45"/>
      <c r="AU781" s="45"/>
      <c r="AV781" s="45"/>
      <c r="AW781" s="45"/>
      <c r="AX781" s="45"/>
      <c r="AY781" s="45"/>
      <c r="AZ781" s="45"/>
      <c r="BA781" s="45"/>
      <c r="CM781" s="46"/>
      <c r="CO781" s="70"/>
    </row>
    <row r="782" spans="13:93" ht="15">
      <c r="M782" s="45"/>
      <c r="N782" s="45"/>
      <c r="O782" s="45"/>
      <c r="P782" s="45"/>
      <c r="AD782" s="36"/>
      <c r="AE782" s="36"/>
      <c r="AF782" s="36"/>
      <c r="AG782" s="36"/>
      <c r="AH782" s="36"/>
      <c r="AI782" s="36"/>
      <c r="AJ782" s="36"/>
      <c r="AK782" s="36"/>
      <c r="AT782" s="45"/>
      <c r="AU782" s="45"/>
      <c r="AV782" s="45"/>
      <c r="AW782" s="45"/>
      <c r="AX782" s="45"/>
      <c r="AY782" s="45"/>
      <c r="AZ782" s="45"/>
      <c r="BA782" s="45"/>
      <c r="CM782" s="46"/>
      <c r="CO782" s="70"/>
    </row>
    <row r="783" spans="13:93" ht="15">
      <c r="M783" s="45"/>
      <c r="N783" s="45"/>
      <c r="O783" s="45"/>
      <c r="P783" s="45"/>
      <c r="AD783" s="36"/>
      <c r="AE783" s="36"/>
      <c r="AF783" s="36"/>
      <c r="AG783" s="36"/>
      <c r="AH783" s="36"/>
      <c r="AI783" s="36"/>
      <c r="AJ783" s="36"/>
      <c r="AK783" s="36"/>
      <c r="AT783" s="45"/>
      <c r="AU783" s="45"/>
      <c r="AV783" s="45"/>
      <c r="AW783" s="45"/>
      <c r="AX783" s="45"/>
      <c r="AY783" s="45"/>
      <c r="AZ783" s="45"/>
      <c r="BA783" s="45"/>
      <c r="CM783" s="46"/>
      <c r="CO783" s="70"/>
    </row>
    <row r="784" spans="13:93" ht="15">
      <c r="M784" s="45"/>
      <c r="N784" s="45"/>
      <c r="O784" s="45"/>
      <c r="P784" s="45"/>
      <c r="AD784" s="36"/>
      <c r="AE784" s="36"/>
      <c r="AF784" s="36"/>
      <c r="AG784" s="36"/>
      <c r="AH784" s="36"/>
      <c r="AI784" s="36"/>
      <c r="AJ784" s="36"/>
      <c r="AK784" s="36"/>
      <c r="AT784" s="45"/>
      <c r="AU784" s="45"/>
      <c r="AV784" s="45"/>
      <c r="AW784" s="45"/>
      <c r="AX784" s="45"/>
      <c r="AY784" s="45"/>
      <c r="AZ784" s="45"/>
      <c r="BA784" s="45"/>
      <c r="CM784" s="46"/>
      <c r="CO784" s="70"/>
    </row>
    <row r="785" spans="13:93" ht="15">
      <c r="M785" s="45"/>
      <c r="N785" s="45"/>
      <c r="O785" s="45"/>
      <c r="P785" s="45"/>
      <c r="AD785" s="36"/>
      <c r="AE785" s="36"/>
      <c r="AF785" s="36"/>
      <c r="AG785" s="36"/>
      <c r="AH785" s="36"/>
      <c r="AI785" s="36"/>
      <c r="AJ785" s="36"/>
      <c r="AK785" s="36"/>
      <c r="AT785" s="45"/>
      <c r="AU785" s="45"/>
      <c r="AV785" s="45"/>
      <c r="AW785" s="45"/>
      <c r="AX785" s="45"/>
      <c r="AY785" s="45"/>
      <c r="AZ785" s="45"/>
      <c r="BA785" s="45"/>
      <c r="CM785" s="46"/>
      <c r="CO785" s="70"/>
    </row>
    <row r="786" spans="13:93" ht="15">
      <c r="M786" s="45"/>
      <c r="N786" s="45"/>
      <c r="O786" s="45"/>
      <c r="P786" s="45"/>
      <c r="AD786" s="36"/>
      <c r="AE786" s="36"/>
      <c r="AF786" s="36"/>
      <c r="AG786" s="36"/>
      <c r="AH786" s="36"/>
      <c r="AI786" s="36"/>
      <c r="AJ786" s="36"/>
      <c r="AK786" s="36"/>
      <c r="AT786" s="45"/>
      <c r="AU786" s="45"/>
      <c r="AV786" s="45"/>
      <c r="AW786" s="45"/>
      <c r="AX786" s="45"/>
      <c r="AY786" s="45"/>
      <c r="AZ786" s="45"/>
      <c r="BA786" s="45"/>
      <c r="CM786" s="46"/>
      <c r="CO786" s="70"/>
    </row>
    <row r="787" spans="13:93" ht="15">
      <c r="M787" s="45"/>
      <c r="N787" s="45"/>
      <c r="O787" s="45"/>
      <c r="P787" s="45"/>
      <c r="AD787" s="36"/>
      <c r="AE787" s="36"/>
      <c r="AF787" s="36"/>
      <c r="AG787" s="36"/>
      <c r="AH787" s="36"/>
      <c r="AI787" s="36"/>
      <c r="AJ787" s="36"/>
      <c r="AK787" s="36"/>
      <c r="AT787" s="45"/>
      <c r="AU787" s="45"/>
      <c r="AV787" s="45"/>
      <c r="AW787" s="45"/>
      <c r="AX787" s="45"/>
      <c r="AY787" s="45"/>
      <c r="AZ787" s="45"/>
      <c r="BA787" s="45"/>
      <c r="CM787" s="46"/>
      <c r="CO787" s="70"/>
    </row>
    <row r="788" spans="13:93" ht="15">
      <c r="M788" s="45"/>
      <c r="N788" s="45"/>
      <c r="O788" s="45"/>
      <c r="P788" s="45"/>
      <c r="AD788" s="36"/>
      <c r="AE788" s="36"/>
      <c r="AF788" s="36"/>
      <c r="AG788" s="36"/>
      <c r="AH788" s="36"/>
      <c r="AI788" s="36"/>
      <c r="AJ788" s="36"/>
      <c r="AK788" s="36"/>
      <c r="AT788" s="45"/>
      <c r="AU788" s="45"/>
      <c r="AV788" s="45"/>
      <c r="AW788" s="45"/>
      <c r="AX788" s="45"/>
      <c r="AY788" s="45"/>
      <c r="AZ788" s="45"/>
      <c r="BA788" s="45"/>
      <c r="CM788" s="46"/>
      <c r="CO788" s="70"/>
    </row>
    <row r="789" spans="13:93" ht="15">
      <c r="M789" s="45"/>
      <c r="N789" s="45"/>
      <c r="O789" s="45"/>
      <c r="P789" s="45"/>
      <c r="AD789" s="36"/>
      <c r="AE789" s="36"/>
      <c r="AF789" s="36"/>
      <c r="AG789" s="36"/>
      <c r="AH789" s="36"/>
      <c r="AI789" s="36"/>
      <c r="AJ789" s="36"/>
      <c r="AK789" s="36"/>
      <c r="AT789" s="45"/>
      <c r="AU789" s="45"/>
      <c r="AV789" s="45"/>
      <c r="AW789" s="45"/>
      <c r="AX789" s="45"/>
      <c r="AY789" s="45"/>
      <c r="AZ789" s="45"/>
      <c r="BA789" s="45"/>
      <c r="CM789" s="46"/>
      <c r="CO789" s="70"/>
    </row>
    <row r="790" spans="13:93" ht="15">
      <c r="M790" s="45"/>
      <c r="N790" s="45"/>
      <c r="O790" s="45"/>
      <c r="P790" s="45"/>
      <c r="AD790" s="36"/>
      <c r="AE790" s="36"/>
      <c r="AF790" s="36"/>
      <c r="AG790" s="36"/>
      <c r="AH790" s="36"/>
      <c r="AI790" s="36"/>
      <c r="AJ790" s="36"/>
      <c r="AK790" s="36"/>
      <c r="AT790" s="45"/>
      <c r="AU790" s="45"/>
      <c r="AV790" s="45"/>
      <c r="AW790" s="45"/>
      <c r="AX790" s="45"/>
      <c r="AY790" s="45"/>
      <c r="AZ790" s="45"/>
      <c r="BA790" s="45"/>
      <c r="CM790" s="46"/>
      <c r="CO790" s="70"/>
    </row>
    <row r="791" spans="13:93" ht="15">
      <c r="M791" s="45"/>
      <c r="N791" s="45"/>
      <c r="O791" s="45"/>
      <c r="P791" s="45"/>
      <c r="AD791" s="36"/>
      <c r="AE791" s="36"/>
      <c r="AF791" s="36"/>
      <c r="AG791" s="36"/>
      <c r="AH791" s="36"/>
      <c r="AI791" s="36"/>
      <c r="AJ791" s="36"/>
      <c r="AK791" s="36"/>
      <c r="AT791" s="45"/>
      <c r="AU791" s="45"/>
      <c r="AV791" s="45"/>
      <c r="AW791" s="45"/>
      <c r="AX791" s="45"/>
      <c r="AY791" s="45"/>
      <c r="AZ791" s="45"/>
      <c r="BA791" s="45"/>
      <c r="CM791" s="46"/>
      <c r="CO791" s="70"/>
    </row>
    <row r="792" spans="13:93" ht="15">
      <c r="M792" s="45"/>
      <c r="N792" s="45"/>
      <c r="O792" s="45"/>
      <c r="P792" s="45"/>
      <c r="AD792" s="36"/>
      <c r="AE792" s="36"/>
      <c r="AF792" s="36"/>
      <c r="AG792" s="36"/>
      <c r="AH792" s="36"/>
      <c r="AI792" s="36"/>
      <c r="AJ792" s="36"/>
      <c r="AK792" s="36"/>
      <c r="AT792" s="45"/>
      <c r="AU792" s="45"/>
      <c r="AV792" s="45"/>
      <c r="AW792" s="45"/>
      <c r="AX792" s="45"/>
      <c r="AY792" s="45"/>
      <c r="AZ792" s="45"/>
      <c r="BA792" s="45"/>
      <c r="CM792" s="46"/>
      <c r="CO792" s="70"/>
    </row>
    <row r="793" spans="13:93" ht="15">
      <c r="M793" s="45"/>
      <c r="N793" s="45"/>
      <c r="O793" s="45"/>
      <c r="P793" s="45"/>
      <c r="AD793" s="36"/>
      <c r="AE793" s="36"/>
      <c r="AF793" s="36"/>
      <c r="AG793" s="36"/>
      <c r="AH793" s="36"/>
      <c r="AI793" s="36"/>
      <c r="AJ793" s="36"/>
      <c r="AK793" s="36"/>
      <c r="AT793" s="45"/>
      <c r="AU793" s="45"/>
      <c r="AV793" s="45"/>
      <c r="AW793" s="45"/>
      <c r="AX793" s="45"/>
      <c r="AY793" s="45"/>
      <c r="AZ793" s="45"/>
      <c r="BA793" s="45"/>
      <c r="CM793" s="46"/>
      <c r="CO793" s="70"/>
    </row>
    <row r="794" spans="13:93" ht="15">
      <c r="M794" s="45"/>
      <c r="N794" s="45"/>
      <c r="O794" s="45"/>
      <c r="P794" s="45"/>
      <c r="AD794" s="36"/>
      <c r="AE794" s="36"/>
      <c r="AF794" s="36"/>
      <c r="AG794" s="36"/>
      <c r="AH794" s="36"/>
      <c r="AI794" s="36"/>
      <c r="AJ794" s="36"/>
      <c r="AK794" s="36"/>
      <c r="AT794" s="45"/>
      <c r="AU794" s="45"/>
      <c r="AV794" s="45"/>
      <c r="AW794" s="45"/>
      <c r="AX794" s="45"/>
      <c r="AY794" s="45"/>
      <c r="AZ794" s="45"/>
      <c r="BA794" s="45"/>
      <c r="CM794" s="46"/>
      <c r="CO794" s="70"/>
    </row>
    <row r="795" spans="13:93" ht="15">
      <c r="M795" s="45"/>
      <c r="N795" s="45"/>
      <c r="O795" s="45"/>
      <c r="P795" s="45"/>
      <c r="AD795" s="36"/>
      <c r="AE795" s="36"/>
      <c r="AF795" s="36"/>
      <c r="AG795" s="36"/>
      <c r="AH795" s="36"/>
      <c r="AI795" s="36"/>
      <c r="AJ795" s="36"/>
      <c r="AK795" s="36"/>
      <c r="AT795" s="45"/>
      <c r="AU795" s="45"/>
      <c r="AV795" s="45"/>
      <c r="AW795" s="45"/>
      <c r="AX795" s="45"/>
      <c r="AY795" s="45"/>
      <c r="AZ795" s="45"/>
      <c r="BA795" s="45"/>
      <c r="CM795" s="46"/>
      <c r="CO795" s="70"/>
    </row>
    <row r="796" spans="13:93" ht="15">
      <c r="M796" s="45"/>
      <c r="N796" s="45"/>
      <c r="O796" s="45"/>
      <c r="P796" s="45"/>
      <c r="AD796" s="36"/>
      <c r="AE796" s="36"/>
      <c r="AF796" s="36"/>
      <c r="AG796" s="36"/>
      <c r="AH796" s="36"/>
      <c r="AI796" s="36"/>
      <c r="AJ796" s="36"/>
      <c r="AK796" s="36"/>
      <c r="AT796" s="45"/>
      <c r="AU796" s="45"/>
      <c r="AV796" s="45"/>
      <c r="AW796" s="45"/>
      <c r="AX796" s="45"/>
      <c r="AY796" s="45"/>
      <c r="AZ796" s="45"/>
      <c r="BA796" s="45"/>
      <c r="CM796" s="46"/>
      <c r="CO796" s="70"/>
    </row>
    <row r="797" spans="13:93" ht="15">
      <c r="M797" s="45"/>
      <c r="N797" s="45"/>
      <c r="O797" s="45"/>
      <c r="P797" s="45"/>
      <c r="AD797" s="36"/>
      <c r="AE797" s="36"/>
      <c r="AF797" s="36"/>
      <c r="AG797" s="36"/>
      <c r="AH797" s="36"/>
      <c r="AI797" s="36"/>
      <c r="AJ797" s="36"/>
      <c r="AK797" s="36"/>
      <c r="AT797" s="45"/>
      <c r="AU797" s="45"/>
      <c r="AV797" s="45"/>
      <c r="AW797" s="45"/>
      <c r="AX797" s="45"/>
      <c r="AY797" s="45"/>
      <c r="AZ797" s="45"/>
      <c r="BA797" s="45"/>
      <c r="CM797" s="46"/>
      <c r="CO797" s="70"/>
    </row>
    <row r="798" spans="13:93" ht="15">
      <c r="M798" s="45"/>
      <c r="N798" s="45"/>
      <c r="O798" s="45"/>
      <c r="P798" s="45"/>
      <c r="AD798" s="36"/>
      <c r="AE798" s="36"/>
      <c r="AF798" s="36"/>
      <c r="AG798" s="36"/>
      <c r="AH798" s="36"/>
      <c r="AI798" s="36"/>
      <c r="AJ798" s="36"/>
      <c r="AK798" s="36"/>
      <c r="AT798" s="45"/>
      <c r="AU798" s="45"/>
      <c r="AV798" s="45"/>
      <c r="AW798" s="45"/>
      <c r="AX798" s="45"/>
      <c r="AY798" s="45"/>
      <c r="AZ798" s="45"/>
      <c r="BA798" s="45"/>
      <c r="CM798" s="46"/>
      <c r="CO798" s="70"/>
    </row>
    <row r="799" spans="13:93" ht="15">
      <c r="M799" s="45"/>
      <c r="N799" s="45"/>
      <c r="O799" s="45"/>
      <c r="P799" s="45"/>
      <c r="AD799" s="36"/>
      <c r="AE799" s="36"/>
      <c r="AF799" s="36"/>
      <c r="AG799" s="36"/>
      <c r="AH799" s="36"/>
      <c r="AI799" s="36"/>
      <c r="AJ799" s="36"/>
      <c r="AK799" s="36"/>
      <c r="AT799" s="45"/>
      <c r="AU799" s="45"/>
      <c r="AV799" s="45"/>
      <c r="AW799" s="45"/>
      <c r="AX799" s="45"/>
      <c r="AY799" s="45"/>
      <c r="AZ799" s="45"/>
      <c r="BA799" s="45"/>
      <c r="CM799" s="46"/>
      <c r="CO799" s="70"/>
    </row>
    <row r="800" spans="13:93" ht="15">
      <c r="M800" s="45"/>
      <c r="N800" s="45"/>
      <c r="O800" s="45"/>
      <c r="P800" s="45"/>
      <c r="AD800" s="36"/>
      <c r="AE800" s="36"/>
      <c r="AF800" s="36"/>
      <c r="AG800" s="36"/>
      <c r="AH800" s="36"/>
      <c r="AI800" s="36"/>
      <c r="AJ800" s="36"/>
      <c r="AK800" s="36"/>
      <c r="AT800" s="45"/>
      <c r="AU800" s="45"/>
      <c r="AV800" s="45"/>
      <c r="AW800" s="45"/>
      <c r="AX800" s="45"/>
      <c r="AY800" s="45"/>
      <c r="AZ800" s="45"/>
      <c r="BA800" s="45"/>
      <c r="CM800" s="46"/>
      <c r="CO800" s="70"/>
    </row>
    <row r="801" spans="13:93" ht="15">
      <c r="M801" s="45"/>
      <c r="N801" s="45"/>
      <c r="O801" s="45"/>
      <c r="P801" s="45"/>
      <c r="AD801" s="36"/>
      <c r="AE801" s="36"/>
      <c r="AF801" s="36"/>
      <c r="AG801" s="36"/>
      <c r="AH801" s="36"/>
      <c r="AI801" s="36"/>
      <c r="AJ801" s="36"/>
      <c r="AK801" s="36"/>
      <c r="AT801" s="45"/>
      <c r="AU801" s="45"/>
      <c r="AV801" s="45"/>
      <c r="AW801" s="45"/>
      <c r="AX801" s="45"/>
      <c r="AY801" s="45"/>
      <c r="AZ801" s="45"/>
      <c r="BA801" s="45"/>
      <c r="CM801" s="46"/>
      <c r="CO801" s="70"/>
    </row>
    <row r="802" spans="13:93" ht="15">
      <c r="M802" s="45"/>
      <c r="N802" s="45"/>
      <c r="O802" s="45"/>
      <c r="P802" s="45"/>
      <c r="AD802" s="36"/>
      <c r="AE802" s="36"/>
      <c r="AF802" s="36"/>
      <c r="AG802" s="36"/>
      <c r="AH802" s="36"/>
      <c r="AI802" s="36"/>
      <c r="AJ802" s="36"/>
      <c r="AK802" s="36"/>
      <c r="AT802" s="45"/>
      <c r="AU802" s="45"/>
      <c r="AV802" s="45"/>
      <c r="AW802" s="45"/>
      <c r="AX802" s="45"/>
      <c r="AY802" s="45"/>
      <c r="AZ802" s="45"/>
      <c r="BA802" s="45"/>
      <c r="CM802" s="46"/>
      <c r="CO802" s="70"/>
    </row>
    <row r="803" spans="13:93" ht="15">
      <c r="M803" s="45"/>
      <c r="N803" s="45"/>
      <c r="O803" s="45"/>
      <c r="P803" s="45"/>
      <c r="AD803" s="36"/>
      <c r="AE803" s="36"/>
      <c r="AF803" s="36"/>
      <c r="AG803" s="36"/>
      <c r="AH803" s="36"/>
      <c r="AI803" s="36"/>
      <c r="AJ803" s="36"/>
      <c r="AK803" s="36"/>
      <c r="AT803" s="45"/>
      <c r="AU803" s="45"/>
      <c r="AV803" s="45"/>
      <c r="AW803" s="45"/>
      <c r="AX803" s="45"/>
      <c r="AY803" s="45"/>
      <c r="AZ803" s="45"/>
      <c r="BA803" s="45"/>
      <c r="CM803" s="46"/>
      <c r="CO803" s="70"/>
    </row>
    <row r="804" spans="13:93" ht="15">
      <c r="M804" s="45"/>
      <c r="N804" s="45"/>
      <c r="O804" s="45"/>
      <c r="P804" s="45"/>
      <c r="AD804" s="36"/>
      <c r="AE804" s="36"/>
      <c r="AF804" s="36"/>
      <c r="AG804" s="36"/>
      <c r="AH804" s="36"/>
      <c r="AI804" s="36"/>
      <c r="AJ804" s="36"/>
      <c r="AK804" s="36"/>
      <c r="AT804" s="45"/>
      <c r="AU804" s="45"/>
      <c r="AV804" s="45"/>
      <c r="AW804" s="45"/>
      <c r="AX804" s="45"/>
      <c r="AY804" s="45"/>
      <c r="AZ804" s="45"/>
      <c r="BA804" s="45"/>
      <c r="CM804" s="46"/>
      <c r="CO804" s="70"/>
    </row>
    <row r="805" spans="13:93" ht="15">
      <c r="M805" s="45"/>
      <c r="N805" s="45"/>
      <c r="O805" s="45"/>
      <c r="P805" s="45"/>
      <c r="AD805" s="36"/>
      <c r="AE805" s="36"/>
      <c r="AF805" s="36"/>
      <c r="AG805" s="36"/>
      <c r="AH805" s="36"/>
      <c r="AI805" s="36"/>
      <c r="AJ805" s="36"/>
      <c r="AK805" s="36"/>
      <c r="AT805" s="45"/>
      <c r="AU805" s="45"/>
      <c r="AV805" s="45"/>
      <c r="AW805" s="45"/>
      <c r="AX805" s="45"/>
      <c r="AY805" s="45"/>
      <c r="AZ805" s="45"/>
      <c r="BA805" s="45"/>
      <c r="CM805" s="46"/>
      <c r="CO805" s="70"/>
    </row>
    <row r="806" spans="13:93" ht="15">
      <c r="M806" s="45"/>
      <c r="N806" s="45"/>
      <c r="O806" s="45"/>
      <c r="P806" s="45"/>
      <c r="AD806" s="36"/>
      <c r="AE806" s="36"/>
      <c r="AF806" s="36"/>
      <c r="AG806" s="36"/>
      <c r="AH806" s="36"/>
      <c r="AI806" s="36"/>
      <c r="AJ806" s="36"/>
      <c r="AK806" s="36"/>
      <c r="AT806" s="45"/>
      <c r="AU806" s="45"/>
      <c r="AV806" s="45"/>
      <c r="AW806" s="45"/>
      <c r="AX806" s="45"/>
      <c r="AY806" s="45"/>
      <c r="AZ806" s="45"/>
      <c r="BA806" s="45"/>
      <c r="CM806" s="46"/>
      <c r="CO806" s="70"/>
    </row>
    <row r="807" spans="13:93" ht="15">
      <c r="M807" s="45"/>
      <c r="N807" s="45"/>
      <c r="O807" s="45"/>
      <c r="P807" s="45"/>
      <c r="AD807" s="36"/>
      <c r="AE807" s="36"/>
      <c r="AF807" s="36"/>
      <c r="AG807" s="36"/>
      <c r="AH807" s="36"/>
      <c r="AI807" s="36"/>
      <c r="AJ807" s="36"/>
      <c r="AK807" s="36"/>
      <c r="AT807" s="45"/>
      <c r="AU807" s="45"/>
      <c r="AV807" s="45"/>
      <c r="AW807" s="45"/>
      <c r="AX807" s="45"/>
      <c r="AY807" s="45"/>
      <c r="AZ807" s="45"/>
      <c r="BA807" s="45"/>
      <c r="CM807" s="46"/>
      <c r="CO807" s="70"/>
    </row>
    <row r="808" spans="13:93" ht="15">
      <c r="M808" s="45"/>
      <c r="N808" s="45"/>
      <c r="O808" s="45"/>
      <c r="P808" s="45"/>
      <c r="AD808" s="36"/>
      <c r="AE808" s="36"/>
      <c r="AF808" s="36"/>
      <c r="AG808" s="36"/>
      <c r="AH808" s="36"/>
      <c r="AI808" s="36"/>
      <c r="AJ808" s="36"/>
      <c r="AK808" s="36"/>
      <c r="AT808" s="45"/>
      <c r="AU808" s="45"/>
      <c r="AV808" s="45"/>
      <c r="AW808" s="45"/>
      <c r="AX808" s="45"/>
      <c r="AY808" s="45"/>
      <c r="AZ808" s="45"/>
      <c r="BA808" s="45"/>
      <c r="CM808" s="46"/>
      <c r="CO808" s="70"/>
    </row>
    <row r="809" spans="13:93" ht="15">
      <c r="M809" s="45"/>
      <c r="N809" s="45"/>
      <c r="O809" s="45"/>
      <c r="P809" s="45"/>
      <c r="AD809" s="36"/>
      <c r="AE809" s="36"/>
      <c r="AF809" s="36"/>
      <c r="AG809" s="36"/>
      <c r="AH809" s="36"/>
      <c r="AI809" s="36"/>
      <c r="AJ809" s="36"/>
      <c r="AK809" s="36"/>
      <c r="AT809" s="45"/>
      <c r="AU809" s="45"/>
      <c r="AV809" s="45"/>
      <c r="AW809" s="45"/>
      <c r="AX809" s="45"/>
      <c r="AY809" s="45"/>
      <c r="AZ809" s="45"/>
      <c r="BA809" s="45"/>
      <c r="CM809" s="46"/>
      <c r="CO809" s="70"/>
    </row>
    <row r="810" spans="13:93" ht="15">
      <c r="M810" s="45"/>
      <c r="N810" s="45"/>
      <c r="O810" s="45"/>
      <c r="P810" s="45"/>
      <c r="AD810" s="36"/>
      <c r="AE810" s="36"/>
      <c r="AF810" s="36"/>
      <c r="AG810" s="36"/>
      <c r="AH810" s="36"/>
      <c r="AI810" s="36"/>
      <c r="AJ810" s="36"/>
      <c r="AK810" s="36"/>
      <c r="AT810" s="45"/>
      <c r="AU810" s="45"/>
      <c r="AV810" s="45"/>
      <c r="AW810" s="45"/>
      <c r="AX810" s="45"/>
      <c r="AY810" s="45"/>
      <c r="AZ810" s="45"/>
      <c r="BA810" s="45"/>
      <c r="CM810" s="46"/>
      <c r="CO810" s="70"/>
    </row>
    <row r="811" spans="13:93" ht="15">
      <c r="M811" s="45"/>
      <c r="N811" s="45"/>
      <c r="O811" s="45"/>
      <c r="P811" s="45"/>
      <c r="AD811" s="36"/>
      <c r="AE811" s="36"/>
      <c r="AF811" s="36"/>
      <c r="AG811" s="36"/>
      <c r="AH811" s="36"/>
      <c r="AI811" s="36"/>
      <c r="AJ811" s="36"/>
      <c r="AK811" s="36"/>
      <c r="AT811" s="45"/>
      <c r="AU811" s="45"/>
      <c r="AV811" s="45"/>
      <c r="AW811" s="45"/>
      <c r="AX811" s="45"/>
      <c r="AY811" s="45"/>
      <c r="AZ811" s="45"/>
      <c r="BA811" s="45"/>
      <c r="CM811" s="46"/>
      <c r="CO811" s="70"/>
    </row>
    <row r="812" spans="13:93" ht="15">
      <c r="M812" s="45"/>
      <c r="N812" s="45"/>
      <c r="O812" s="45"/>
      <c r="P812" s="45"/>
      <c r="AD812" s="36"/>
      <c r="AE812" s="36"/>
      <c r="AF812" s="36"/>
      <c r="AG812" s="36"/>
      <c r="AH812" s="36"/>
      <c r="AI812" s="36"/>
      <c r="AJ812" s="36"/>
      <c r="AK812" s="36"/>
      <c r="AT812" s="45"/>
      <c r="AU812" s="45"/>
      <c r="AV812" s="45"/>
      <c r="AW812" s="45"/>
      <c r="AX812" s="45"/>
      <c r="AY812" s="45"/>
      <c r="AZ812" s="45"/>
      <c r="BA812" s="45"/>
      <c r="CM812" s="46"/>
      <c r="CO812" s="70"/>
    </row>
    <row r="813" spans="13:93" ht="15">
      <c r="M813" s="45"/>
      <c r="N813" s="45"/>
      <c r="O813" s="45"/>
      <c r="P813" s="45"/>
      <c r="AD813" s="36"/>
      <c r="AE813" s="36"/>
      <c r="AF813" s="36"/>
      <c r="AG813" s="36"/>
      <c r="AH813" s="36"/>
      <c r="AI813" s="36"/>
      <c r="AJ813" s="36"/>
      <c r="AK813" s="36"/>
      <c r="AT813" s="45"/>
      <c r="AU813" s="45"/>
      <c r="AV813" s="45"/>
      <c r="AW813" s="45"/>
      <c r="AX813" s="45"/>
      <c r="AY813" s="45"/>
      <c r="AZ813" s="45"/>
      <c r="BA813" s="45"/>
      <c r="CM813" s="46"/>
      <c r="CO813" s="70"/>
    </row>
    <row r="814" spans="13:93" ht="15">
      <c r="M814" s="45"/>
      <c r="N814" s="45"/>
      <c r="O814" s="45"/>
      <c r="P814" s="45"/>
      <c r="AD814" s="36"/>
      <c r="AE814" s="36"/>
      <c r="AF814" s="36"/>
      <c r="AG814" s="36"/>
      <c r="AH814" s="36"/>
      <c r="AI814" s="36"/>
      <c r="AJ814" s="36"/>
      <c r="AK814" s="36"/>
      <c r="AT814" s="45"/>
      <c r="AU814" s="45"/>
      <c r="AV814" s="45"/>
      <c r="AW814" s="45"/>
      <c r="AX814" s="45"/>
      <c r="AY814" s="45"/>
      <c r="AZ814" s="45"/>
      <c r="BA814" s="45"/>
      <c r="CM814" s="46"/>
      <c r="CO814" s="70"/>
    </row>
    <row r="815" spans="13:93" ht="15">
      <c r="M815" s="45"/>
      <c r="N815" s="45"/>
      <c r="O815" s="45"/>
      <c r="P815" s="45"/>
      <c r="AD815" s="36"/>
      <c r="AE815" s="36"/>
      <c r="AF815" s="36"/>
      <c r="AG815" s="36"/>
      <c r="AH815" s="36"/>
      <c r="AI815" s="36"/>
      <c r="AJ815" s="36"/>
      <c r="AK815" s="36"/>
      <c r="AT815" s="45"/>
      <c r="AU815" s="45"/>
      <c r="AV815" s="45"/>
      <c r="AW815" s="45"/>
      <c r="AX815" s="45"/>
      <c r="AY815" s="45"/>
      <c r="AZ815" s="45"/>
      <c r="BA815" s="45"/>
      <c r="CM815" s="46"/>
      <c r="CO815" s="70"/>
    </row>
    <row r="816" spans="13:93" ht="15">
      <c r="M816" s="45"/>
      <c r="N816" s="45"/>
      <c r="O816" s="45"/>
      <c r="P816" s="45"/>
      <c r="AD816" s="36"/>
      <c r="AE816" s="36"/>
      <c r="AF816" s="36"/>
      <c r="AG816" s="36"/>
      <c r="AH816" s="36"/>
      <c r="AI816" s="36"/>
      <c r="AJ816" s="36"/>
      <c r="AK816" s="36"/>
      <c r="AT816" s="45"/>
      <c r="AU816" s="45"/>
      <c r="AV816" s="45"/>
      <c r="AW816" s="45"/>
      <c r="AX816" s="45"/>
      <c r="AY816" s="45"/>
      <c r="AZ816" s="45"/>
      <c r="BA816" s="45"/>
      <c r="CM816" s="46"/>
      <c r="CO816" s="70"/>
    </row>
    <row r="817" spans="13:93" ht="15">
      <c r="M817" s="45"/>
      <c r="N817" s="45"/>
      <c r="O817" s="45"/>
      <c r="P817" s="45"/>
      <c r="AD817" s="36"/>
      <c r="AE817" s="36"/>
      <c r="AF817" s="36"/>
      <c r="AG817" s="36"/>
      <c r="AH817" s="36"/>
      <c r="AI817" s="36"/>
      <c r="AJ817" s="36"/>
      <c r="AK817" s="36"/>
      <c r="AT817" s="45"/>
      <c r="AU817" s="45"/>
      <c r="AV817" s="45"/>
      <c r="AW817" s="45"/>
      <c r="AX817" s="45"/>
      <c r="AY817" s="45"/>
      <c r="AZ817" s="45"/>
      <c r="BA817" s="45"/>
      <c r="CM817" s="46"/>
      <c r="CO817" s="70"/>
    </row>
    <row r="818" spans="13:93" ht="15">
      <c r="M818" s="45"/>
      <c r="N818" s="45"/>
      <c r="O818" s="45"/>
      <c r="P818" s="45"/>
      <c r="AD818" s="36"/>
      <c r="AE818" s="36"/>
      <c r="AF818" s="36"/>
      <c r="AG818" s="36"/>
      <c r="AH818" s="36"/>
      <c r="AI818" s="36"/>
      <c r="AJ818" s="36"/>
      <c r="AK818" s="36"/>
      <c r="AT818" s="45"/>
      <c r="AU818" s="45"/>
      <c r="AV818" s="45"/>
      <c r="AW818" s="45"/>
      <c r="AX818" s="45"/>
      <c r="AY818" s="45"/>
      <c r="AZ818" s="45"/>
      <c r="BA818" s="45"/>
      <c r="CM818" s="46"/>
      <c r="CO818" s="70"/>
    </row>
    <row r="819" spans="13:93" ht="15">
      <c r="M819" s="45"/>
      <c r="N819" s="45"/>
      <c r="O819" s="45"/>
      <c r="P819" s="45"/>
      <c r="AD819" s="36"/>
      <c r="AE819" s="36"/>
      <c r="AF819" s="36"/>
      <c r="AG819" s="36"/>
      <c r="AH819" s="36"/>
      <c r="AI819" s="36"/>
      <c r="AJ819" s="36"/>
      <c r="AK819" s="36"/>
      <c r="AT819" s="45"/>
      <c r="AU819" s="45"/>
      <c r="AV819" s="45"/>
      <c r="AW819" s="45"/>
      <c r="AX819" s="45"/>
      <c r="AY819" s="45"/>
      <c r="AZ819" s="45"/>
      <c r="BA819" s="45"/>
      <c r="CM819" s="46"/>
      <c r="CO819" s="70"/>
    </row>
    <row r="820" spans="13:93" ht="15">
      <c r="M820" s="45"/>
      <c r="N820" s="45"/>
      <c r="O820" s="45"/>
      <c r="P820" s="45"/>
      <c r="AD820" s="36"/>
      <c r="AE820" s="36"/>
      <c r="AF820" s="36"/>
      <c r="AG820" s="36"/>
      <c r="AH820" s="36"/>
      <c r="AI820" s="36"/>
      <c r="AJ820" s="36"/>
      <c r="AK820" s="36"/>
      <c r="AT820" s="45"/>
      <c r="AU820" s="45"/>
      <c r="AV820" s="45"/>
      <c r="AW820" s="45"/>
      <c r="AX820" s="45"/>
      <c r="AY820" s="45"/>
      <c r="AZ820" s="45"/>
      <c r="BA820" s="45"/>
      <c r="CM820" s="46"/>
      <c r="CO820" s="70"/>
    </row>
    <row r="821" spans="13:93" ht="15">
      <c r="M821" s="45"/>
      <c r="N821" s="45"/>
      <c r="O821" s="45"/>
      <c r="P821" s="45"/>
      <c r="AD821" s="36"/>
      <c r="AE821" s="36"/>
      <c r="AF821" s="36"/>
      <c r="AG821" s="36"/>
      <c r="AH821" s="36"/>
      <c r="AI821" s="36"/>
      <c r="AJ821" s="36"/>
      <c r="AK821" s="36"/>
      <c r="AT821" s="45"/>
      <c r="AU821" s="45"/>
      <c r="AV821" s="45"/>
      <c r="AW821" s="45"/>
      <c r="AX821" s="45"/>
      <c r="AY821" s="45"/>
      <c r="AZ821" s="45"/>
      <c r="BA821" s="45"/>
      <c r="CM821" s="46"/>
      <c r="CO821" s="70"/>
    </row>
    <row r="822" spans="13:93" ht="15">
      <c r="M822" s="45"/>
      <c r="N822" s="45"/>
      <c r="O822" s="45"/>
      <c r="P822" s="45"/>
      <c r="AD822" s="36"/>
      <c r="AE822" s="36"/>
      <c r="AF822" s="36"/>
      <c r="AG822" s="36"/>
      <c r="AH822" s="36"/>
      <c r="AI822" s="36"/>
      <c r="AJ822" s="36"/>
      <c r="AK822" s="36"/>
      <c r="AT822" s="45"/>
      <c r="AU822" s="45"/>
      <c r="AV822" s="45"/>
      <c r="AW822" s="45"/>
      <c r="AX822" s="45"/>
      <c r="AY822" s="45"/>
      <c r="AZ822" s="45"/>
      <c r="BA822" s="45"/>
      <c r="CM822" s="46"/>
      <c r="CO822" s="70"/>
    </row>
    <row r="823" spans="13:93" ht="15">
      <c r="M823" s="45"/>
      <c r="N823" s="45"/>
      <c r="O823" s="45"/>
      <c r="P823" s="45"/>
      <c r="AD823" s="36"/>
      <c r="AE823" s="36"/>
      <c r="AF823" s="36"/>
      <c r="AG823" s="36"/>
      <c r="AH823" s="36"/>
      <c r="AI823" s="36"/>
      <c r="AJ823" s="36"/>
      <c r="AK823" s="36"/>
      <c r="AT823" s="45"/>
      <c r="AU823" s="45"/>
      <c r="AV823" s="45"/>
      <c r="AW823" s="45"/>
      <c r="AX823" s="45"/>
      <c r="AY823" s="45"/>
      <c r="AZ823" s="45"/>
      <c r="BA823" s="45"/>
      <c r="CM823" s="46"/>
      <c r="CO823" s="70"/>
    </row>
    <row r="824" spans="13:93" ht="15">
      <c r="M824" s="45"/>
      <c r="N824" s="45"/>
      <c r="O824" s="45"/>
      <c r="P824" s="45"/>
      <c r="AD824" s="36"/>
      <c r="AE824" s="36"/>
      <c r="AF824" s="36"/>
      <c r="AG824" s="36"/>
      <c r="AH824" s="36"/>
      <c r="AI824" s="36"/>
      <c r="AJ824" s="36"/>
      <c r="AK824" s="36"/>
      <c r="AT824" s="45"/>
      <c r="AU824" s="45"/>
      <c r="AV824" s="45"/>
      <c r="AW824" s="45"/>
      <c r="AX824" s="45"/>
      <c r="AY824" s="45"/>
      <c r="AZ824" s="45"/>
      <c r="BA824" s="45"/>
      <c r="CM824" s="46"/>
      <c r="CO824" s="70"/>
    </row>
    <row r="825" spans="13:93" ht="15">
      <c r="M825" s="45"/>
      <c r="N825" s="45"/>
      <c r="O825" s="45"/>
      <c r="P825" s="45"/>
      <c r="AD825" s="36"/>
      <c r="AE825" s="36"/>
      <c r="AF825" s="36"/>
      <c r="AG825" s="36"/>
      <c r="AH825" s="36"/>
      <c r="AI825" s="36"/>
      <c r="AJ825" s="36"/>
      <c r="AK825" s="36"/>
      <c r="AT825" s="45"/>
      <c r="AU825" s="45"/>
      <c r="AV825" s="45"/>
      <c r="AW825" s="45"/>
      <c r="AX825" s="45"/>
      <c r="AY825" s="45"/>
      <c r="AZ825" s="45"/>
      <c r="BA825" s="45"/>
      <c r="CM825" s="46"/>
      <c r="CO825" s="70"/>
    </row>
    <row r="826" spans="13:93" ht="15">
      <c r="M826" s="45"/>
      <c r="N826" s="45"/>
      <c r="O826" s="45"/>
      <c r="P826" s="45"/>
      <c r="AD826" s="36"/>
      <c r="AE826" s="36"/>
      <c r="AF826" s="36"/>
      <c r="AG826" s="36"/>
      <c r="AH826" s="36"/>
      <c r="AI826" s="36"/>
      <c r="AJ826" s="36"/>
      <c r="AK826" s="36"/>
      <c r="AT826" s="45"/>
      <c r="AU826" s="45"/>
      <c r="AV826" s="45"/>
      <c r="AW826" s="45"/>
      <c r="AX826" s="45"/>
      <c r="AY826" s="45"/>
      <c r="AZ826" s="45"/>
      <c r="BA826" s="45"/>
      <c r="CM826" s="46"/>
      <c r="CO826" s="70"/>
    </row>
    <row r="827" spans="13:93" ht="15">
      <c r="M827" s="45"/>
      <c r="N827" s="45"/>
      <c r="O827" s="45"/>
      <c r="P827" s="45"/>
      <c r="AD827" s="36"/>
      <c r="AE827" s="36"/>
      <c r="AF827" s="36"/>
      <c r="AG827" s="36"/>
      <c r="AH827" s="36"/>
      <c r="AI827" s="36"/>
      <c r="AJ827" s="36"/>
      <c r="AK827" s="36"/>
      <c r="AT827" s="45"/>
      <c r="AU827" s="45"/>
      <c r="AV827" s="45"/>
      <c r="AW827" s="45"/>
      <c r="AX827" s="45"/>
      <c r="AY827" s="45"/>
      <c r="AZ827" s="45"/>
      <c r="BA827" s="45"/>
      <c r="CM827" s="46"/>
      <c r="CO827" s="70"/>
    </row>
    <row r="828" spans="13:93" ht="15">
      <c r="M828" s="45"/>
      <c r="N828" s="45"/>
      <c r="O828" s="45"/>
      <c r="P828" s="45"/>
      <c r="AD828" s="36"/>
      <c r="AE828" s="36"/>
      <c r="AF828" s="36"/>
      <c r="AG828" s="36"/>
      <c r="AH828" s="36"/>
      <c r="AI828" s="36"/>
      <c r="AJ828" s="36"/>
      <c r="AK828" s="36"/>
      <c r="AT828" s="45"/>
      <c r="AU828" s="45"/>
      <c r="AV828" s="45"/>
      <c r="AW828" s="45"/>
      <c r="AX828" s="45"/>
      <c r="AY828" s="45"/>
      <c r="AZ828" s="45"/>
      <c r="BA828" s="45"/>
      <c r="CM828" s="46"/>
      <c r="CO828" s="70"/>
    </row>
    <row r="829" spans="13:93" ht="15">
      <c r="M829" s="45"/>
      <c r="N829" s="45"/>
      <c r="O829" s="45"/>
      <c r="P829" s="45"/>
      <c r="AD829" s="36"/>
      <c r="AE829" s="36"/>
      <c r="AF829" s="36"/>
      <c r="AG829" s="36"/>
      <c r="AH829" s="36"/>
      <c r="AI829" s="36"/>
      <c r="AJ829" s="36"/>
      <c r="AK829" s="36"/>
      <c r="AT829" s="45"/>
      <c r="AU829" s="45"/>
      <c r="AV829" s="45"/>
      <c r="AW829" s="45"/>
      <c r="AX829" s="45"/>
      <c r="AY829" s="45"/>
      <c r="AZ829" s="45"/>
      <c r="BA829" s="45"/>
      <c r="CM829" s="46"/>
      <c r="CO829" s="70"/>
    </row>
    <row r="830" spans="13:93" ht="15">
      <c r="M830" s="45"/>
      <c r="N830" s="45"/>
      <c r="O830" s="45"/>
      <c r="P830" s="45"/>
      <c r="AD830" s="36"/>
      <c r="AE830" s="36"/>
      <c r="AF830" s="36"/>
      <c r="AG830" s="36"/>
      <c r="AH830" s="36"/>
      <c r="AI830" s="36"/>
      <c r="AJ830" s="36"/>
      <c r="AK830" s="36"/>
      <c r="AT830" s="45"/>
      <c r="AU830" s="45"/>
      <c r="AV830" s="45"/>
      <c r="AW830" s="45"/>
      <c r="AX830" s="45"/>
      <c r="AY830" s="45"/>
      <c r="AZ830" s="45"/>
      <c r="BA830" s="45"/>
      <c r="CM830" s="46"/>
      <c r="CO830" s="70"/>
    </row>
    <row r="831" spans="13:93" ht="15">
      <c r="M831" s="45"/>
      <c r="N831" s="45"/>
      <c r="O831" s="45"/>
      <c r="P831" s="45"/>
      <c r="AD831" s="36"/>
      <c r="AE831" s="36"/>
      <c r="AF831" s="36"/>
      <c r="AG831" s="36"/>
      <c r="AH831" s="36"/>
      <c r="AI831" s="36"/>
      <c r="AJ831" s="36"/>
      <c r="AK831" s="36"/>
      <c r="AT831" s="45"/>
      <c r="AU831" s="45"/>
      <c r="AV831" s="45"/>
      <c r="AW831" s="45"/>
      <c r="AX831" s="45"/>
      <c r="AY831" s="45"/>
      <c r="AZ831" s="45"/>
      <c r="BA831" s="45"/>
      <c r="CM831" s="46"/>
      <c r="CO831" s="70"/>
    </row>
    <row r="832" spans="13:93" ht="15">
      <c r="M832" s="45"/>
      <c r="N832" s="45"/>
      <c r="O832" s="45"/>
      <c r="P832" s="45"/>
      <c r="AD832" s="36"/>
      <c r="AE832" s="36"/>
      <c r="AF832" s="36"/>
      <c r="AG832" s="36"/>
      <c r="AH832" s="36"/>
      <c r="AI832" s="36"/>
      <c r="AJ832" s="36"/>
      <c r="AK832" s="36"/>
      <c r="AT832" s="45"/>
      <c r="AU832" s="45"/>
      <c r="AV832" s="45"/>
      <c r="AW832" s="45"/>
      <c r="AX832" s="45"/>
      <c r="AY832" s="45"/>
      <c r="AZ832" s="45"/>
      <c r="BA832" s="45"/>
      <c r="CM832" s="46"/>
      <c r="CO832" s="70"/>
    </row>
    <row r="833" spans="13:93" ht="15">
      <c r="M833" s="45"/>
      <c r="N833" s="45"/>
      <c r="O833" s="45"/>
      <c r="P833" s="45"/>
      <c r="AD833" s="36"/>
      <c r="AE833" s="36"/>
      <c r="AF833" s="36"/>
      <c r="AG833" s="36"/>
      <c r="AH833" s="36"/>
      <c r="AI833" s="36"/>
      <c r="AJ833" s="36"/>
      <c r="AK833" s="36"/>
      <c r="AT833" s="45"/>
      <c r="AU833" s="45"/>
      <c r="AV833" s="45"/>
      <c r="AW833" s="45"/>
      <c r="AX833" s="45"/>
      <c r="AY833" s="45"/>
      <c r="AZ833" s="45"/>
      <c r="BA833" s="45"/>
      <c r="CM833" s="46"/>
      <c r="CO833" s="70"/>
    </row>
    <row r="834" spans="13:93" ht="15">
      <c r="M834" s="45"/>
      <c r="N834" s="45"/>
      <c r="O834" s="45"/>
      <c r="P834" s="45"/>
      <c r="AD834" s="36"/>
      <c r="AE834" s="36"/>
      <c r="AF834" s="36"/>
      <c r="AG834" s="36"/>
      <c r="AH834" s="36"/>
      <c r="AI834" s="36"/>
      <c r="AJ834" s="36"/>
      <c r="AK834" s="36"/>
      <c r="AT834" s="45"/>
      <c r="AU834" s="45"/>
      <c r="AV834" s="45"/>
      <c r="AW834" s="45"/>
      <c r="AX834" s="45"/>
      <c r="AY834" s="45"/>
      <c r="AZ834" s="45"/>
      <c r="BA834" s="45"/>
      <c r="CM834" s="46"/>
      <c r="CO834" s="70"/>
    </row>
    <row r="835" spans="13:93" ht="15">
      <c r="M835" s="45"/>
      <c r="N835" s="45"/>
      <c r="O835" s="45"/>
      <c r="P835" s="45"/>
      <c r="AD835" s="36"/>
      <c r="AE835" s="36"/>
      <c r="AF835" s="36"/>
      <c r="AG835" s="36"/>
      <c r="AH835" s="36"/>
      <c r="AI835" s="36"/>
      <c r="AJ835" s="36"/>
      <c r="AK835" s="36"/>
      <c r="AT835" s="45"/>
      <c r="AU835" s="45"/>
      <c r="AV835" s="45"/>
      <c r="AW835" s="45"/>
      <c r="AX835" s="45"/>
      <c r="AY835" s="45"/>
      <c r="AZ835" s="45"/>
      <c r="BA835" s="45"/>
      <c r="CM835" s="46"/>
      <c r="CO835" s="70"/>
    </row>
    <row r="836" spans="13:93" ht="15">
      <c r="M836" s="45"/>
      <c r="N836" s="45"/>
      <c r="O836" s="45"/>
      <c r="P836" s="45"/>
      <c r="AD836" s="36"/>
      <c r="AE836" s="36"/>
      <c r="AF836" s="36"/>
      <c r="AG836" s="36"/>
      <c r="AH836" s="36"/>
      <c r="AI836" s="36"/>
      <c r="AJ836" s="36"/>
      <c r="AK836" s="36"/>
      <c r="AT836" s="45"/>
      <c r="AU836" s="45"/>
      <c r="AV836" s="45"/>
      <c r="AW836" s="45"/>
      <c r="AX836" s="45"/>
      <c r="AY836" s="45"/>
      <c r="AZ836" s="45"/>
      <c r="BA836" s="45"/>
      <c r="CM836" s="46"/>
      <c r="CO836" s="70"/>
    </row>
    <row r="837" spans="13:93" ht="15">
      <c r="M837" s="45"/>
      <c r="N837" s="45"/>
      <c r="O837" s="45"/>
      <c r="P837" s="45"/>
      <c r="AD837" s="36"/>
      <c r="AE837" s="36"/>
      <c r="AF837" s="36"/>
      <c r="AG837" s="36"/>
      <c r="AH837" s="36"/>
      <c r="AI837" s="36"/>
      <c r="AJ837" s="36"/>
      <c r="AK837" s="36"/>
      <c r="AT837" s="45"/>
      <c r="AU837" s="45"/>
      <c r="AV837" s="45"/>
      <c r="AW837" s="45"/>
      <c r="AX837" s="45"/>
      <c r="AY837" s="45"/>
      <c r="AZ837" s="45"/>
      <c r="BA837" s="45"/>
      <c r="CM837" s="46"/>
      <c r="CO837" s="70"/>
    </row>
    <row r="838" spans="13:93" ht="15">
      <c r="M838" s="45"/>
      <c r="N838" s="45"/>
      <c r="O838" s="45"/>
      <c r="P838" s="45"/>
      <c r="AD838" s="36"/>
      <c r="AE838" s="36"/>
      <c r="AF838" s="36"/>
      <c r="AG838" s="36"/>
      <c r="AH838" s="36"/>
      <c r="AI838" s="36"/>
      <c r="AJ838" s="36"/>
      <c r="AK838" s="36"/>
      <c r="AT838" s="45"/>
      <c r="AU838" s="45"/>
      <c r="AV838" s="45"/>
      <c r="AW838" s="45"/>
      <c r="AX838" s="45"/>
      <c r="AY838" s="45"/>
      <c r="AZ838" s="45"/>
      <c r="BA838" s="45"/>
      <c r="CM838" s="46"/>
      <c r="CO838" s="70"/>
    </row>
    <row r="839" spans="13:93" ht="15">
      <c r="M839" s="45"/>
      <c r="N839" s="45"/>
      <c r="O839" s="45"/>
      <c r="P839" s="45"/>
      <c r="AD839" s="36"/>
      <c r="AE839" s="36"/>
      <c r="AF839" s="36"/>
      <c r="AG839" s="36"/>
      <c r="AH839" s="36"/>
      <c r="AI839" s="36"/>
      <c r="AJ839" s="36"/>
      <c r="AK839" s="36"/>
      <c r="AT839" s="45"/>
      <c r="AU839" s="45"/>
      <c r="AV839" s="45"/>
      <c r="AW839" s="45"/>
      <c r="AX839" s="45"/>
      <c r="AY839" s="45"/>
      <c r="AZ839" s="45"/>
      <c r="BA839" s="45"/>
      <c r="CM839" s="46"/>
      <c r="CO839" s="70"/>
    </row>
    <row r="840" spans="13:93" ht="15">
      <c r="M840" s="45"/>
      <c r="N840" s="45"/>
      <c r="O840" s="45"/>
      <c r="P840" s="45"/>
      <c r="AD840" s="36"/>
      <c r="AE840" s="36"/>
      <c r="AF840" s="36"/>
      <c r="AG840" s="36"/>
      <c r="AH840" s="36"/>
      <c r="AI840" s="36"/>
      <c r="AJ840" s="36"/>
      <c r="AK840" s="36"/>
      <c r="AT840" s="45"/>
      <c r="AU840" s="45"/>
      <c r="AV840" s="45"/>
      <c r="AW840" s="45"/>
      <c r="AX840" s="45"/>
      <c r="AY840" s="45"/>
      <c r="AZ840" s="45"/>
      <c r="BA840" s="45"/>
      <c r="CM840" s="46"/>
      <c r="CO840" s="70"/>
    </row>
    <row r="841" spans="13:93" ht="15">
      <c r="M841" s="45"/>
      <c r="N841" s="45"/>
      <c r="O841" s="45"/>
      <c r="P841" s="45"/>
      <c r="AD841" s="36"/>
      <c r="AE841" s="36"/>
      <c r="AF841" s="36"/>
      <c r="AG841" s="36"/>
      <c r="AH841" s="36"/>
      <c r="AI841" s="36"/>
      <c r="AJ841" s="36"/>
      <c r="AK841" s="36"/>
      <c r="AT841" s="45"/>
      <c r="AU841" s="45"/>
      <c r="AV841" s="45"/>
      <c r="AW841" s="45"/>
      <c r="AX841" s="45"/>
      <c r="AY841" s="45"/>
      <c r="AZ841" s="45"/>
      <c r="BA841" s="45"/>
      <c r="CM841" s="46"/>
      <c r="CO841" s="70"/>
    </row>
    <row r="842" spans="13:93" ht="15">
      <c r="M842" s="45"/>
      <c r="N842" s="45"/>
      <c r="O842" s="45"/>
      <c r="P842" s="45"/>
      <c r="AD842" s="36"/>
      <c r="AE842" s="36"/>
      <c r="AF842" s="36"/>
      <c r="AG842" s="36"/>
      <c r="AH842" s="36"/>
      <c r="AI842" s="36"/>
      <c r="AJ842" s="36"/>
      <c r="AK842" s="36"/>
      <c r="AT842" s="45"/>
      <c r="AU842" s="45"/>
      <c r="AV842" s="45"/>
      <c r="AW842" s="45"/>
      <c r="AX842" s="45"/>
      <c r="AY842" s="45"/>
      <c r="AZ842" s="45"/>
      <c r="BA842" s="45"/>
      <c r="CM842" s="46"/>
      <c r="CO842" s="70"/>
    </row>
    <row r="843" spans="13:93" ht="15">
      <c r="M843" s="45"/>
      <c r="N843" s="45"/>
      <c r="O843" s="45"/>
      <c r="P843" s="45"/>
      <c r="AD843" s="36"/>
      <c r="AE843" s="36"/>
      <c r="AF843" s="36"/>
      <c r="AG843" s="36"/>
      <c r="AH843" s="36"/>
      <c r="AI843" s="36"/>
      <c r="AJ843" s="36"/>
      <c r="AK843" s="36"/>
      <c r="AT843" s="45"/>
      <c r="AU843" s="45"/>
      <c r="AV843" s="45"/>
      <c r="AW843" s="45"/>
      <c r="AX843" s="45"/>
      <c r="AY843" s="45"/>
      <c r="AZ843" s="45"/>
      <c r="BA843" s="45"/>
      <c r="CM843" s="46"/>
      <c r="CO843" s="70"/>
    </row>
    <row r="844" spans="13:93" ht="15">
      <c r="M844" s="45"/>
      <c r="N844" s="45"/>
      <c r="O844" s="45"/>
      <c r="P844" s="45"/>
      <c r="AD844" s="36"/>
      <c r="AE844" s="36"/>
      <c r="AF844" s="36"/>
      <c r="AG844" s="36"/>
      <c r="AH844" s="36"/>
      <c r="AI844" s="36"/>
      <c r="AJ844" s="36"/>
      <c r="AK844" s="36"/>
      <c r="AT844" s="45"/>
      <c r="AU844" s="45"/>
      <c r="AV844" s="45"/>
      <c r="AW844" s="45"/>
      <c r="AX844" s="45"/>
      <c r="AY844" s="45"/>
      <c r="AZ844" s="45"/>
      <c r="BA844" s="45"/>
      <c r="CM844" s="46"/>
      <c r="CO844" s="70"/>
    </row>
    <row r="845" spans="13:93" ht="15">
      <c r="M845" s="45"/>
      <c r="N845" s="45"/>
      <c r="O845" s="45"/>
      <c r="P845" s="45"/>
      <c r="AD845" s="36"/>
      <c r="AE845" s="36"/>
      <c r="AF845" s="36"/>
      <c r="AG845" s="36"/>
      <c r="AH845" s="36"/>
      <c r="AI845" s="36"/>
      <c r="AJ845" s="36"/>
      <c r="AK845" s="36"/>
      <c r="AT845" s="45"/>
      <c r="AU845" s="45"/>
      <c r="AV845" s="45"/>
      <c r="AW845" s="45"/>
      <c r="AX845" s="45"/>
      <c r="AY845" s="45"/>
      <c r="AZ845" s="45"/>
      <c r="BA845" s="45"/>
      <c r="CM845" s="46"/>
      <c r="CO845" s="70"/>
    </row>
    <row r="846" spans="13:93" ht="15">
      <c r="M846" s="45"/>
      <c r="N846" s="45"/>
      <c r="O846" s="45"/>
      <c r="P846" s="45"/>
      <c r="AD846" s="36"/>
      <c r="AE846" s="36"/>
      <c r="AF846" s="36"/>
      <c r="AG846" s="36"/>
      <c r="AH846" s="36"/>
      <c r="AI846" s="36"/>
      <c r="AJ846" s="36"/>
      <c r="AK846" s="36"/>
      <c r="AT846" s="45"/>
      <c r="AU846" s="45"/>
      <c r="AV846" s="45"/>
      <c r="AW846" s="45"/>
      <c r="AX846" s="45"/>
      <c r="AY846" s="45"/>
      <c r="AZ846" s="45"/>
      <c r="BA846" s="45"/>
      <c r="CM846" s="46"/>
      <c r="CO846" s="70"/>
    </row>
    <row r="847" spans="13:93" ht="15">
      <c r="M847" s="45"/>
      <c r="N847" s="45"/>
      <c r="O847" s="45"/>
      <c r="P847" s="45"/>
      <c r="AD847" s="36"/>
      <c r="AE847" s="36"/>
      <c r="AF847" s="36"/>
      <c r="AG847" s="36"/>
      <c r="AH847" s="36"/>
      <c r="AI847" s="36"/>
      <c r="AJ847" s="36"/>
      <c r="AK847" s="36"/>
      <c r="AT847" s="45"/>
      <c r="AU847" s="45"/>
      <c r="AV847" s="45"/>
      <c r="AW847" s="45"/>
      <c r="AX847" s="45"/>
      <c r="AY847" s="45"/>
      <c r="AZ847" s="45"/>
      <c r="BA847" s="45"/>
      <c r="CM847" s="46"/>
      <c r="CO847" s="70"/>
    </row>
    <row r="848" spans="13:93" ht="15">
      <c r="M848" s="45"/>
      <c r="N848" s="45"/>
      <c r="O848" s="45"/>
      <c r="P848" s="45"/>
      <c r="AD848" s="36"/>
      <c r="AE848" s="36"/>
      <c r="AF848" s="36"/>
      <c r="AG848" s="36"/>
      <c r="AH848" s="36"/>
      <c r="AI848" s="36"/>
      <c r="AJ848" s="36"/>
      <c r="AK848" s="36"/>
      <c r="AT848" s="45"/>
      <c r="AU848" s="45"/>
      <c r="AV848" s="45"/>
      <c r="AW848" s="45"/>
      <c r="AX848" s="45"/>
      <c r="AY848" s="45"/>
      <c r="AZ848" s="45"/>
      <c r="BA848" s="45"/>
      <c r="CM848" s="46"/>
      <c r="CO848" s="70"/>
    </row>
    <row r="849" spans="13:93" ht="15">
      <c r="M849" s="45"/>
      <c r="N849" s="45"/>
      <c r="O849" s="45"/>
      <c r="P849" s="45"/>
      <c r="AD849" s="36"/>
      <c r="AE849" s="36"/>
      <c r="AF849" s="36"/>
      <c r="AG849" s="36"/>
      <c r="AH849" s="36"/>
      <c r="AI849" s="36"/>
      <c r="AJ849" s="36"/>
      <c r="AK849" s="36"/>
      <c r="AT849" s="45"/>
      <c r="AU849" s="45"/>
      <c r="AV849" s="45"/>
      <c r="AW849" s="45"/>
      <c r="AX849" s="45"/>
      <c r="AY849" s="45"/>
      <c r="AZ849" s="45"/>
      <c r="BA849" s="45"/>
      <c r="CM849" s="46"/>
      <c r="CO849" s="70"/>
    </row>
    <row r="850" spans="13:93" ht="15">
      <c r="M850" s="45"/>
      <c r="N850" s="45"/>
      <c r="O850" s="45"/>
      <c r="P850" s="45"/>
      <c r="AD850" s="36"/>
      <c r="AE850" s="36"/>
      <c r="AF850" s="36"/>
      <c r="AG850" s="36"/>
      <c r="AH850" s="36"/>
      <c r="AI850" s="36"/>
      <c r="AJ850" s="36"/>
      <c r="AK850" s="36"/>
      <c r="AT850" s="45"/>
      <c r="AU850" s="45"/>
      <c r="AV850" s="45"/>
      <c r="AW850" s="45"/>
      <c r="AX850" s="45"/>
      <c r="AY850" s="45"/>
      <c r="AZ850" s="45"/>
      <c r="BA850" s="45"/>
      <c r="CM850" s="46"/>
      <c r="CO850" s="70"/>
    </row>
    <row r="851" spans="13:93" ht="15">
      <c r="M851" s="45"/>
      <c r="N851" s="45"/>
      <c r="O851" s="45"/>
      <c r="P851" s="45"/>
      <c r="AD851" s="36"/>
      <c r="AE851" s="36"/>
      <c r="AF851" s="36"/>
      <c r="AG851" s="36"/>
      <c r="AH851" s="36"/>
      <c r="AI851" s="36"/>
      <c r="AJ851" s="36"/>
      <c r="AK851" s="36"/>
      <c r="AT851" s="45"/>
      <c r="AU851" s="45"/>
      <c r="AV851" s="45"/>
      <c r="AW851" s="45"/>
      <c r="AX851" s="45"/>
      <c r="AY851" s="45"/>
      <c r="AZ851" s="45"/>
      <c r="BA851" s="45"/>
      <c r="CM851" s="46"/>
      <c r="CO851" s="70"/>
    </row>
    <row r="852" spans="13:93" ht="15">
      <c r="M852" s="45"/>
      <c r="N852" s="45"/>
      <c r="O852" s="45"/>
      <c r="P852" s="45"/>
      <c r="AD852" s="36"/>
      <c r="AE852" s="36"/>
      <c r="AF852" s="36"/>
      <c r="AG852" s="36"/>
      <c r="AH852" s="36"/>
      <c r="AI852" s="36"/>
      <c r="AJ852" s="36"/>
      <c r="AK852" s="36"/>
      <c r="AT852" s="45"/>
      <c r="AU852" s="45"/>
      <c r="AV852" s="45"/>
      <c r="AW852" s="45"/>
      <c r="AX852" s="45"/>
      <c r="AY852" s="45"/>
      <c r="AZ852" s="45"/>
      <c r="BA852" s="45"/>
      <c r="CM852" s="46"/>
      <c r="CO852" s="70"/>
    </row>
    <row r="853" spans="13:93" ht="15">
      <c r="M853" s="45"/>
      <c r="N853" s="45"/>
      <c r="O853" s="45"/>
      <c r="P853" s="45"/>
      <c r="AD853" s="36"/>
      <c r="AE853" s="36"/>
      <c r="AF853" s="36"/>
      <c r="AG853" s="36"/>
      <c r="AH853" s="36"/>
      <c r="AI853" s="36"/>
      <c r="AJ853" s="36"/>
      <c r="AK853" s="36"/>
      <c r="AT853" s="45"/>
      <c r="AU853" s="45"/>
      <c r="AV853" s="45"/>
      <c r="AW853" s="45"/>
      <c r="AX853" s="45"/>
      <c r="AY853" s="45"/>
      <c r="AZ853" s="45"/>
      <c r="BA853" s="45"/>
      <c r="CM853" s="46"/>
      <c r="CO853" s="70"/>
    </row>
    <row r="854" spans="13:93" ht="15">
      <c r="M854" s="45"/>
      <c r="N854" s="45"/>
      <c r="O854" s="45"/>
      <c r="P854" s="45"/>
      <c r="AD854" s="36"/>
      <c r="AE854" s="36"/>
      <c r="AF854" s="36"/>
      <c r="AG854" s="36"/>
      <c r="AH854" s="36"/>
      <c r="AI854" s="36"/>
      <c r="AJ854" s="36"/>
      <c r="AK854" s="36"/>
      <c r="AT854" s="45"/>
      <c r="AU854" s="45"/>
      <c r="AV854" s="45"/>
      <c r="AW854" s="45"/>
      <c r="AX854" s="45"/>
      <c r="AY854" s="45"/>
      <c r="AZ854" s="45"/>
      <c r="BA854" s="45"/>
      <c r="CM854" s="46"/>
      <c r="CO854" s="70"/>
    </row>
    <row r="855" spans="13:93" ht="15">
      <c r="M855" s="45"/>
      <c r="N855" s="45"/>
      <c r="O855" s="45"/>
      <c r="P855" s="45"/>
      <c r="AD855" s="36"/>
      <c r="AE855" s="36"/>
      <c r="AF855" s="36"/>
      <c r="AG855" s="36"/>
      <c r="AH855" s="36"/>
      <c r="AI855" s="36"/>
      <c r="AJ855" s="36"/>
      <c r="AK855" s="36"/>
      <c r="AT855" s="45"/>
      <c r="AU855" s="45"/>
      <c r="AV855" s="45"/>
      <c r="AW855" s="45"/>
      <c r="AX855" s="45"/>
      <c r="AY855" s="45"/>
      <c r="AZ855" s="45"/>
      <c r="BA855" s="45"/>
      <c r="CM855" s="46"/>
      <c r="CO855" s="70"/>
    </row>
    <row r="856" spans="13:93" ht="15">
      <c r="M856" s="45"/>
      <c r="N856" s="45"/>
      <c r="O856" s="45"/>
      <c r="P856" s="45"/>
      <c r="AD856" s="36"/>
      <c r="AE856" s="36"/>
      <c r="AF856" s="36"/>
      <c r="AG856" s="36"/>
      <c r="AH856" s="36"/>
      <c r="AI856" s="36"/>
      <c r="AJ856" s="36"/>
      <c r="AK856" s="36"/>
      <c r="AT856" s="45"/>
      <c r="AU856" s="45"/>
      <c r="AV856" s="45"/>
      <c r="AW856" s="45"/>
      <c r="AX856" s="45"/>
      <c r="AY856" s="45"/>
      <c r="AZ856" s="45"/>
      <c r="BA856" s="45"/>
      <c r="CM856" s="46"/>
      <c r="CO856" s="70"/>
    </row>
    <row r="857" spans="13:93" ht="15">
      <c r="M857" s="45"/>
      <c r="N857" s="45"/>
      <c r="O857" s="45"/>
      <c r="P857" s="45"/>
      <c r="AD857" s="36"/>
      <c r="AE857" s="36"/>
      <c r="AF857" s="36"/>
      <c r="AG857" s="36"/>
      <c r="AH857" s="36"/>
      <c r="AI857" s="36"/>
      <c r="AJ857" s="36"/>
      <c r="AK857" s="36"/>
      <c r="AT857" s="45"/>
      <c r="AU857" s="45"/>
      <c r="AV857" s="45"/>
      <c r="AW857" s="45"/>
      <c r="AX857" s="45"/>
      <c r="AY857" s="45"/>
      <c r="AZ857" s="45"/>
      <c r="BA857" s="45"/>
      <c r="CM857" s="46"/>
      <c r="CO857" s="70"/>
    </row>
    <row r="858" spans="13:93" ht="15">
      <c r="M858" s="45"/>
      <c r="N858" s="45"/>
      <c r="O858" s="45"/>
      <c r="P858" s="45"/>
      <c r="AD858" s="36"/>
      <c r="AE858" s="36"/>
      <c r="AF858" s="36"/>
      <c r="AG858" s="36"/>
      <c r="AH858" s="36"/>
      <c r="AI858" s="36"/>
      <c r="AJ858" s="36"/>
      <c r="AK858" s="36"/>
      <c r="AT858" s="45"/>
      <c r="AU858" s="45"/>
      <c r="AV858" s="45"/>
      <c r="AW858" s="45"/>
      <c r="AX858" s="45"/>
      <c r="AY858" s="45"/>
      <c r="AZ858" s="45"/>
      <c r="BA858" s="45"/>
      <c r="CM858" s="46"/>
      <c r="CO858" s="70"/>
    </row>
    <row r="859" spans="13:93" ht="15">
      <c r="M859" s="45"/>
      <c r="N859" s="45"/>
      <c r="O859" s="45"/>
      <c r="P859" s="45"/>
      <c r="AD859" s="36"/>
      <c r="AE859" s="36"/>
      <c r="AF859" s="36"/>
      <c r="AG859" s="36"/>
      <c r="AH859" s="36"/>
      <c r="AI859" s="36"/>
      <c r="AJ859" s="36"/>
      <c r="AK859" s="36"/>
      <c r="AT859" s="45"/>
      <c r="AU859" s="45"/>
      <c r="AV859" s="45"/>
      <c r="AW859" s="45"/>
      <c r="AX859" s="45"/>
      <c r="AY859" s="45"/>
      <c r="AZ859" s="45"/>
      <c r="BA859" s="45"/>
      <c r="CM859" s="46"/>
      <c r="CO859" s="70"/>
    </row>
    <row r="860" spans="13:93" ht="15">
      <c r="M860" s="45"/>
      <c r="N860" s="45"/>
      <c r="O860" s="45"/>
      <c r="P860" s="45"/>
      <c r="AD860" s="36"/>
      <c r="AE860" s="36"/>
      <c r="AF860" s="36"/>
      <c r="AG860" s="36"/>
      <c r="AH860" s="36"/>
      <c r="AI860" s="36"/>
      <c r="AJ860" s="36"/>
      <c r="AK860" s="36"/>
      <c r="AT860" s="45"/>
      <c r="AU860" s="45"/>
      <c r="AV860" s="45"/>
      <c r="AW860" s="45"/>
      <c r="AX860" s="45"/>
      <c r="AY860" s="45"/>
      <c r="AZ860" s="45"/>
      <c r="BA860" s="45"/>
      <c r="CM860" s="46"/>
      <c r="CO860" s="70"/>
    </row>
    <row r="861" spans="13:93" ht="15">
      <c r="M861" s="45"/>
      <c r="N861" s="45"/>
      <c r="O861" s="45"/>
      <c r="P861" s="45"/>
      <c r="AD861" s="36"/>
      <c r="AE861" s="36"/>
      <c r="AF861" s="36"/>
      <c r="AG861" s="36"/>
      <c r="AH861" s="36"/>
      <c r="AI861" s="36"/>
      <c r="AJ861" s="36"/>
      <c r="AK861" s="36"/>
      <c r="AT861" s="45"/>
      <c r="AU861" s="45"/>
      <c r="AV861" s="45"/>
      <c r="AW861" s="45"/>
      <c r="AX861" s="45"/>
      <c r="AY861" s="45"/>
      <c r="AZ861" s="45"/>
      <c r="BA861" s="45"/>
      <c r="CM861" s="46"/>
      <c r="CO861" s="70"/>
    </row>
    <row r="862" spans="13:93" ht="15">
      <c r="M862" s="45"/>
      <c r="N862" s="45"/>
      <c r="O862" s="45"/>
      <c r="P862" s="45"/>
      <c r="AD862" s="36"/>
      <c r="AE862" s="36"/>
      <c r="AF862" s="36"/>
      <c r="AG862" s="36"/>
      <c r="AH862" s="36"/>
      <c r="AI862" s="36"/>
      <c r="AJ862" s="36"/>
      <c r="AK862" s="36"/>
      <c r="AT862" s="45"/>
      <c r="AU862" s="45"/>
      <c r="AV862" s="45"/>
      <c r="AW862" s="45"/>
      <c r="AX862" s="45"/>
      <c r="AY862" s="45"/>
      <c r="AZ862" s="45"/>
      <c r="BA862" s="45"/>
      <c r="CM862" s="46"/>
      <c r="CO862" s="70"/>
    </row>
    <row r="863" spans="13:93" ht="15">
      <c r="M863" s="45"/>
      <c r="N863" s="45"/>
      <c r="O863" s="45"/>
      <c r="P863" s="45"/>
      <c r="AD863" s="36"/>
      <c r="AE863" s="36"/>
      <c r="AF863" s="36"/>
      <c r="AG863" s="36"/>
      <c r="AH863" s="36"/>
      <c r="AI863" s="36"/>
      <c r="AJ863" s="36"/>
      <c r="AK863" s="36"/>
      <c r="AT863" s="45"/>
      <c r="AU863" s="45"/>
      <c r="AV863" s="45"/>
      <c r="AW863" s="45"/>
      <c r="AX863" s="45"/>
      <c r="AY863" s="45"/>
      <c r="AZ863" s="45"/>
      <c r="BA863" s="45"/>
      <c r="CM863" s="46"/>
      <c r="CO863" s="70"/>
    </row>
    <row r="864" spans="13:93" ht="15">
      <c r="M864" s="45"/>
      <c r="N864" s="45"/>
      <c r="O864" s="45"/>
      <c r="P864" s="45"/>
      <c r="AD864" s="36"/>
      <c r="AE864" s="36"/>
      <c r="AF864" s="36"/>
      <c r="AG864" s="36"/>
      <c r="AH864" s="36"/>
      <c r="AI864" s="36"/>
      <c r="AJ864" s="36"/>
      <c r="AK864" s="36"/>
      <c r="AT864" s="45"/>
      <c r="AU864" s="45"/>
      <c r="AV864" s="45"/>
      <c r="AW864" s="45"/>
      <c r="AX864" s="45"/>
      <c r="AY864" s="45"/>
      <c r="AZ864" s="45"/>
      <c r="BA864" s="45"/>
      <c r="CM864" s="46"/>
      <c r="CO864" s="70"/>
    </row>
    <row r="865" spans="13:93" ht="15">
      <c r="M865" s="45"/>
      <c r="N865" s="45"/>
      <c r="O865" s="45"/>
      <c r="P865" s="45"/>
      <c r="AD865" s="36"/>
      <c r="AE865" s="36"/>
      <c r="AF865" s="36"/>
      <c r="AG865" s="36"/>
      <c r="AH865" s="36"/>
      <c r="AI865" s="36"/>
      <c r="AJ865" s="36"/>
      <c r="AK865" s="36"/>
      <c r="AT865" s="45"/>
      <c r="AU865" s="45"/>
      <c r="AV865" s="45"/>
      <c r="AW865" s="45"/>
      <c r="AX865" s="45"/>
      <c r="AY865" s="45"/>
      <c r="AZ865" s="45"/>
      <c r="BA865" s="45"/>
      <c r="CM865" s="46"/>
      <c r="CO865" s="70"/>
    </row>
    <row r="866" spans="13:93" ht="15">
      <c r="M866" s="45"/>
      <c r="N866" s="45"/>
      <c r="O866" s="45"/>
      <c r="P866" s="45"/>
      <c r="AD866" s="36"/>
      <c r="AE866" s="36"/>
      <c r="AF866" s="36"/>
      <c r="AG866" s="36"/>
      <c r="AH866" s="36"/>
      <c r="AI866" s="36"/>
      <c r="AJ866" s="36"/>
      <c r="AK866" s="36"/>
      <c r="AT866" s="45"/>
      <c r="AU866" s="45"/>
      <c r="AV866" s="45"/>
      <c r="AW866" s="45"/>
      <c r="AX866" s="45"/>
      <c r="AY866" s="45"/>
      <c r="AZ866" s="45"/>
      <c r="BA866" s="45"/>
      <c r="CM866" s="46"/>
      <c r="CO866" s="70"/>
    </row>
    <row r="867" spans="13:93" ht="15">
      <c r="M867" s="45"/>
      <c r="N867" s="45"/>
      <c r="O867" s="45"/>
      <c r="P867" s="45"/>
      <c r="AD867" s="36"/>
      <c r="AE867" s="36"/>
      <c r="AF867" s="36"/>
      <c r="AG867" s="36"/>
      <c r="AH867" s="36"/>
      <c r="AI867" s="36"/>
      <c r="AJ867" s="36"/>
      <c r="AK867" s="36"/>
      <c r="AT867" s="45"/>
      <c r="AU867" s="45"/>
      <c r="AV867" s="45"/>
      <c r="AW867" s="45"/>
      <c r="AX867" s="45"/>
      <c r="AY867" s="45"/>
      <c r="AZ867" s="45"/>
      <c r="BA867" s="45"/>
      <c r="CM867" s="46"/>
      <c r="CO867" s="70"/>
    </row>
    <row r="868" spans="13:93" ht="15">
      <c r="M868" s="45"/>
      <c r="N868" s="45"/>
      <c r="O868" s="45"/>
      <c r="P868" s="45"/>
      <c r="AD868" s="36"/>
      <c r="AE868" s="36"/>
      <c r="AF868" s="36"/>
      <c r="AG868" s="36"/>
      <c r="AH868" s="36"/>
      <c r="AI868" s="36"/>
      <c r="AJ868" s="36"/>
      <c r="AK868" s="36"/>
      <c r="AT868" s="45"/>
      <c r="AU868" s="45"/>
      <c r="AV868" s="45"/>
      <c r="AW868" s="45"/>
      <c r="AX868" s="45"/>
      <c r="AY868" s="45"/>
      <c r="AZ868" s="45"/>
      <c r="BA868" s="45"/>
      <c r="CM868" s="46"/>
      <c r="CO868" s="70"/>
    </row>
    <row r="869" spans="13:93" ht="15">
      <c r="M869" s="45"/>
      <c r="N869" s="45"/>
      <c r="O869" s="45"/>
      <c r="P869" s="45"/>
      <c r="AD869" s="36"/>
      <c r="AE869" s="36"/>
      <c r="AF869" s="36"/>
      <c r="AG869" s="36"/>
      <c r="AH869" s="36"/>
      <c r="AI869" s="36"/>
      <c r="AJ869" s="36"/>
      <c r="AK869" s="36"/>
      <c r="AT869" s="45"/>
      <c r="AU869" s="45"/>
      <c r="AV869" s="45"/>
      <c r="AW869" s="45"/>
      <c r="AX869" s="45"/>
      <c r="AY869" s="45"/>
      <c r="AZ869" s="45"/>
      <c r="BA869" s="45"/>
      <c r="CM869" s="46"/>
      <c r="CO869" s="70"/>
    </row>
    <row r="870" spans="13:93" ht="15">
      <c r="M870" s="45"/>
      <c r="N870" s="45"/>
      <c r="O870" s="45"/>
      <c r="P870" s="45"/>
      <c r="AD870" s="36"/>
      <c r="AE870" s="36"/>
      <c r="AF870" s="36"/>
      <c r="AG870" s="36"/>
      <c r="AH870" s="36"/>
      <c r="AI870" s="36"/>
      <c r="AJ870" s="36"/>
      <c r="AK870" s="36"/>
      <c r="AT870" s="45"/>
      <c r="AU870" s="45"/>
      <c r="AV870" s="45"/>
      <c r="AW870" s="45"/>
      <c r="AX870" s="45"/>
      <c r="AY870" s="45"/>
      <c r="AZ870" s="45"/>
      <c r="BA870" s="45"/>
      <c r="CM870" s="46"/>
      <c r="CO870" s="70"/>
    </row>
    <row r="871" spans="13:93" ht="15">
      <c r="M871" s="45"/>
      <c r="N871" s="45"/>
      <c r="O871" s="45"/>
      <c r="P871" s="45"/>
      <c r="AD871" s="36"/>
      <c r="AE871" s="36"/>
      <c r="AF871" s="36"/>
      <c r="AG871" s="36"/>
      <c r="AH871" s="36"/>
      <c r="AI871" s="36"/>
      <c r="AJ871" s="36"/>
      <c r="AK871" s="36"/>
      <c r="AT871" s="45"/>
      <c r="AU871" s="45"/>
      <c r="AV871" s="45"/>
      <c r="AW871" s="45"/>
      <c r="AX871" s="45"/>
      <c r="AY871" s="45"/>
      <c r="AZ871" s="45"/>
      <c r="BA871" s="45"/>
      <c r="CM871" s="46"/>
      <c r="CO871" s="70"/>
    </row>
    <row r="872" spans="13:93" ht="15">
      <c r="M872" s="45"/>
      <c r="N872" s="45"/>
      <c r="O872" s="45"/>
      <c r="P872" s="45"/>
      <c r="AD872" s="36"/>
      <c r="AE872" s="36"/>
      <c r="AF872" s="36"/>
      <c r="AG872" s="36"/>
      <c r="AH872" s="36"/>
      <c r="AI872" s="36"/>
      <c r="AJ872" s="36"/>
      <c r="AK872" s="36"/>
      <c r="AT872" s="45"/>
      <c r="AU872" s="45"/>
      <c r="AV872" s="45"/>
      <c r="AW872" s="45"/>
      <c r="AX872" s="45"/>
      <c r="AY872" s="45"/>
      <c r="AZ872" s="45"/>
      <c r="BA872" s="45"/>
      <c r="CM872" s="46"/>
      <c r="CO872" s="70"/>
    </row>
    <row r="873" spans="13:93" ht="15">
      <c r="M873" s="45"/>
      <c r="N873" s="45"/>
      <c r="O873" s="45"/>
      <c r="P873" s="45"/>
      <c r="AD873" s="36"/>
      <c r="AE873" s="36"/>
      <c r="AF873" s="36"/>
      <c r="AG873" s="36"/>
      <c r="AH873" s="36"/>
      <c r="AI873" s="36"/>
      <c r="AJ873" s="36"/>
      <c r="AK873" s="36"/>
      <c r="AT873" s="45"/>
      <c r="AU873" s="45"/>
      <c r="AV873" s="45"/>
      <c r="AW873" s="45"/>
      <c r="AX873" s="45"/>
      <c r="AY873" s="45"/>
      <c r="AZ873" s="45"/>
      <c r="BA873" s="45"/>
      <c r="CM873" s="46"/>
      <c r="CO873" s="70"/>
    </row>
    <row r="874" spans="13:93" ht="15">
      <c r="M874" s="45"/>
      <c r="N874" s="45"/>
      <c r="O874" s="45"/>
      <c r="P874" s="45"/>
      <c r="AD874" s="36"/>
      <c r="AE874" s="36"/>
      <c r="AF874" s="36"/>
      <c r="AG874" s="36"/>
      <c r="AH874" s="36"/>
      <c r="AI874" s="36"/>
      <c r="AJ874" s="36"/>
      <c r="AK874" s="36"/>
      <c r="AT874" s="45"/>
      <c r="AU874" s="45"/>
      <c r="AV874" s="45"/>
      <c r="AW874" s="45"/>
      <c r="AX874" s="45"/>
      <c r="AY874" s="45"/>
      <c r="AZ874" s="45"/>
      <c r="BA874" s="45"/>
      <c r="CM874" s="46"/>
      <c r="CO874" s="70"/>
    </row>
    <row r="875" spans="13:93" ht="15">
      <c r="M875" s="45"/>
      <c r="N875" s="45"/>
      <c r="O875" s="45"/>
      <c r="P875" s="45"/>
      <c r="AD875" s="36"/>
      <c r="AE875" s="36"/>
      <c r="AF875" s="36"/>
      <c r="AG875" s="36"/>
      <c r="AH875" s="36"/>
      <c r="AI875" s="36"/>
      <c r="AJ875" s="36"/>
      <c r="AK875" s="36"/>
      <c r="AT875" s="45"/>
      <c r="AU875" s="45"/>
      <c r="AV875" s="45"/>
      <c r="AW875" s="45"/>
      <c r="AX875" s="45"/>
      <c r="AY875" s="45"/>
      <c r="AZ875" s="45"/>
      <c r="BA875" s="45"/>
      <c r="CM875" s="46"/>
      <c r="CO875" s="70"/>
    </row>
    <row r="876" spans="13:93" ht="15">
      <c r="M876" s="45"/>
      <c r="N876" s="45"/>
      <c r="O876" s="45"/>
      <c r="P876" s="45"/>
      <c r="AD876" s="36"/>
      <c r="AE876" s="36"/>
      <c r="AF876" s="36"/>
      <c r="AG876" s="36"/>
      <c r="AH876" s="36"/>
      <c r="AI876" s="36"/>
      <c r="AJ876" s="36"/>
      <c r="AK876" s="36"/>
      <c r="AT876" s="45"/>
      <c r="AU876" s="45"/>
      <c r="AV876" s="45"/>
      <c r="AW876" s="45"/>
      <c r="AX876" s="45"/>
      <c r="AY876" s="45"/>
      <c r="AZ876" s="45"/>
      <c r="BA876" s="45"/>
      <c r="CM876" s="46"/>
      <c r="CO876" s="70"/>
    </row>
    <row r="877" spans="13:93" ht="15">
      <c r="M877" s="45"/>
      <c r="N877" s="45"/>
      <c r="O877" s="45"/>
      <c r="P877" s="45"/>
      <c r="AD877" s="36"/>
      <c r="AE877" s="36"/>
      <c r="AF877" s="36"/>
      <c r="AG877" s="36"/>
      <c r="AH877" s="36"/>
      <c r="AI877" s="36"/>
      <c r="AJ877" s="36"/>
      <c r="AK877" s="36"/>
      <c r="AT877" s="45"/>
      <c r="AU877" s="45"/>
      <c r="AV877" s="45"/>
      <c r="AW877" s="45"/>
      <c r="AX877" s="45"/>
      <c r="AY877" s="45"/>
      <c r="AZ877" s="45"/>
      <c r="BA877" s="45"/>
      <c r="CM877" s="46"/>
      <c r="CO877" s="70"/>
    </row>
    <row r="878" spans="13:93" ht="15">
      <c r="M878" s="45"/>
      <c r="N878" s="45"/>
      <c r="O878" s="45"/>
      <c r="P878" s="45"/>
      <c r="AD878" s="36"/>
      <c r="AE878" s="36"/>
      <c r="AF878" s="36"/>
      <c r="AG878" s="36"/>
      <c r="AH878" s="36"/>
      <c r="AI878" s="36"/>
      <c r="AJ878" s="36"/>
      <c r="AK878" s="36"/>
      <c r="AT878" s="45"/>
      <c r="AU878" s="45"/>
      <c r="AV878" s="45"/>
      <c r="AW878" s="45"/>
      <c r="AX878" s="45"/>
      <c r="AY878" s="45"/>
      <c r="AZ878" s="45"/>
      <c r="BA878" s="45"/>
      <c r="CM878" s="46"/>
      <c r="CO878" s="70"/>
    </row>
    <row r="879" spans="13:93" ht="15">
      <c r="M879" s="45"/>
      <c r="N879" s="45"/>
      <c r="O879" s="45"/>
      <c r="P879" s="45"/>
      <c r="AD879" s="36"/>
      <c r="AE879" s="36"/>
      <c r="AF879" s="36"/>
      <c r="AG879" s="36"/>
      <c r="AH879" s="36"/>
      <c r="AI879" s="36"/>
      <c r="AJ879" s="36"/>
      <c r="AK879" s="36"/>
      <c r="AT879" s="45"/>
      <c r="AU879" s="45"/>
      <c r="AV879" s="45"/>
      <c r="AW879" s="45"/>
      <c r="AX879" s="45"/>
      <c r="AY879" s="45"/>
      <c r="AZ879" s="45"/>
      <c r="BA879" s="45"/>
      <c r="CM879" s="46"/>
      <c r="CO879" s="70"/>
    </row>
    <row r="880" spans="13:93" ht="15">
      <c r="M880" s="45"/>
      <c r="N880" s="45"/>
      <c r="O880" s="45"/>
      <c r="P880" s="45"/>
      <c r="AD880" s="36"/>
      <c r="AE880" s="36"/>
      <c r="AF880" s="36"/>
      <c r="AG880" s="36"/>
      <c r="AH880" s="36"/>
      <c r="AI880" s="36"/>
      <c r="AJ880" s="36"/>
      <c r="AK880" s="36"/>
      <c r="AT880" s="45"/>
      <c r="AU880" s="45"/>
      <c r="AV880" s="45"/>
      <c r="AW880" s="45"/>
      <c r="AX880" s="45"/>
      <c r="AY880" s="45"/>
      <c r="AZ880" s="45"/>
      <c r="BA880" s="45"/>
      <c r="CM880" s="46"/>
      <c r="CO880" s="70"/>
    </row>
    <row r="881" spans="13:93" ht="15">
      <c r="M881" s="45"/>
      <c r="N881" s="45"/>
      <c r="O881" s="45"/>
      <c r="P881" s="45"/>
      <c r="AD881" s="36"/>
      <c r="AE881" s="36"/>
      <c r="AF881" s="36"/>
      <c r="AG881" s="36"/>
      <c r="AH881" s="36"/>
      <c r="AI881" s="36"/>
      <c r="AJ881" s="36"/>
      <c r="AK881" s="36"/>
      <c r="AT881" s="45"/>
      <c r="AU881" s="45"/>
      <c r="AV881" s="45"/>
      <c r="AW881" s="45"/>
      <c r="AX881" s="45"/>
      <c r="AY881" s="45"/>
      <c r="AZ881" s="45"/>
      <c r="BA881" s="45"/>
      <c r="CM881" s="46"/>
      <c r="CO881" s="70"/>
    </row>
    <row r="882" spans="13:93" ht="15">
      <c r="M882" s="45"/>
      <c r="N882" s="45"/>
      <c r="O882" s="45"/>
      <c r="P882" s="45"/>
      <c r="AD882" s="36"/>
      <c r="AE882" s="36"/>
      <c r="AF882" s="36"/>
      <c r="AG882" s="36"/>
      <c r="AH882" s="36"/>
      <c r="AI882" s="36"/>
      <c r="AJ882" s="36"/>
      <c r="AK882" s="36"/>
      <c r="AT882" s="45"/>
      <c r="AU882" s="45"/>
      <c r="AV882" s="45"/>
      <c r="AW882" s="45"/>
      <c r="AX882" s="45"/>
      <c r="AY882" s="45"/>
      <c r="AZ882" s="45"/>
      <c r="BA882" s="45"/>
      <c r="CM882" s="46"/>
      <c r="CO882" s="70"/>
    </row>
    <row r="883" spans="13:93" ht="15">
      <c r="M883" s="45"/>
      <c r="N883" s="45"/>
      <c r="O883" s="45"/>
      <c r="P883" s="45"/>
      <c r="AD883" s="36"/>
      <c r="AE883" s="36"/>
      <c r="AF883" s="36"/>
      <c r="AG883" s="36"/>
      <c r="AH883" s="36"/>
      <c r="AI883" s="36"/>
      <c r="AJ883" s="36"/>
      <c r="AK883" s="36"/>
      <c r="AT883" s="45"/>
      <c r="AU883" s="45"/>
      <c r="AV883" s="45"/>
      <c r="AW883" s="45"/>
      <c r="AX883" s="45"/>
      <c r="AY883" s="45"/>
      <c r="AZ883" s="45"/>
      <c r="BA883" s="45"/>
      <c r="CM883" s="46"/>
      <c r="CO883" s="70"/>
    </row>
    <row r="884" spans="13:93" ht="15">
      <c r="M884" s="45"/>
      <c r="N884" s="45"/>
      <c r="O884" s="45"/>
      <c r="P884" s="45"/>
      <c r="AD884" s="36"/>
      <c r="AE884" s="36"/>
      <c r="AF884" s="36"/>
      <c r="AG884" s="36"/>
      <c r="AH884" s="36"/>
      <c r="AI884" s="36"/>
      <c r="AJ884" s="36"/>
      <c r="AK884" s="36"/>
      <c r="AT884" s="45"/>
      <c r="AU884" s="45"/>
      <c r="AV884" s="45"/>
      <c r="AW884" s="45"/>
      <c r="AX884" s="45"/>
      <c r="AY884" s="45"/>
      <c r="AZ884" s="45"/>
      <c r="BA884" s="45"/>
      <c r="CM884" s="46"/>
      <c r="CO884" s="70"/>
    </row>
    <row r="885" spans="13:93" ht="15">
      <c r="M885" s="45"/>
      <c r="N885" s="45"/>
      <c r="O885" s="45"/>
      <c r="P885" s="45"/>
      <c r="AD885" s="36"/>
      <c r="AE885" s="36"/>
      <c r="AF885" s="36"/>
      <c r="AG885" s="36"/>
      <c r="AH885" s="36"/>
      <c r="AI885" s="36"/>
      <c r="AJ885" s="36"/>
      <c r="AK885" s="36"/>
      <c r="AT885" s="45"/>
      <c r="AU885" s="45"/>
      <c r="AV885" s="45"/>
      <c r="AW885" s="45"/>
      <c r="AX885" s="45"/>
      <c r="AY885" s="45"/>
      <c r="AZ885" s="45"/>
      <c r="BA885" s="45"/>
      <c r="CM885" s="46"/>
      <c r="CO885" s="70"/>
    </row>
    <row r="886" spans="13:93" ht="15">
      <c r="M886" s="45"/>
      <c r="N886" s="45"/>
      <c r="O886" s="45"/>
      <c r="P886" s="45"/>
      <c r="AD886" s="36"/>
      <c r="AE886" s="36"/>
      <c r="AF886" s="36"/>
      <c r="AG886" s="36"/>
      <c r="AH886" s="36"/>
      <c r="AI886" s="36"/>
      <c r="AJ886" s="36"/>
      <c r="AK886" s="36"/>
      <c r="AT886" s="45"/>
      <c r="AU886" s="45"/>
      <c r="AV886" s="45"/>
      <c r="AW886" s="45"/>
      <c r="AX886" s="45"/>
      <c r="AY886" s="45"/>
      <c r="AZ886" s="45"/>
      <c r="BA886" s="45"/>
      <c r="CM886" s="46"/>
      <c r="CO886" s="70"/>
    </row>
    <row r="887" spans="13:93" ht="15">
      <c r="M887" s="45"/>
      <c r="N887" s="45"/>
      <c r="O887" s="45"/>
      <c r="P887" s="45"/>
      <c r="AD887" s="36"/>
      <c r="AE887" s="36"/>
      <c r="AF887" s="36"/>
      <c r="AG887" s="36"/>
      <c r="AH887" s="36"/>
      <c r="AI887" s="36"/>
      <c r="AJ887" s="36"/>
      <c r="AK887" s="36"/>
      <c r="AT887" s="45"/>
      <c r="AU887" s="45"/>
      <c r="AV887" s="45"/>
      <c r="AW887" s="45"/>
      <c r="AX887" s="45"/>
      <c r="AY887" s="45"/>
      <c r="AZ887" s="45"/>
      <c r="BA887" s="45"/>
      <c r="CM887" s="46"/>
      <c r="CO887" s="70"/>
    </row>
    <row r="888" spans="13:93" ht="15">
      <c r="M888" s="45"/>
      <c r="N888" s="45"/>
      <c r="O888" s="45"/>
      <c r="P888" s="45"/>
      <c r="AD888" s="36"/>
      <c r="AE888" s="36"/>
      <c r="AF888" s="36"/>
      <c r="AG888" s="36"/>
      <c r="AH888" s="36"/>
      <c r="AI888" s="36"/>
      <c r="AJ888" s="36"/>
      <c r="AK888" s="36"/>
      <c r="AT888" s="45"/>
      <c r="AU888" s="45"/>
      <c r="AV888" s="45"/>
      <c r="AW888" s="45"/>
      <c r="AX888" s="45"/>
      <c r="AY888" s="45"/>
      <c r="AZ888" s="45"/>
      <c r="BA888" s="45"/>
      <c r="CM888" s="46"/>
      <c r="CO888" s="70"/>
    </row>
    <row r="889" spans="13:93" ht="15">
      <c r="M889" s="45"/>
      <c r="N889" s="45"/>
      <c r="O889" s="45"/>
      <c r="P889" s="45"/>
      <c r="AD889" s="36"/>
      <c r="AE889" s="36"/>
      <c r="AF889" s="36"/>
      <c r="AG889" s="36"/>
      <c r="AH889" s="36"/>
      <c r="AI889" s="36"/>
      <c r="AJ889" s="36"/>
      <c r="AK889" s="36"/>
      <c r="AT889" s="45"/>
      <c r="AU889" s="45"/>
      <c r="AV889" s="45"/>
      <c r="AW889" s="45"/>
      <c r="AX889" s="45"/>
      <c r="AY889" s="45"/>
      <c r="AZ889" s="45"/>
      <c r="BA889" s="45"/>
      <c r="CM889" s="46"/>
      <c r="CO889" s="70"/>
    </row>
    <row r="890" spans="13:93" ht="15">
      <c r="M890" s="45"/>
      <c r="N890" s="45"/>
      <c r="O890" s="45"/>
      <c r="P890" s="45"/>
      <c r="AD890" s="36"/>
      <c r="AE890" s="36"/>
      <c r="AF890" s="36"/>
      <c r="AG890" s="36"/>
      <c r="AH890" s="36"/>
      <c r="AI890" s="36"/>
      <c r="AJ890" s="36"/>
      <c r="AK890" s="36"/>
      <c r="AT890" s="45"/>
      <c r="AU890" s="45"/>
      <c r="AV890" s="45"/>
      <c r="AW890" s="45"/>
      <c r="AX890" s="45"/>
      <c r="AY890" s="45"/>
      <c r="AZ890" s="45"/>
      <c r="BA890" s="45"/>
      <c r="CM890" s="46"/>
      <c r="CO890" s="70"/>
    </row>
    <row r="891" spans="13:93" ht="15">
      <c r="M891" s="45"/>
      <c r="N891" s="45"/>
      <c r="O891" s="45"/>
      <c r="P891" s="45"/>
      <c r="AD891" s="36"/>
      <c r="AE891" s="36"/>
      <c r="AF891" s="36"/>
      <c r="AG891" s="36"/>
      <c r="AH891" s="36"/>
      <c r="AI891" s="36"/>
      <c r="AJ891" s="36"/>
      <c r="AK891" s="36"/>
      <c r="AT891" s="45"/>
      <c r="AU891" s="45"/>
      <c r="AV891" s="45"/>
      <c r="AW891" s="45"/>
      <c r="AX891" s="45"/>
      <c r="AY891" s="45"/>
      <c r="AZ891" s="45"/>
      <c r="BA891" s="45"/>
      <c r="CM891" s="46"/>
      <c r="CO891" s="70"/>
    </row>
    <row r="892" spans="13:93" ht="15">
      <c r="M892" s="45"/>
      <c r="N892" s="45"/>
      <c r="O892" s="45"/>
      <c r="P892" s="45"/>
      <c r="AD892" s="36"/>
      <c r="AE892" s="36"/>
      <c r="AF892" s="36"/>
      <c r="AG892" s="36"/>
      <c r="AH892" s="36"/>
      <c r="AI892" s="36"/>
      <c r="AJ892" s="36"/>
      <c r="AK892" s="36"/>
      <c r="AT892" s="45"/>
      <c r="AU892" s="45"/>
      <c r="AV892" s="45"/>
      <c r="AW892" s="45"/>
      <c r="AX892" s="45"/>
      <c r="AY892" s="45"/>
      <c r="AZ892" s="45"/>
      <c r="BA892" s="45"/>
      <c r="CM892" s="46"/>
      <c r="CO892" s="70"/>
    </row>
    <row r="893" spans="13:93" ht="15">
      <c r="M893" s="45"/>
      <c r="N893" s="45"/>
      <c r="O893" s="45"/>
      <c r="P893" s="45"/>
      <c r="AD893" s="36"/>
      <c r="AE893" s="36"/>
      <c r="AF893" s="36"/>
      <c r="AG893" s="36"/>
      <c r="AH893" s="36"/>
      <c r="AI893" s="36"/>
      <c r="AJ893" s="36"/>
      <c r="AK893" s="36"/>
      <c r="AT893" s="45"/>
      <c r="AU893" s="45"/>
      <c r="AV893" s="45"/>
      <c r="AW893" s="45"/>
      <c r="AX893" s="45"/>
      <c r="AY893" s="45"/>
      <c r="AZ893" s="45"/>
      <c r="BA893" s="45"/>
      <c r="CM893" s="46"/>
      <c r="CO893" s="70"/>
    </row>
    <row r="894" spans="13:93" ht="15">
      <c r="M894" s="45"/>
      <c r="N894" s="45"/>
      <c r="O894" s="45"/>
      <c r="P894" s="45"/>
      <c r="AD894" s="36"/>
      <c r="AE894" s="36"/>
      <c r="AF894" s="36"/>
      <c r="AG894" s="36"/>
      <c r="AH894" s="36"/>
      <c r="AI894" s="36"/>
      <c r="AJ894" s="36"/>
      <c r="AK894" s="36"/>
      <c r="AT894" s="45"/>
      <c r="AU894" s="45"/>
      <c r="AV894" s="45"/>
      <c r="AW894" s="45"/>
      <c r="AX894" s="45"/>
      <c r="AY894" s="45"/>
      <c r="AZ894" s="45"/>
      <c r="BA894" s="45"/>
      <c r="CM894" s="46"/>
      <c r="CO894" s="70"/>
    </row>
    <row r="895" spans="13:93" ht="15">
      <c r="M895" s="45"/>
      <c r="N895" s="45"/>
      <c r="O895" s="45"/>
      <c r="P895" s="45"/>
      <c r="AD895" s="36"/>
      <c r="AE895" s="36"/>
      <c r="AF895" s="36"/>
      <c r="AG895" s="36"/>
      <c r="AH895" s="36"/>
      <c r="AI895" s="36"/>
      <c r="AJ895" s="36"/>
      <c r="AK895" s="36"/>
      <c r="AT895" s="45"/>
      <c r="AU895" s="45"/>
      <c r="AV895" s="45"/>
      <c r="AW895" s="45"/>
      <c r="AX895" s="45"/>
      <c r="AY895" s="45"/>
      <c r="AZ895" s="45"/>
      <c r="BA895" s="45"/>
      <c r="CM895" s="46"/>
      <c r="CO895" s="70"/>
    </row>
    <row r="896" spans="13:93" ht="15">
      <c r="M896" s="45"/>
      <c r="N896" s="45"/>
      <c r="O896" s="45"/>
      <c r="P896" s="45"/>
      <c r="AD896" s="36"/>
      <c r="AE896" s="36"/>
      <c r="AF896" s="36"/>
      <c r="AG896" s="36"/>
      <c r="AH896" s="36"/>
      <c r="AI896" s="36"/>
      <c r="AJ896" s="36"/>
      <c r="AK896" s="36"/>
      <c r="AT896" s="45"/>
      <c r="AU896" s="45"/>
      <c r="AV896" s="45"/>
      <c r="AW896" s="45"/>
      <c r="AX896" s="45"/>
      <c r="AY896" s="45"/>
      <c r="AZ896" s="45"/>
      <c r="BA896" s="45"/>
      <c r="CM896" s="46"/>
      <c r="CO896" s="70"/>
    </row>
    <row r="897" spans="13:93" ht="15">
      <c r="M897" s="45"/>
      <c r="N897" s="45"/>
      <c r="O897" s="45"/>
      <c r="P897" s="45"/>
      <c r="AD897" s="36"/>
      <c r="AE897" s="36"/>
      <c r="AF897" s="36"/>
      <c r="AG897" s="36"/>
      <c r="AH897" s="36"/>
      <c r="AI897" s="36"/>
      <c r="AJ897" s="36"/>
      <c r="AK897" s="36"/>
      <c r="AT897" s="45"/>
      <c r="AU897" s="45"/>
      <c r="AV897" s="45"/>
      <c r="AW897" s="45"/>
      <c r="AX897" s="45"/>
      <c r="AY897" s="45"/>
      <c r="AZ897" s="45"/>
      <c r="BA897" s="45"/>
      <c r="CM897" s="46"/>
      <c r="CO897" s="70"/>
    </row>
    <row r="898" spans="13:93" ht="15">
      <c r="M898" s="45"/>
      <c r="N898" s="45"/>
      <c r="O898" s="45"/>
      <c r="P898" s="45"/>
      <c r="AD898" s="36"/>
      <c r="AE898" s="36"/>
      <c r="AF898" s="36"/>
      <c r="AG898" s="36"/>
      <c r="AH898" s="36"/>
      <c r="AI898" s="36"/>
      <c r="AJ898" s="36"/>
      <c r="AK898" s="36"/>
      <c r="AT898" s="45"/>
      <c r="AU898" s="45"/>
      <c r="AV898" s="45"/>
      <c r="AW898" s="45"/>
      <c r="AX898" s="45"/>
      <c r="AY898" s="45"/>
      <c r="AZ898" s="45"/>
      <c r="BA898" s="45"/>
      <c r="CM898" s="46"/>
      <c r="CO898" s="70"/>
    </row>
    <row r="899" spans="13:93" ht="15">
      <c r="M899" s="45"/>
      <c r="N899" s="45"/>
      <c r="O899" s="45"/>
      <c r="P899" s="45"/>
      <c r="AD899" s="36"/>
      <c r="AE899" s="36"/>
      <c r="AF899" s="36"/>
      <c r="AG899" s="36"/>
      <c r="AH899" s="36"/>
      <c r="AI899" s="36"/>
      <c r="AJ899" s="36"/>
      <c r="AK899" s="36"/>
      <c r="AT899" s="45"/>
      <c r="AU899" s="45"/>
      <c r="AV899" s="45"/>
      <c r="AW899" s="45"/>
      <c r="AX899" s="45"/>
      <c r="AY899" s="45"/>
      <c r="AZ899" s="45"/>
      <c r="BA899" s="45"/>
      <c r="CM899" s="46"/>
      <c r="CO899" s="70"/>
    </row>
    <row r="900" spans="13:93" ht="15">
      <c r="M900" s="45"/>
      <c r="N900" s="45"/>
      <c r="O900" s="45"/>
      <c r="P900" s="45"/>
      <c r="AD900" s="36"/>
      <c r="AE900" s="36"/>
      <c r="AF900" s="36"/>
      <c r="AG900" s="36"/>
      <c r="AH900" s="36"/>
      <c r="AI900" s="36"/>
      <c r="AJ900" s="36"/>
      <c r="AK900" s="36"/>
      <c r="AT900" s="45"/>
      <c r="AU900" s="45"/>
      <c r="AV900" s="45"/>
      <c r="AW900" s="45"/>
      <c r="AX900" s="45"/>
      <c r="AY900" s="45"/>
      <c r="AZ900" s="45"/>
      <c r="BA900" s="45"/>
      <c r="CM900" s="46"/>
      <c r="CO900" s="70"/>
    </row>
    <row r="901" spans="13:93" ht="15">
      <c r="M901" s="45"/>
      <c r="N901" s="45"/>
      <c r="O901" s="45"/>
      <c r="P901" s="45"/>
      <c r="AD901" s="36"/>
      <c r="AE901" s="36"/>
      <c r="AF901" s="36"/>
      <c r="AG901" s="36"/>
      <c r="AH901" s="36"/>
      <c r="AI901" s="36"/>
      <c r="AJ901" s="36"/>
      <c r="AK901" s="36"/>
      <c r="AT901" s="45"/>
      <c r="AU901" s="45"/>
      <c r="AV901" s="45"/>
      <c r="AW901" s="45"/>
      <c r="AX901" s="45"/>
      <c r="AY901" s="45"/>
      <c r="AZ901" s="45"/>
      <c r="BA901" s="45"/>
      <c r="CM901" s="46"/>
      <c r="CO901" s="70"/>
    </row>
    <row r="902" spans="13:93" ht="15">
      <c r="M902" s="45"/>
      <c r="N902" s="45"/>
      <c r="O902" s="45"/>
      <c r="P902" s="45"/>
      <c r="AD902" s="36"/>
      <c r="AE902" s="36"/>
      <c r="AF902" s="36"/>
      <c r="AG902" s="36"/>
      <c r="AH902" s="36"/>
      <c r="AI902" s="36"/>
      <c r="AJ902" s="36"/>
      <c r="AK902" s="36"/>
      <c r="AT902" s="45"/>
      <c r="AU902" s="45"/>
      <c r="AV902" s="45"/>
      <c r="AW902" s="45"/>
      <c r="AX902" s="45"/>
      <c r="AY902" s="45"/>
      <c r="AZ902" s="45"/>
      <c r="BA902" s="45"/>
      <c r="CM902" s="46"/>
      <c r="CO902" s="70"/>
    </row>
    <row r="903" spans="13:93" ht="15">
      <c r="M903" s="45"/>
      <c r="N903" s="45"/>
      <c r="O903" s="45"/>
      <c r="P903" s="45"/>
      <c r="AD903" s="36"/>
      <c r="AE903" s="36"/>
      <c r="AF903" s="36"/>
      <c r="AG903" s="36"/>
      <c r="AH903" s="36"/>
      <c r="AI903" s="36"/>
      <c r="AJ903" s="36"/>
      <c r="AK903" s="36"/>
      <c r="AT903" s="45"/>
      <c r="AU903" s="45"/>
      <c r="AV903" s="45"/>
      <c r="AW903" s="45"/>
      <c r="AX903" s="45"/>
      <c r="AY903" s="45"/>
      <c r="AZ903" s="45"/>
      <c r="BA903" s="45"/>
      <c r="CM903" s="46"/>
      <c r="CO903" s="70"/>
    </row>
    <row r="904" spans="13:93" ht="15">
      <c r="M904" s="45"/>
      <c r="N904" s="45"/>
      <c r="O904" s="45"/>
      <c r="P904" s="45"/>
      <c r="AD904" s="36"/>
      <c r="AE904" s="36"/>
      <c r="AF904" s="36"/>
      <c r="AG904" s="36"/>
      <c r="AH904" s="36"/>
      <c r="AI904" s="36"/>
      <c r="AJ904" s="36"/>
      <c r="AK904" s="36"/>
      <c r="AT904" s="45"/>
      <c r="AU904" s="45"/>
      <c r="AV904" s="45"/>
      <c r="AW904" s="45"/>
      <c r="AX904" s="45"/>
      <c r="AY904" s="45"/>
      <c r="AZ904" s="45"/>
      <c r="BA904" s="45"/>
      <c r="CM904" s="46"/>
      <c r="CO904" s="70"/>
    </row>
    <row r="905" spans="13:93" ht="15">
      <c r="M905" s="45"/>
      <c r="N905" s="45"/>
      <c r="O905" s="45"/>
      <c r="P905" s="45"/>
      <c r="AD905" s="36"/>
      <c r="AE905" s="36"/>
      <c r="AF905" s="36"/>
      <c r="AG905" s="36"/>
      <c r="AH905" s="36"/>
      <c r="AI905" s="36"/>
      <c r="AJ905" s="36"/>
      <c r="AK905" s="36"/>
      <c r="AT905" s="45"/>
      <c r="AU905" s="45"/>
      <c r="AV905" s="45"/>
      <c r="AW905" s="45"/>
      <c r="AX905" s="45"/>
      <c r="AY905" s="45"/>
      <c r="AZ905" s="45"/>
      <c r="BA905" s="45"/>
      <c r="CM905" s="46"/>
      <c r="CO905" s="70"/>
    </row>
    <row r="906" spans="13:93" ht="15">
      <c r="M906" s="45"/>
      <c r="N906" s="45"/>
      <c r="O906" s="45"/>
      <c r="P906" s="45"/>
      <c r="AD906" s="36"/>
      <c r="AE906" s="36"/>
      <c r="AF906" s="36"/>
      <c r="AG906" s="36"/>
      <c r="AH906" s="36"/>
      <c r="AI906" s="36"/>
      <c r="AJ906" s="36"/>
      <c r="AK906" s="36"/>
      <c r="AT906" s="45"/>
      <c r="AU906" s="45"/>
      <c r="AV906" s="45"/>
      <c r="AW906" s="45"/>
      <c r="AX906" s="45"/>
      <c r="AY906" s="45"/>
      <c r="AZ906" s="45"/>
      <c r="BA906" s="45"/>
      <c r="CM906" s="46"/>
      <c r="CO906" s="70"/>
    </row>
    <row r="907" spans="13:93" ht="15">
      <c r="M907" s="45"/>
      <c r="N907" s="45"/>
      <c r="O907" s="45"/>
      <c r="P907" s="45"/>
      <c r="AD907" s="36"/>
      <c r="AE907" s="36"/>
      <c r="AF907" s="36"/>
      <c r="AG907" s="36"/>
      <c r="AH907" s="36"/>
      <c r="AI907" s="36"/>
      <c r="AJ907" s="36"/>
      <c r="AK907" s="36"/>
      <c r="AT907" s="45"/>
      <c r="AU907" s="45"/>
      <c r="AV907" s="45"/>
      <c r="AW907" s="45"/>
      <c r="AX907" s="45"/>
      <c r="AY907" s="45"/>
      <c r="AZ907" s="45"/>
      <c r="BA907" s="45"/>
      <c r="CM907" s="46"/>
      <c r="CO907" s="70"/>
    </row>
    <row r="908" spans="13:93" ht="15">
      <c r="M908" s="45"/>
      <c r="N908" s="45"/>
      <c r="O908" s="45"/>
      <c r="P908" s="45"/>
      <c r="AD908" s="36"/>
      <c r="AE908" s="36"/>
      <c r="AF908" s="36"/>
      <c r="AG908" s="36"/>
      <c r="AH908" s="36"/>
      <c r="AI908" s="36"/>
      <c r="AJ908" s="36"/>
      <c r="AK908" s="36"/>
      <c r="AT908" s="45"/>
      <c r="AU908" s="45"/>
      <c r="AV908" s="45"/>
      <c r="AW908" s="45"/>
      <c r="AX908" s="45"/>
      <c r="AY908" s="45"/>
      <c r="AZ908" s="45"/>
      <c r="BA908" s="45"/>
      <c r="CM908" s="46"/>
      <c r="CO908" s="70"/>
    </row>
    <row r="909" spans="13:93" ht="15">
      <c r="M909" s="45"/>
      <c r="N909" s="45"/>
      <c r="O909" s="45"/>
      <c r="P909" s="45"/>
      <c r="AD909" s="36"/>
      <c r="AE909" s="36"/>
      <c r="AF909" s="36"/>
      <c r="AG909" s="36"/>
      <c r="AH909" s="36"/>
      <c r="AI909" s="36"/>
      <c r="AJ909" s="36"/>
      <c r="AK909" s="36"/>
      <c r="AT909" s="45"/>
      <c r="AU909" s="45"/>
      <c r="AV909" s="45"/>
      <c r="AW909" s="45"/>
      <c r="AX909" s="45"/>
      <c r="AY909" s="45"/>
      <c r="AZ909" s="45"/>
      <c r="BA909" s="45"/>
      <c r="CM909" s="46"/>
      <c r="CO909" s="70"/>
    </row>
    <row r="910" spans="13:93" ht="15">
      <c r="M910" s="45"/>
      <c r="N910" s="45"/>
      <c r="O910" s="45"/>
      <c r="P910" s="45"/>
      <c r="AD910" s="36"/>
      <c r="AE910" s="36"/>
      <c r="AF910" s="36"/>
      <c r="AG910" s="36"/>
      <c r="AH910" s="36"/>
      <c r="AI910" s="36"/>
      <c r="AJ910" s="36"/>
      <c r="AK910" s="36"/>
      <c r="AT910" s="45"/>
      <c r="AU910" s="45"/>
      <c r="AV910" s="45"/>
      <c r="AW910" s="45"/>
      <c r="AX910" s="45"/>
      <c r="AY910" s="45"/>
      <c r="AZ910" s="45"/>
      <c r="BA910" s="45"/>
      <c r="CM910" s="46"/>
      <c r="CO910" s="70"/>
    </row>
    <row r="911" spans="13:93" ht="15">
      <c r="M911" s="45"/>
      <c r="N911" s="45"/>
      <c r="O911" s="45"/>
      <c r="P911" s="45"/>
      <c r="AD911" s="36"/>
      <c r="AE911" s="36"/>
      <c r="AF911" s="36"/>
      <c r="AG911" s="36"/>
      <c r="AH911" s="36"/>
      <c r="AI911" s="36"/>
      <c r="AJ911" s="36"/>
      <c r="AK911" s="36"/>
      <c r="AT911" s="45"/>
      <c r="AU911" s="45"/>
      <c r="AV911" s="45"/>
      <c r="AW911" s="45"/>
      <c r="AX911" s="45"/>
      <c r="AY911" s="45"/>
      <c r="AZ911" s="45"/>
      <c r="BA911" s="45"/>
      <c r="CM911" s="46"/>
      <c r="CO911" s="70"/>
    </row>
    <row r="912" spans="13:93" ht="15">
      <c r="M912" s="45"/>
      <c r="N912" s="45"/>
      <c r="O912" s="45"/>
      <c r="P912" s="45"/>
      <c r="AD912" s="36"/>
      <c r="AE912" s="36"/>
      <c r="AF912" s="36"/>
      <c r="AG912" s="36"/>
      <c r="AH912" s="36"/>
      <c r="AI912" s="36"/>
      <c r="AJ912" s="36"/>
      <c r="AK912" s="36"/>
      <c r="AT912" s="45"/>
      <c r="AU912" s="45"/>
      <c r="AV912" s="45"/>
      <c r="AW912" s="45"/>
      <c r="AX912" s="45"/>
      <c r="AY912" s="45"/>
      <c r="AZ912" s="45"/>
      <c r="BA912" s="45"/>
      <c r="CM912" s="46"/>
      <c r="CO912" s="70"/>
    </row>
    <row r="913" spans="13:93" ht="15">
      <c r="M913" s="45"/>
      <c r="N913" s="45"/>
      <c r="O913" s="45"/>
      <c r="P913" s="45"/>
      <c r="AD913" s="36"/>
      <c r="AE913" s="36"/>
      <c r="AF913" s="36"/>
      <c r="AG913" s="36"/>
      <c r="AH913" s="36"/>
      <c r="AI913" s="36"/>
      <c r="AJ913" s="36"/>
      <c r="AK913" s="36"/>
      <c r="AT913" s="45"/>
      <c r="AU913" s="45"/>
      <c r="AV913" s="45"/>
      <c r="AW913" s="45"/>
      <c r="AX913" s="45"/>
      <c r="AY913" s="45"/>
      <c r="AZ913" s="45"/>
      <c r="BA913" s="45"/>
      <c r="CM913" s="46"/>
      <c r="CO913" s="70"/>
    </row>
    <row r="914" spans="13:93" ht="15">
      <c r="M914" s="45"/>
      <c r="N914" s="45"/>
      <c r="O914" s="45"/>
      <c r="P914" s="45"/>
      <c r="AD914" s="36"/>
      <c r="AE914" s="36"/>
      <c r="AF914" s="36"/>
      <c r="AG914" s="36"/>
      <c r="AH914" s="36"/>
      <c r="AI914" s="36"/>
      <c r="AJ914" s="36"/>
      <c r="AK914" s="36"/>
      <c r="AT914" s="45"/>
      <c r="AU914" s="45"/>
      <c r="AV914" s="45"/>
      <c r="AW914" s="45"/>
      <c r="AX914" s="45"/>
      <c r="AY914" s="45"/>
      <c r="AZ914" s="45"/>
      <c r="BA914" s="45"/>
      <c r="CM914" s="46"/>
      <c r="CO914" s="70"/>
    </row>
    <row r="915" spans="13:93" ht="15">
      <c r="M915" s="45"/>
      <c r="N915" s="45"/>
      <c r="O915" s="45"/>
      <c r="P915" s="45"/>
      <c r="AD915" s="36"/>
      <c r="AE915" s="36"/>
      <c r="AF915" s="36"/>
      <c r="AG915" s="36"/>
      <c r="AH915" s="36"/>
      <c r="AI915" s="36"/>
      <c r="AJ915" s="36"/>
      <c r="AK915" s="36"/>
      <c r="AT915" s="45"/>
      <c r="AU915" s="45"/>
      <c r="AV915" s="45"/>
      <c r="AW915" s="45"/>
      <c r="AX915" s="45"/>
      <c r="AY915" s="45"/>
      <c r="AZ915" s="45"/>
      <c r="BA915" s="45"/>
      <c r="CM915" s="46"/>
      <c r="CO915" s="70"/>
    </row>
    <row r="916" spans="13:93" ht="15">
      <c r="M916" s="45"/>
      <c r="N916" s="45"/>
      <c r="O916" s="45"/>
      <c r="P916" s="45"/>
      <c r="AD916" s="36"/>
      <c r="AE916" s="36"/>
      <c r="AF916" s="36"/>
      <c r="AG916" s="36"/>
      <c r="AH916" s="36"/>
      <c r="AI916" s="36"/>
      <c r="AJ916" s="36"/>
      <c r="AK916" s="36"/>
      <c r="AT916" s="45"/>
      <c r="AU916" s="45"/>
      <c r="AV916" s="45"/>
      <c r="AW916" s="45"/>
      <c r="AX916" s="45"/>
      <c r="AY916" s="45"/>
      <c r="AZ916" s="45"/>
      <c r="BA916" s="45"/>
      <c r="CM916" s="46"/>
      <c r="CO916" s="70"/>
    </row>
    <row r="917" spans="13:93" ht="15">
      <c r="M917" s="45"/>
      <c r="N917" s="45"/>
      <c r="O917" s="45"/>
      <c r="P917" s="45"/>
      <c r="AD917" s="36"/>
      <c r="AE917" s="36"/>
      <c r="AF917" s="36"/>
      <c r="AG917" s="36"/>
      <c r="AH917" s="36"/>
      <c r="AI917" s="36"/>
      <c r="AJ917" s="36"/>
      <c r="AK917" s="36"/>
      <c r="AT917" s="45"/>
      <c r="AU917" s="45"/>
      <c r="AV917" s="45"/>
      <c r="AW917" s="45"/>
      <c r="AX917" s="45"/>
      <c r="AY917" s="45"/>
      <c r="AZ917" s="45"/>
      <c r="BA917" s="45"/>
      <c r="CM917" s="46"/>
      <c r="CO917" s="70"/>
    </row>
    <row r="918" spans="13:93" ht="15">
      <c r="M918" s="45"/>
      <c r="N918" s="45"/>
      <c r="O918" s="45"/>
      <c r="P918" s="45"/>
      <c r="AD918" s="36"/>
      <c r="AE918" s="36"/>
      <c r="AF918" s="36"/>
      <c r="AG918" s="36"/>
      <c r="AH918" s="36"/>
      <c r="AI918" s="36"/>
      <c r="AJ918" s="36"/>
      <c r="AK918" s="36"/>
      <c r="AT918" s="45"/>
      <c r="AU918" s="45"/>
      <c r="AV918" s="45"/>
      <c r="AW918" s="45"/>
      <c r="AX918" s="45"/>
      <c r="AY918" s="45"/>
      <c r="AZ918" s="45"/>
      <c r="BA918" s="45"/>
      <c r="CM918" s="46"/>
      <c r="CO918" s="70"/>
    </row>
    <row r="919" spans="13:93" ht="15">
      <c r="M919" s="45"/>
      <c r="N919" s="45"/>
      <c r="O919" s="45"/>
      <c r="P919" s="45"/>
      <c r="AD919" s="36"/>
      <c r="AE919" s="36"/>
      <c r="AF919" s="36"/>
      <c r="AG919" s="36"/>
      <c r="AH919" s="36"/>
      <c r="AI919" s="36"/>
      <c r="AJ919" s="36"/>
      <c r="AK919" s="36"/>
      <c r="AT919" s="45"/>
      <c r="AU919" s="45"/>
      <c r="AV919" s="45"/>
      <c r="AW919" s="45"/>
      <c r="AX919" s="45"/>
      <c r="AY919" s="45"/>
      <c r="AZ919" s="45"/>
      <c r="BA919" s="45"/>
      <c r="CM919" s="46"/>
      <c r="CO919" s="70"/>
    </row>
    <row r="920" spans="13:93" ht="15">
      <c r="M920" s="45"/>
      <c r="N920" s="45"/>
      <c r="O920" s="45"/>
      <c r="P920" s="45"/>
      <c r="AD920" s="36"/>
      <c r="AE920" s="36"/>
      <c r="AF920" s="36"/>
      <c r="AG920" s="36"/>
      <c r="AH920" s="36"/>
      <c r="AI920" s="36"/>
      <c r="AJ920" s="36"/>
      <c r="AK920" s="36"/>
      <c r="AT920" s="45"/>
      <c r="AU920" s="45"/>
      <c r="AV920" s="45"/>
      <c r="AW920" s="45"/>
      <c r="AX920" s="45"/>
      <c r="AY920" s="45"/>
      <c r="AZ920" s="45"/>
      <c r="BA920" s="45"/>
      <c r="CM920" s="46"/>
      <c r="CO920" s="70"/>
    </row>
    <row r="921" spans="13:93" ht="15">
      <c r="M921" s="45"/>
      <c r="N921" s="45"/>
      <c r="O921" s="45"/>
      <c r="P921" s="45"/>
      <c r="AD921" s="36"/>
      <c r="AE921" s="36"/>
      <c r="AF921" s="36"/>
      <c r="AG921" s="36"/>
      <c r="AH921" s="36"/>
      <c r="AI921" s="36"/>
      <c r="AJ921" s="36"/>
      <c r="AK921" s="36"/>
      <c r="AT921" s="45"/>
      <c r="AU921" s="45"/>
      <c r="AV921" s="45"/>
      <c r="AW921" s="45"/>
      <c r="AX921" s="45"/>
      <c r="AY921" s="45"/>
      <c r="AZ921" s="45"/>
      <c r="BA921" s="45"/>
      <c r="CM921" s="46"/>
      <c r="CO921" s="70"/>
    </row>
    <row r="922" spans="13:93" ht="15">
      <c r="M922" s="45"/>
      <c r="N922" s="45"/>
      <c r="O922" s="45"/>
      <c r="P922" s="45"/>
      <c r="AD922" s="36"/>
      <c r="AE922" s="36"/>
      <c r="AF922" s="36"/>
      <c r="AG922" s="36"/>
      <c r="AH922" s="36"/>
      <c r="AI922" s="36"/>
      <c r="AJ922" s="36"/>
      <c r="AK922" s="36"/>
      <c r="AT922" s="45"/>
      <c r="AU922" s="45"/>
      <c r="AV922" s="45"/>
      <c r="AW922" s="45"/>
      <c r="AX922" s="45"/>
      <c r="AY922" s="45"/>
      <c r="AZ922" s="45"/>
      <c r="BA922" s="45"/>
      <c r="CM922" s="46"/>
      <c r="CO922" s="70"/>
    </row>
    <row r="923" spans="13:93" ht="15">
      <c r="M923" s="45"/>
      <c r="N923" s="45"/>
      <c r="O923" s="45"/>
      <c r="P923" s="45"/>
      <c r="AD923" s="36"/>
      <c r="AE923" s="36"/>
      <c r="AF923" s="36"/>
      <c r="AG923" s="36"/>
      <c r="AH923" s="36"/>
      <c r="AI923" s="36"/>
      <c r="AJ923" s="36"/>
      <c r="AK923" s="36"/>
      <c r="AT923" s="45"/>
      <c r="AU923" s="45"/>
      <c r="AV923" s="45"/>
      <c r="AW923" s="45"/>
      <c r="AX923" s="45"/>
      <c r="AY923" s="45"/>
      <c r="AZ923" s="45"/>
      <c r="BA923" s="45"/>
      <c r="CM923" s="46"/>
      <c r="CO923" s="70"/>
    </row>
    <row r="924" spans="13:93" ht="15">
      <c r="M924" s="45"/>
      <c r="N924" s="45"/>
      <c r="O924" s="45"/>
      <c r="P924" s="45"/>
      <c r="AD924" s="36"/>
      <c r="AE924" s="36"/>
      <c r="AF924" s="36"/>
      <c r="AG924" s="36"/>
      <c r="AH924" s="36"/>
      <c r="AI924" s="36"/>
      <c r="AJ924" s="36"/>
      <c r="AK924" s="36"/>
      <c r="AT924" s="45"/>
      <c r="AU924" s="45"/>
      <c r="AV924" s="45"/>
      <c r="AW924" s="45"/>
      <c r="AX924" s="45"/>
      <c r="AY924" s="45"/>
      <c r="AZ924" s="45"/>
      <c r="BA924" s="45"/>
      <c r="CM924" s="46"/>
      <c r="CO924" s="70"/>
    </row>
    <row r="925" spans="13:93" ht="15">
      <c r="M925" s="45"/>
      <c r="N925" s="45"/>
      <c r="O925" s="45"/>
      <c r="P925" s="45"/>
      <c r="AD925" s="36"/>
      <c r="AE925" s="36"/>
      <c r="AF925" s="36"/>
      <c r="AG925" s="36"/>
      <c r="AH925" s="36"/>
      <c r="AI925" s="36"/>
      <c r="AJ925" s="36"/>
      <c r="AK925" s="36"/>
      <c r="AT925" s="45"/>
      <c r="AU925" s="45"/>
      <c r="AV925" s="45"/>
      <c r="AW925" s="45"/>
      <c r="AX925" s="45"/>
      <c r="AY925" s="45"/>
      <c r="AZ925" s="45"/>
      <c r="BA925" s="45"/>
      <c r="CM925" s="46"/>
      <c r="CO925" s="70"/>
    </row>
    <row r="926" spans="13:93" ht="15">
      <c r="M926" s="45"/>
      <c r="N926" s="45"/>
      <c r="O926" s="45"/>
      <c r="P926" s="45"/>
      <c r="AD926" s="36"/>
      <c r="AE926" s="36"/>
      <c r="AF926" s="36"/>
      <c r="AG926" s="36"/>
      <c r="AH926" s="36"/>
      <c r="AI926" s="36"/>
      <c r="AJ926" s="36"/>
      <c r="AK926" s="36"/>
      <c r="AT926" s="45"/>
      <c r="AU926" s="45"/>
      <c r="AV926" s="45"/>
      <c r="AW926" s="45"/>
      <c r="AX926" s="45"/>
      <c r="AY926" s="45"/>
      <c r="AZ926" s="45"/>
      <c r="BA926" s="45"/>
      <c r="CM926" s="46"/>
      <c r="CO926" s="70"/>
    </row>
    <row r="927" spans="13:93" ht="15">
      <c r="M927" s="45"/>
      <c r="N927" s="45"/>
      <c r="O927" s="45"/>
      <c r="P927" s="45"/>
      <c r="AD927" s="36"/>
      <c r="AE927" s="36"/>
      <c r="AF927" s="36"/>
      <c r="AG927" s="36"/>
      <c r="AH927" s="36"/>
      <c r="AI927" s="36"/>
      <c r="AJ927" s="36"/>
      <c r="AK927" s="36"/>
      <c r="AT927" s="45"/>
      <c r="AU927" s="45"/>
      <c r="AV927" s="45"/>
      <c r="AW927" s="45"/>
      <c r="AX927" s="45"/>
      <c r="AY927" s="45"/>
      <c r="AZ927" s="45"/>
      <c r="BA927" s="45"/>
      <c r="CM927" s="46"/>
      <c r="CO927" s="70"/>
    </row>
    <row r="928" spans="13:93" ht="15">
      <c r="M928" s="45"/>
      <c r="N928" s="45"/>
      <c r="O928" s="45"/>
      <c r="P928" s="45"/>
      <c r="AD928" s="36"/>
      <c r="AE928" s="36"/>
      <c r="AF928" s="36"/>
      <c r="AG928" s="36"/>
      <c r="AH928" s="36"/>
      <c r="AI928" s="36"/>
      <c r="AJ928" s="36"/>
      <c r="AK928" s="36"/>
      <c r="AT928" s="45"/>
      <c r="AU928" s="45"/>
      <c r="AV928" s="45"/>
      <c r="AW928" s="45"/>
      <c r="AX928" s="45"/>
      <c r="AY928" s="45"/>
      <c r="AZ928" s="45"/>
      <c r="BA928" s="45"/>
      <c r="CM928" s="46"/>
      <c r="CO928" s="70"/>
    </row>
    <row r="929" spans="13:93" ht="15">
      <c r="M929" s="45"/>
      <c r="N929" s="45"/>
      <c r="O929" s="45"/>
      <c r="P929" s="45"/>
      <c r="AD929" s="36"/>
      <c r="AE929" s="36"/>
      <c r="AF929" s="36"/>
      <c r="AG929" s="36"/>
      <c r="AH929" s="36"/>
      <c r="AI929" s="36"/>
      <c r="AJ929" s="36"/>
      <c r="AK929" s="36"/>
      <c r="AT929" s="45"/>
      <c r="AU929" s="45"/>
      <c r="AV929" s="45"/>
      <c r="AW929" s="45"/>
      <c r="AX929" s="45"/>
      <c r="AY929" s="45"/>
      <c r="AZ929" s="45"/>
      <c r="BA929" s="45"/>
      <c r="CM929" s="46"/>
      <c r="CO929" s="70"/>
    </row>
    <row r="930" spans="13:93" ht="15">
      <c r="M930" s="45"/>
      <c r="N930" s="45"/>
      <c r="O930" s="45"/>
      <c r="P930" s="45"/>
      <c r="AD930" s="36"/>
      <c r="AE930" s="36"/>
      <c r="AF930" s="36"/>
      <c r="AG930" s="36"/>
      <c r="AH930" s="36"/>
      <c r="AI930" s="36"/>
      <c r="AJ930" s="36"/>
      <c r="AK930" s="36"/>
      <c r="AT930" s="45"/>
      <c r="AU930" s="45"/>
      <c r="AV930" s="45"/>
      <c r="AW930" s="45"/>
      <c r="AX930" s="45"/>
      <c r="AY930" s="45"/>
      <c r="AZ930" s="45"/>
      <c r="BA930" s="45"/>
      <c r="CM930" s="46"/>
      <c r="CO930" s="70"/>
    </row>
    <row r="931" spans="13:93" ht="15">
      <c r="M931" s="45"/>
      <c r="N931" s="45"/>
      <c r="O931" s="45"/>
      <c r="P931" s="45"/>
      <c r="AD931" s="36"/>
      <c r="AE931" s="36"/>
      <c r="AF931" s="36"/>
      <c r="AG931" s="36"/>
      <c r="AH931" s="36"/>
      <c r="AI931" s="36"/>
      <c r="AJ931" s="36"/>
      <c r="AK931" s="36"/>
      <c r="AT931" s="45"/>
      <c r="AU931" s="45"/>
      <c r="AV931" s="45"/>
      <c r="AW931" s="45"/>
      <c r="AX931" s="45"/>
      <c r="AY931" s="45"/>
      <c r="AZ931" s="45"/>
      <c r="BA931" s="45"/>
      <c r="CM931" s="46"/>
      <c r="CO931" s="70"/>
    </row>
    <row r="932" spans="13:93" ht="15">
      <c r="M932" s="45"/>
      <c r="N932" s="45"/>
      <c r="O932" s="45"/>
      <c r="P932" s="45"/>
      <c r="AD932" s="36"/>
      <c r="AE932" s="36"/>
      <c r="AF932" s="36"/>
      <c r="AG932" s="36"/>
      <c r="AH932" s="36"/>
      <c r="AI932" s="36"/>
      <c r="AJ932" s="36"/>
      <c r="AK932" s="36"/>
      <c r="AT932" s="45"/>
      <c r="AU932" s="45"/>
      <c r="AV932" s="45"/>
      <c r="AW932" s="45"/>
      <c r="AX932" s="45"/>
      <c r="AY932" s="45"/>
      <c r="AZ932" s="45"/>
      <c r="BA932" s="45"/>
      <c r="CM932" s="46"/>
      <c r="CO932" s="70"/>
    </row>
    <row r="933" spans="13:93" ht="15">
      <c r="M933" s="45"/>
      <c r="N933" s="45"/>
      <c r="O933" s="45"/>
      <c r="P933" s="45"/>
      <c r="AD933" s="36"/>
      <c r="AE933" s="36"/>
      <c r="AF933" s="36"/>
      <c r="AG933" s="36"/>
      <c r="AH933" s="36"/>
      <c r="AI933" s="36"/>
      <c r="AJ933" s="36"/>
      <c r="AK933" s="36"/>
      <c r="AT933" s="45"/>
      <c r="AU933" s="45"/>
      <c r="AV933" s="45"/>
      <c r="AW933" s="45"/>
      <c r="AX933" s="45"/>
      <c r="AY933" s="45"/>
      <c r="AZ933" s="45"/>
      <c r="BA933" s="45"/>
      <c r="CM933" s="46"/>
      <c r="CO933" s="70"/>
    </row>
    <row r="934" spans="13:93" ht="15">
      <c r="M934" s="45"/>
      <c r="N934" s="45"/>
      <c r="O934" s="45"/>
      <c r="P934" s="45"/>
      <c r="AD934" s="36"/>
      <c r="AE934" s="36"/>
      <c r="AF934" s="36"/>
      <c r="AG934" s="36"/>
      <c r="AH934" s="36"/>
      <c r="AI934" s="36"/>
      <c r="AJ934" s="36"/>
      <c r="AK934" s="36"/>
      <c r="AT934" s="45"/>
      <c r="AU934" s="45"/>
      <c r="AV934" s="45"/>
      <c r="AW934" s="45"/>
      <c r="AX934" s="45"/>
      <c r="AY934" s="45"/>
      <c r="AZ934" s="45"/>
      <c r="BA934" s="45"/>
      <c r="CM934" s="46"/>
      <c r="CO934" s="70"/>
    </row>
    <row r="935" spans="13:93" ht="15">
      <c r="M935" s="45"/>
      <c r="N935" s="45"/>
      <c r="O935" s="45"/>
      <c r="P935" s="45"/>
      <c r="AD935" s="36"/>
      <c r="AE935" s="36"/>
      <c r="AF935" s="36"/>
      <c r="AG935" s="36"/>
      <c r="AH935" s="36"/>
      <c r="AI935" s="36"/>
      <c r="AJ935" s="36"/>
      <c r="AK935" s="36"/>
      <c r="AT935" s="45"/>
      <c r="AU935" s="45"/>
      <c r="AV935" s="45"/>
      <c r="AW935" s="45"/>
      <c r="AX935" s="45"/>
      <c r="AY935" s="45"/>
      <c r="AZ935" s="45"/>
      <c r="BA935" s="45"/>
      <c r="CM935" s="46"/>
      <c r="CO935" s="70"/>
    </row>
    <row r="936" spans="13:93" ht="15">
      <c r="M936" s="45"/>
      <c r="N936" s="45"/>
      <c r="O936" s="45"/>
      <c r="P936" s="45"/>
      <c r="AD936" s="36"/>
      <c r="AE936" s="36"/>
      <c r="AF936" s="36"/>
      <c r="AG936" s="36"/>
      <c r="AH936" s="36"/>
      <c r="AI936" s="36"/>
      <c r="AJ936" s="36"/>
      <c r="AK936" s="36"/>
      <c r="AT936" s="45"/>
      <c r="AU936" s="45"/>
      <c r="AV936" s="45"/>
      <c r="AW936" s="45"/>
      <c r="AX936" s="45"/>
      <c r="AY936" s="45"/>
      <c r="AZ936" s="45"/>
      <c r="BA936" s="45"/>
      <c r="CM936" s="46"/>
      <c r="CO936" s="70"/>
    </row>
    <row r="937" spans="13:93" ht="15">
      <c r="M937" s="45"/>
      <c r="N937" s="45"/>
      <c r="O937" s="45"/>
      <c r="P937" s="45"/>
      <c r="AD937" s="36"/>
      <c r="AE937" s="36"/>
      <c r="AF937" s="36"/>
      <c r="AG937" s="36"/>
      <c r="AH937" s="36"/>
      <c r="AI937" s="36"/>
      <c r="AJ937" s="36"/>
      <c r="AK937" s="36"/>
      <c r="AT937" s="45"/>
      <c r="AU937" s="45"/>
      <c r="AV937" s="45"/>
      <c r="AW937" s="45"/>
      <c r="AX937" s="45"/>
      <c r="AY937" s="45"/>
      <c r="AZ937" s="45"/>
      <c r="BA937" s="45"/>
      <c r="CM937" s="46"/>
      <c r="CO937" s="70"/>
    </row>
    <row r="938" spans="13:93" ht="15">
      <c r="M938" s="45"/>
      <c r="N938" s="45"/>
      <c r="O938" s="45"/>
      <c r="P938" s="45"/>
      <c r="AD938" s="36"/>
      <c r="AE938" s="36"/>
      <c r="AF938" s="36"/>
      <c r="AG938" s="36"/>
      <c r="AH938" s="36"/>
      <c r="AI938" s="36"/>
      <c r="AJ938" s="36"/>
      <c r="AK938" s="36"/>
      <c r="AT938" s="45"/>
      <c r="AU938" s="45"/>
      <c r="AV938" s="45"/>
      <c r="AW938" s="45"/>
      <c r="AX938" s="45"/>
      <c r="AY938" s="45"/>
      <c r="AZ938" s="45"/>
      <c r="BA938" s="45"/>
      <c r="CM938" s="46"/>
      <c r="CO938" s="70"/>
    </row>
    <row r="939" spans="13:93" ht="15">
      <c r="M939" s="45"/>
      <c r="N939" s="45"/>
      <c r="O939" s="45"/>
      <c r="P939" s="45"/>
      <c r="AD939" s="36"/>
      <c r="AE939" s="36"/>
      <c r="AF939" s="36"/>
      <c r="AG939" s="36"/>
      <c r="AH939" s="36"/>
      <c r="AI939" s="36"/>
      <c r="AJ939" s="36"/>
      <c r="AK939" s="36"/>
      <c r="AT939" s="45"/>
      <c r="AU939" s="45"/>
      <c r="AV939" s="45"/>
      <c r="AW939" s="45"/>
      <c r="AX939" s="45"/>
      <c r="AY939" s="45"/>
      <c r="AZ939" s="45"/>
      <c r="BA939" s="45"/>
      <c r="CM939" s="46"/>
      <c r="CO939" s="70"/>
    </row>
    <row r="940" spans="13:93" ht="15">
      <c r="M940" s="45"/>
      <c r="N940" s="45"/>
      <c r="O940" s="45"/>
      <c r="P940" s="45"/>
      <c r="AD940" s="36"/>
      <c r="AE940" s="36"/>
      <c r="AF940" s="36"/>
      <c r="AG940" s="36"/>
      <c r="AH940" s="36"/>
      <c r="AI940" s="36"/>
      <c r="AJ940" s="36"/>
      <c r="AK940" s="36"/>
      <c r="AT940" s="45"/>
      <c r="AU940" s="45"/>
      <c r="AV940" s="45"/>
      <c r="AW940" s="45"/>
      <c r="AX940" s="45"/>
      <c r="AY940" s="45"/>
      <c r="AZ940" s="45"/>
      <c r="BA940" s="45"/>
      <c r="CM940" s="46"/>
      <c r="CO940" s="70"/>
    </row>
    <row r="941" spans="13:93" ht="15">
      <c r="M941" s="45"/>
      <c r="N941" s="45"/>
      <c r="O941" s="45"/>
      <c r="P941" s="45"/>
      <c r="AD941" s="36"/>
      <c r="AE941" s="36"/>
      <c r="AF941" s="36"/>
      <c r="AG941" s="36"/>
      <c r="AH941" s="36"/>
      <c r="AI941" s="36"/>
      <c r="AJ941" s="36"/>
      <c r="AK941" s="36"/>
      <c r="AT941" s="45"/>
      <c r="AU941" s="45"/>
      <c r="AV941" s="45"/>
      <c r="AW941" s="45"/>
      <c r="AX941" s="45"/>
      <c r="AY941" s="45"/>
      <c r="AZ941" s="45"/>
      <c r="BA941" s="45"/>
      <c r="CM941" s="46"/>
      <c r="CO941" s="70"/>
    </row>
    <row r="942" spans="13:93" ht="15">
      <c r="M942" s="45"/>
      <c r="N942" s="45"/>
      <c r="O942" s="45"/>
      <c r="P942" s="45"/>
      <c r="AD942" s="36"/>
      <c r="AE942" s="36"/>
      <c r="AF942" s="36"/>
      <c r="AG942" s="36"/>
      <c r="AH942" s="36"/>
      <c r="AI942" s="36"/>
      <c r="AJ942" s="36"/>
      <c r="AK942" s="36"/>
      <c r="AT942" s="45"/>
      <c r="AU942" s="45"/>
      <c r="AV942" s="45"/>
      <c r="AW942" s="45"/>
      <c r="AX942" s="45"/>
      <c r="AY942" s="45"/>
      <c r="AZ942" s="45"/>
      <c r="BA942" s="45"/>
      <c r="CM942" s="46"/>
      <c r="CO942" s="70"/>
    </row>
    <row r="943" spans="13:93" ht="15">
      <c r="M943" s="45"/>
      <c r="N943" s="45"/>
      <c r="O943" s="45"/>
      <c r="P943" s="45"/>
      <c r="AD943" s="36"/>
      <c r="AE943" s="36"/>
      <c r="AF943" s="36"/>
      <c r="AG943" s="36"/>
      <c r="AH943" s="36"/>
      <c r="AI943" s="36"/>
      <c r="AJ943" s="36"/>
      <c r="AK943" s="36"/>
      <c r="AT943" s="45"/>
      <c r="AU943" s="45"/>
      <c r="AV943" s="45"/>
      <c r="AW943" s="45"/>
      <c r="AX943" s="45"/>
      <c r="AY943" s="45"/>
      <c r="AZ943" s="45"/>
      <c r="BA943" s="45"/>
      <c r="CM943" s="46"/>
      <c r="CO943" s="70"/>
    </row>
    <row r="944" spans="13:93" ht="15">
      <c r="M944" s="45"/>
      <c r="N944" s="45"/>
      <c r="O944" s="45"/>
      <c r="P944" s="45"/>
      <c r="AD944" s="36"/>
      <c r="AE944" s="36"/>
      <c r="AF944" s="36"/>
      <c r="AG944" s="36"/>
      <c r="AH944" s="36"/>
      <c r="AI944" s="36"/>
      <c r="AJ944" s="36"/>
      <c r="AK944" s="36"/>
      <c r="AT944" s="45"/>
      <c r="AU944" s="45"/>
      <c r="AV944" s="45"/>
      <c r="AW944" s="45"/>
      <c r="AX944" s="45"/>
      <c r="AY944" s="45"/>
      <c r="AZ944" s="45"/>
      <c r="BA944" s="45"/>
      <c r="CM944" s="46"/>
      <c r="CO944" s="70"/>
    </row>
    <row r="945" spans="13:93" ht="15">
      <c r="M945" s="45"/>
      <c r="N945" s="45"/>
      <c r="O945" s="45"/>
      <c r="P945" s="45"/>
      <c r="AD945" s="36"/>
      <c r="AE945" s="36"/>
      <c r="AF945" s="36"/>
      <c r="AG945" s="36"/>
      <c r="AH945" s="36"/>
      <c r="AI945" s="36"/>
      <c r="AJ945" s="36"/>
      <c r="AK945" s="36"/>
      <c r="AT945" s="45"/>
      <c r="AU945" s="45"/>
      <c r="AV945" s="45"/>
      <c r="AW945" s="45"/>
      <c r="AX945" s="45"/>
      <c r="AY945" s="45"/>
      <c r="AZ945" s="45"/>
      <c r="BA945" s="45"/>
      <c r="CM945" s="46"/>
      <c r="CO945" s="70"/>
    </row>
    <row r="946" spans="13:93" ht="15">
      <c r="M946" s="45"/>
      <c r="N946" s="45"/>
      <c r="O946" s="45"/>
      <c r="P946" s="45"/>
      <c r="AD946" s="36"/>
      <c r="AE946" s="36"/>
      <c r="AF946" s="36"/>
      <c r="AG946" s="36"/>
      <c r="AH946" s="36"/>
      <c r="AI946" s="36"/>
      <c r="AJ946" s="36"/>
      <c r="AK946" s="36"/>
      <c r="AT946" s="45"/>
      <c r="AU946" s="45"/>
      <c r="AV946" s="45"/>
      <c r="AW946" s="45"/>
      <c r="AX946" s="45"/>
      <c r="AY946" s="45"/>
      <c r="AZ946" s="45"/>
      <c r="BA946" s="45"/>
      <c r="CM946" s="46"/>
      <c r="CO946" s="70"/>
    </row>
    <row r="947" spans="13:93" ht="15">
      <c r="M947" s="45"/>
      <c r="N947" s="45"/>
      <c r="O947" s="45"/>
      <c r="P947" s="45"/>
      <c r="AD947" s="36"/>
      <c r="AE947" s="36"/>
      <c r="AF947" s="36"/>
      <c r="AG947" s="36"/>
      <c r="AH947" s="36"/>
      <c r="AI947" s="36"/>
      <c r="AJ947" s="36"/>
      <c r="AK947" s="36"/>
      <c r="AT947" s="45"/>
      <c r="AU947" s="45"/>
      <c r="AV947" s="45"/>
      <c r="AW947" s="45"/>
      <c r="AX947" s="45"/>
      <c r="AY947" s="45"/>
      <c r="AZ947" s="45"/>
      <c r="BA947" s="45"/>
      <c r="CM947" s="46"/>
      <c r="CO947" s="70"/>
    </row>
    <row r="948" spans="13:93" ht="15">
      <c r="M948" s="45"/>
      <c r="N948" s="45"/>
      <c r="O948" s="45"/>
      <c r="P948" s="45"/>
      <c r="AD948" s="36"/>
      <c r="AE948" s="36"/>
      <c r="AF948" s="36"/>
      <c r="AG948" s="36"/>
      <c r="AH948" s="36"/>
      <c r="AI948" s="36"/>
      <c r="AJ948" s="36"/>
      <c r="AK948" s="36"/>
      <c r="AT948" s="45"/>
      <c r="AU948" s="45"/>
      <c r="AV948" s="45"/>
      <c r="AW948" s="45"/>
      <c r="AX948" s="45"/>
      <c r="AY948" s="45"/>
      <c r="AZ948" s="45"/>
      <c r="BA948" s="45"/>
      <c r="CM948" s="46"/>
      <c r="CO948" s="70"/>
    </row>
    <row r="949" spans="13:93" ht="15">
      <c r="M949" s="45"/>
      <c r="N949" s="45"/>
      <c r="O949" s="45"/>
      <c r="P949" s="45"/>
      <c r="AD949" s="36"/>
      <c r="AE949" s="36"/>
      <c r="AF949" s="36"/>
      <c r="AG949" s="36"/>
      <c r="AH949" s="36"/>
      <c r="AI949" s="36"/>
      <c r="AJ949" s="36"/>
      <c r="AK949" s="36"/>
      <c r="AT949" s="45"/>
      <c r="AU949" s="45"/>
      <c r="AV949" s="45"/>
      <c r="AW949" s="45"/>
      <c r="AX949" s="45"/>
      <c r="AY949" s="45"/>
      <c r="AZ949" s="45"/>
      <c r="BA949" s="45"/>
      <c r="CM949" s="46"/>
      <c r="CO949" s="70"/>
    </row>
    <row r="950" spans="13:93" ht="15">
      <c r="M950" s="45"/>
      <c r="N950" s="45"/>
      <c r="O950" s="45"/>
      <c r="P950" s="45"/>
      <c r="AD950" s="36"/>
      <c r="AE950" s="36"/>
      <c r="AF950" s="36"/>
      <c r="AG950" s="36"/>
      <c r="AH950" s="36"/>
      <c r="AI950" s="36"/>
      <c r="AJ950" s="36"/>
      <c r="AK950" s="36"/>
      <c r="AT950" s="45"/>
      <c r="AU950" s="45"/>
      <c r="AV950" s="45"/>
      <c r="AW950" s="45"/>
      <c r="AX950" s="45"/>
      <c r="AY950" s="45"/>
      <c r="AZ950" s="45"/>
      <c r="BA950" s="45"/>
      <c r="CM950" s="46"/>
      <c r="CO950" s="70"/>
    </row>
    <row r="951" spans="13:93" ht="15">
      <c r="M951" s="45"/>
      <c r="N951" s="45"/>
      <c r="O951" s="45"/>
      <c r="P951" s="45"/>
      <c r="AD951" s="36"/>
      <c r="AE951" s="36"/>
      <c r="AF951" s="36"/>
      <c r="AG951" s="36"/>
      <c r="AH951" s="36"/>
      <c r="AI951" s="36"/>
      <c r="AJ951" s="36"/>
      <c r="AK951" s="36"/>
      <c r="AT951" s="45"/>
      <c r="AU951" s="45"/>
      <c r="AV951" s="45"/>
      <c r="AW951" s="45"/>
      <c r="AX951" s="45"/>
      <c r="AY951" s="45"/>
      <c r="AZ951" s="45"/>
      <c r="BA951" s="45"/>
      <c r="CM951" s="46"/>
      <c r="CO951" s="70"/>
    </row>
    <row r="952" spans="13:93" ht="15">
      <c r="M952" s="45"/>
      <c r="N952" s="45"/>
      <c r="O952" s="45"/>
      <c r="P952" s="45"/>
      <c r="AD952" s="36"/>
      <c r="AE952" s="36"/>
      <c r="AF952" s="36"/>
      <c r="AG952" s="36"/>
      <c r="AH952" s="36"/>
      <c r="AI952" s="36"/>
      <c r="AJ952" s="36"/>
      <c r="AK952" s="36"/>
      <c r="AT952" s="45"/>
      <c r="AU952" s="45"/>
      <c r="AV952" s="45"/>
      <c r="AW952" s="45"/>
      <c r="AX952" s="45"/>
      <c r="AY952" s="45"/>
      <c r="AZ952" s="45"/>
      <c r="BA952" s="45"/>
      <c r="CM952" s="46"/>
      <c r="CO952" s="70"/>
    </row>
    <row r="953" spans="13:93" ht="15">
      <c r="M953" s="45"/>
      <c r="N953" s="45"/>
      <c r="O953" s="45"/>
      <c r="P953" s="45"/>
      <c r="AD953" s="36"/>
      <c r="AE953" s="36"/>
      <c r="AF953" s="36"/>
      <c r="AG953" s="36"/>
      <c r="AH953" s="36"/>
      <c r="AI953" s="36"/>
      <c r="AJ953" s="36"/>
      <c r="AK953" s="36"/>
      <c r="AT953" s="45"/>
      <c r="AU953" s="45"/>
      <c r="AV953" s="45"/>
      <c r="AW953" s="45"/>
      <c r="AX953" s="45"/>
      <c r="AY953" s="45"/>
      <c r="AZ953" s="45"/>
      <c r="BA953" s="45"/>
      <c r="CM953" s="46"/>
      <c r="CO953" s="70"/>
    </row>
    <row r="954" spans="13:93" ht="15">
      <c r="M954" s="45"/>
      <c r="N954" s="45"/>
      <c r="O954" s="45"/>
      <c r="P954" s="45"/>
      <c r="AD954" s="36"/>
      <c r="AE954" s="36"/>
      <c r="AF954" s="36"/>
      <c r="AG954" s="36"/>
      <c r="AH954" s="36"/>
      <c r="AI954" s="36"/>
      <c r="AJ954" s="36"/>
      <c r="AK954" s="36"/>
      <c r="AT954" s="45"/>
      <c r="AU954" s="45"/>
      <c r="AV954" s="45"/>
      <c r="AW954" s="45"/>
      <c r="AX954" s="45"/>
      <c r="AY954" s="45"/>
      <c r="AZ954" s="45"/>
      <c r="BA954" s="45"/>
      <c r="CM954" s="46"/>
      <c r="CO954" s="70"/>
    </row>
    <row r="955" spans="13:93" ht="15">
      <c r="M955" s="45"/>
      <c r="N955" s="45"/>
      <c r="O955" s="45"/>
      <c r="P955" s="45"/>
      <c r="AD955" s="36"/>
      <c r="AE955" s="36"/>
      <c r="AF955" s="36"/>
      <c r="AG955" s="36"/>
      <c r="AH955" s="36"/>
      <c r="AI955" s="36"/>
      <c r="AJ955" s="36"/>
      <c r="AK955" s="36"/>
      <c r="AT955" s="45"/>
      <c r="AU955" s="45"/>
      <c r="AV955" s="45"/>
      <c r="AW955" s="45"/>
      <c r="AX955" s="45"/>
      <c r="AY955" s="45"/>
      <c r="AZ955" s="45"/>
      <c r="BA955" s="45"/>
      <c r="CM955" s="46"/>
      <c r="CO955" s="70"/>
    </row>
    <row r="956" spans="13:93" ht="15">
      <c r="M956" s="45"/>
      <c r="N956" s="45"/>
      <c r="O956" s="45"/>
      <c r="P956" s="45"/>
      <c r="AD956" s="36"/>
      <c r="AE956" s="36"/>
      <c r="AF956" s="36"/>
      <c r="AG956" s="36"/>
      <c r="AH956" s="36"/>
      <c r="AI956" s="36"/>
      <c r="AJ956" s="36"/>
      <c r="AK956" s="36"/>
      <c r="AT956" s="45"/>
      <c r="AU956" s="45"/>
      <c r="AV956" s="45"/>
      <c r="AW956" s="45"/>
      <c r="AX956" s="45"/>
      <c r="AY956" s="45"/>
      <c r="AZ956" s="45"/>
      <c r="BA956" s="45"/>
      <c r="CM956" s="46"/>
      <c r="CO956" s="70"/>
    </row>
    <row r="957" spans="13:93" ht="15">
      <c r="M957" s="45"/>
      <c r="N957" s="45"/>
      <c r="O957" s="45"/>
      <c r="P957" s="45"/>
      <c r="AD957" s="36"/>
      <c r="AE957" s="36"/>
      <c r="AF957" s="36"/>
      <c r="AG957" s="36"/>
      <c r="AH957" s="36"/>
      <c r="AI957" s="36"/>
      <c r="AJ957" s="36"/>
      <c r="AK957" s="36"/>
      <c r="AT957" s="45"/>
      <c r="AU957" s="45"/>
      <c r="AV957" s="45"/>
      <c r="AW957" s="45"/>
      <c r="AX957" s="45"/>
      <c r="AY957" s="45"/>
      <c r="AZ957" s="45"/>
      <c r="BA957" s="45"/>
      <c r="CM957" s="46"/>
      <c r="CO957" s="70"/>
    </row>
    <row r="958" spans="13:93" ht="15">
      <c r="M958" s="45"/>
      <c r="N958" s="45"/>
      <c r="O958" s="45"/>
      <c r="P958" s="45"/>
      <c r="AD958" s="36"/>
      <c r="AE958" s="36"/>
      <c r="AF958" s="36"/>
      <c r="AG958" s="36"/>
      <c r="AH958" s="36"/>
      <c r="AI958" s="36"/>
      <c r="AJ958" s="36"/>
      <c r="AK958" s="36"/>
      <c r="AT958" s="45"/>
      <c r="AU958" s="45"/>
      <c r="AV958" s="45"/>
      <c r="AW958" s="45"/>
      <c r="AX958" s="45"/>
      <c r="AY958" s="45"/>
      <c r="AZ958" s="45"/>
      <c r="BA958" s="45"/>
      <c r="CM958" s="46"/>
      <c r="CO958" s="70"/>
    </row>
    <row r="959" spans="13:93" ht="15">
      <c r="M959" s="45"/>
      <c r="N959" s="45"/>
      <c r="O959" s="45"/>
      <c r="P959" s="45"/>
      <c r="AD959" s="36"/>
      <c r="AE959" s="36"/>
      <c r="AF959" s="36"/>
      <c r="AG959" s="36"/>
      <c r="AH959" s="36"/>
      <c r="AI959" s="36"/>
      <c r="AJ959" s="36"/>
      <c r="AK959" s="36"/>
      <c r="AT959" s="45"/>
      <c r="AU959" s="45"/>
      <c r="AV959" s="45"/>
      <c r="AW959" s="45"/>
      <c r="AX959" s="45"/>
      <c r="AY959" s="45"/>
      <c r="AZ959" s="45"/>
      <c r="BA959" s="45"/>
      <c r="CM959" s="46"/>
      <c r="CO959" s="70"/>
    </row>
    <row r="960" spans="13:93" ht="15">
      <c r="M960" s="45"/>
      <c r="N960" s="45"/>
      <c r="O960" s="45"/>
      <c r="P960" s="45"/>
      <c r="AD960" s="36"/>
      <c r="AE960" s="36"/>
      <c r="AF960" s="36"/>
      <c r="AG960" s="36"/>
      <c r="AH960" s="36"/>
      <c r="AI960" s="36"/>
      <c r="AJ960" s="36"/>
      <c r="AK960" s="36"/>
      <c r="AT960" s="45"/>
      <c r="AU960" s="45"/>
      <c r="AV960" s="45"/>
      <c r="AW960" s="45"/>
      <c r="AX960" s="45"/>
      <c r="AY960" s="45"/>
      <c r="AZ960" s="45"/>
      <c r="BA960" s="45"/>
      <c r="CM960" s="46"/>
      <c r="CO960" s="70"/>
    </row>
    <row r="961" spans="13:93" ht="15">
      <c r="M961" s="45"/>
      <c r="N961" s="45"/>
      <c r="O961" s="45"/>
      <c r="P961" s="45"/>
      <c r="AD961" s="36"/>
      <c r="AE961" s="36"/>
      <c r="AF961" s="36"/>
      <c r="AG961" s="36"/>
      <c r="AH961" s="36"/>
      <c r="AI961" s="36"/>
      <c r="AJ961" s="36"/>
      <c r="AK961" s="36"/>
      <c r="AT961" s="45"/>
      <c r="AU961" s="45"/>
      <c r="AV961" s="45"/>
      <c r="AW961" s="45"/>
      <c r="AX961" s="45"/>
      <c r="AY961" s="45"/>
      <c r="AZ961" s="45"/>
      <c r="BA961" s="45"/>
      <c r="CM961" s="46"/>
      <c r="CO961" s="70"/>
    </row>
    <row r="962" spans="13:93" ht="15">
      <c r="M962" s="45"/>
      <c r="N962" s="45"/>
      <c r="O962" s="45"/>
      <c r="P962" s="45"/>
      <c r="AD962" s="36"/>
      <c r="AE962" s="36"/>
      <c r="AF962" s="36"/>
      <c r="AG962" s="36"/>
      <c r="AH962" s="36"/>
      <c r="AI962" s="36"/>
      <c r="AJ962" s="36"/>
      <c r="AK962" s="36"/>
      <c r="AT962" s="45"/>
      <c r="AU962" s="45"/>
      <c r="AV962" s="45"/>
      <c r="AW962" s="45"/>
      <c r="AX962" s="45"/>
      <c r="AY962" s="45"/>
      <c r="AZ962" s="45"/>
      <c r="BA962" s="45"/>
      <c r="CM962" s="46"/>
      <c r="CO962" s="70"/>
    </row>
    <row r="963" spans="13:93" ht="15">
      <c r="M963" s="45"/>
      <c r="N963" s="45"/>
      <c r="O963" s="45"/>
      <c r="P963" s="45"/>
      <c r="AD963" s="36"/>
      <c r="AE963" s="36"/>
      <c r="AF963" s="36"/>
      <c r="AG963" s="36"/>
      <c r="AH963" s="36"/>
      <c r="AI963" s="36"/>
      <c r="AJ963" s="36"/>
      <c r="AK963" s="36"/>
      <c r="AT963" s="45"/>
      <c r="AU963" s="45"/>
      <c r="AV963" s="45"/>
      <c r="AW963" s="45"/>
      <c r="AX963" s="45"/>
      <c r="AY963" s="45"/>
      <c r="AZ963" s="45"/>
      <c r="BA963" s="45"/>
      <c r="CM963" s="46"/>
      <c r="CO963" s="70"/>
    </row>
    <row r="964" spans="13:93" ht="15">
      <c r="M964" s="45"/>
      <c r="N964" s="45"/>
      <c r="O964" s="45"/>
      <c r="P964" s="45"/>
      <c r="AD964" s="36"/>
      <c r="AE964" s="36"/>
      <c r="AF964" s="36"/>
      <c r="AG964" s="36"/>
      <c r="AH964" s="36"/>
      <c r="AI964" s="36"/>
      <c r="AJ964" s="36"/>
      <c r="AK964" s="36"/>
      <c r="AT964" s="45"/>
      <c r="AU964" s="45"/>
      <c r="AV964" s="45"/>
      <c r="AW964" s="45"/>
      <c r="AX964" s="45"/>
      <c r="AY964" s="45"/>
      <c r="AZ964" s="45"/>
      <c r="BA964" s="45"/>
      <c r="CM964" s="46"/>
      <c r="CO964" s="70"/>
    </row>
    <row r="965" spans="13:93" ht="15">
      <c r="M965" s="45"/>
      <c r="N965" s="45"/>
      <c r="O965" s="45"/>
      <c r="P965" s="45"/>
      <c r="AD965" s="36"/>
      <c r="AE965" s="36"/>
      <c r="AF965" s="36"/>
      <c r="AG965" s="36"/>
      <c r="AH965" s="36"/>
      <c r="AI965" s="36"/>
      <c r="AJ965" s="36"/>
      <c r="AK965" s="36"/>
      <c r="AT965" s="45"/>
      <c r="AU965" s="45"/>
      <c r="AV965" s="45"/>
      <c r="AW965" s="45"/>
      <c r="AX965" s="45"/>
      <c r="AY965" s="45"/>
      <c r="AZ965" s="45"/>
      <c r="BA965" s="45"/>
      <c r="CM965" s="46"/>
      <c r="CO965" s="70"/>
    </row>
    <row r="966" spans="13:93" ht="15">
      <c r="M966" s="45"/>
      <c r="N966" s="45"/>
      <c r="O966" s="45"/>
      <c r="P966" s="45"/>
      <c r="AD966" s="36"/>
      <c r="AE966" s="36"/>
      <c r="AF966" s="36"/>
      <c r="AG966" s="36"/>
      <c r="AH966" s="36"/>
      <c r="AI966" s="36"/>
      <c r="AJ966" s="36"/>
      <c r="AK966" s="36"/>
      <c r="AT966" s="45"/>
      <c r="AU966" s="45"/>
      <c r="AV966" s="45"/>
      <c r="AW966" s="45"/>
      <c r="AX966" s="45"/>
      <c r="AY966" s="45"/>
      <c r="AZ966" s="45"/>
      <c r="BA966" s="45"/>
      <c r="CM966" s="46"/>
      <c r="CO966" s="70"/>
    </row>
    <row r="967" spans="13:93" ht="15">
      <c r="M967" s="45"/>
      <c r="N967" s="45"/>
      <c r="O967" s="45"/>
      <c r="P967" s="45"/>
      <c r="AD967" s="36"/>
      <c r="AE967" s="36"/>
      <c r="AF967" s="36"/>
      <c r="AG967" s="36"/>
      <c r="AH967" s="36"/>
      <c r="AI967" s="36"/>
      <c r="AJ967" s="36"/>
      <c r="AK967" s="36"/>
      <c r="AT967" s="45"/>
      <c r="AU967" s="45"/>
      <c r="AV967" s="45"/>
      <c r="AW967" s="45"/>
      <c r="AX967" s="45"/>
      <c r="AY967" s="45"/>
      <c r="AZ967" s="45"/>
      <c r="BA967" s="45"/>
      <c r="CM967" s="46"/>
      <c r="CO967" s="70"/>
    </row>
    <row r="968" spans="13:93" ht="15">
      <c r="M968" s="45"/>
      <c r="N968" s="45"/>
      <c r="O968" s="45"/>
      <c r="P968" s="45"/>
      <c r="AD968" s="36"/>
      <c r="AE968" s="36"/>
      <c r="AF968" s="36"/>
      <c r="AG968" s="36"/>
      <c r="AH968" s="36"/>
      <c r="AI968" s="36"/>
      <c r="AJ968" s="36"/>
      <c r="AK968" s="36"/>
      <c r="AT968" s="45"/>
      <c r="AU968" s="45"/>
      <c r="AV968" s="45"/>
      <c r="AW968" s="45"/>
      <c r="AX968" s="45"/>
      <c r="AY968" s="45"/>
      <c r="AZ968" s="45"/>
      <c r="BA968" s="45"/>
      <c r="CM968" s="46"/>
      <c r="CO968" s="70"/>
    </row>
    <row r="969" spans="13:93" ht="15">
      <c r="M969" s="45"/>
      <c r="N969" s="45"/>
      <c r="O969" s="45"/>
      <c r="P969" s="45"/>
      <c r="AD969" s="36"/>
      <c r="AE969" s="36"/>
      <c r="AF969" s="36"/>
      <c r="AG969" s="36"/>
      <c r="AH969" s="36"/>
      <c r="AI969" s="36"/>
      <c r="AJ969" s="36"/>
      <c r="AK969" s="36"/>
      <c r="AT969" s="45"/>
      <c r="AU969" s="45"/>
      <c r="AV969" s="45"/>
      <c r="AW969" s="45"/>
      <c r="AX969" s="45"/>
      <c r="AY969" s="45"/>
      <c r="AZ969" s="45"/>
      <c r="BA969" s="45"/>
      <c r="CM969" s="46"/>
      <c r="CO969" s="70"/>
    </row>
    <row r="970" spans="13:93" ht="15">
      <c r="M970" s="45"/>
      <c r="N970" s="45"/>
      <c r="O970" s="45"/>
      <c r="P970" s="45"/>
      <c r="AD970" s="36"/>
      <c r="AE970" s="36"/>
      <c r="AF970" s="36"/>
      <c r="AG970" s="36"/>
      <c r="AH970" s="36"/>
      <c r="AI970" s="36"/>
      <c r="AJ970" s="36"/>
      <c r="AK970" s="36"/>
      <c r="AT970" s="45"/>
      <c r="AU970" s="45"/>
      <c r="AV970" s="45"/>
      <c r="AW970" s="45"/>
      <c r="AX970" s="45"/>
      <c r="AY970" s="45"/>
      <c r="AZ970" s="45"/>
      <c r="BA970" s="45"/>
      <c r="CM970" s="46"/>
      <c r="CO970" s="70"/>
    </row>
    <row r="971" spans="13:93" ht="15">
      <c r="M971" s="45"/>
      <c r="N971" s="45"/>
      <c r="O971" s="45"/>
      <c r="P971" s="45"/>
      <c r="AD971" s="36"/>
      <c r="AE971" s="36"/>
      <c r="AF971" s="36"/>
      <c r="AG971" s="36"/>
      <c r="AH971" s="36"/>
      <c r="AI971" s="36"/>
      <c r="AJ971" s="36"/>
      <c r="AK971" s="36"/>
      <c r="AT971" s="45"/>
      <c r="AU971" s="45"/>
      <c r="AV971" s="45"/>
      <c r="AW971" s="45"/>
      <c r="AX971" s="45"/>
      <c r="AY971" s="45"/>
      <c r="AZ971" s="45"/>
      <c r="BA971" s="45"/>
      <c r="CM971" s="46"/>
      <c r="CO971" s="70"/>
    </row>
    <row r="972" spans="13:93" ht="15">
      <c r="M972" s="45"/>
      <c r="N972" s="45"/>
      <c r="O972" s="45"/>
      <c r="P972" s="45"/>
      <c r="AD972" s="36"/>
      <c r="AE972" s="36"/>
      <c r="AF972" s="36"/>
      <c r="AG972" s="36"/>
      <c r="AH972" s="36"/>
      <c r="AI972" s="36"/>
      <c r="AJ972" s="36"/>
      <c r="AK972" s="36"/>
      <c r="AT972" s="45"/>
      <c r="AU972" s="45"/>
      <c r="AV972" s="45"/>
      <c r="AW972" s="45"/>
      <c r="AX972" s="45"/>
      <c r="AY972" s="45"/>
      <c r="AZ972" s="45"/>
      <c r="BA972" s="45"/>
      <c r="CM972" s="46"/>
      <c r="CO972" s="70"/>
    </row>
    <row r="973" spans="13:93" ht="15">
      <c r="M973" s="45"/>
      <c r="N973" s="45"/>
      <c r="O973" s="45"/>
      <c r="P973" s="45"/>
      <c r="AD973" s="36"/>
      <c r="AE973" s="36"/>
      <c r="AF973" s="36"/>
      <c r="AG973" s="36"/>
      <c r="AH973" s="36"/>
      <c r="AI973" s="36"/>
      <c r="AJ973" s="36"/>
      <c r="AK973" s="36"/>
      <c r="AT973" s="45"/>
      <c r="AU973" s="45"/>
      <c r="AV973" s="45"/>
      <c r="AW973" s="45"/>
      <c r="AX973" s="45"/>
      <c r="AY973" s="45"/>
      <c r="AZ973" s="45"/>
      <c r="BA973" s="45"/>
      <c r="CM973" s="46"/>
      <c r="CO973" s="70"/>
    </row>
    <row r="974" spans="13:93" ht="15">
      <c r="M974" s="45"/>
      <c r="N974" s="45"/>
      <c r="O974" s="45"/>
      <c r="P974" s="45"/>
      <c r="AD974" s="36"/>
      <c r="AE974" s="36"/>
      <c r="AF974" s="36"/>
      <c r="AG974" s="36"/>
      <c r="AH974" s="36"/>
      <c r="AI974" s="36"/>
      <c r="AJ974" s="36"/>
      <c r="AK974" s="36"/>
      <c r="AT974" s="45"/>
      <c r="AU974" s="45"/>
      <c r="AV974" s="45"/>
      <c r="AW974" s="45"/>
      <c r="AX974" s="45"/>
      <c r="AY974" s="45"/>
      <c r="AZ974" s="45"/>
      <c r="BA974" s="45"/>
      <c r="CM974" s="46"/>
      <c r="CO974" s="70"/>
    </row>
    <row r="975" spans="13:93" ht="15">
      <c r="M975" s="45"/>
      <c r="N975" s="45"/>
      <c r="O975" s="45"/>
      <c r="P975" s="45"/>
      <c r="AD975" s="36"/>
      <c r="AE975" s="36"/>
      <c r="AF975" s="36"/>
      <c r="AG975" s="36"/>
      <c r="AH975" s="36"/>
      <c r="AI975" s="36"/>
      <c r="AJ975" s="36"/>
      <c r="AK975" s="36"/>
      <c r="AT975" s="45"/>
      <c r="AU975" s="45"/>
      <c r="AV975" s="45"/>
      <c r="AW975" s="45"/>
      <c r="AX975" s="45"/>
      <c r="AY975" s="45"/>
      <c r="AZ975" s="45"/>
      <c r="BA975" s="45"/>
      <c r="CM975" s="46"/>
      <c r="CO975" s="70"/>
    </row>
    <row r="976" spans="13:93" ht="15">
      <c r="M976" s="45"/>
      <c r="N976" s="45"/>
      <c r="O976" s="45"/>
      <c r="P976" s="45"/>
      <c r="AD976" s="36"/>
      <c r="AE976" s="36"/>
      <c r="AF976" s="36"/>
      <c r="AG976" s="36"/>
      <c r="AH976" s="36"/>
      <c r="AI976" s="36"/>
      <c r="AJ976" s="36"/>
      <c r="AK976" s="36"/>
      <c r="AT976" s="45"/>
      <c r="AU976" s="45"/>
      <c r="AV976" s="45"/>
      <c r="AW976" s="45"/>
      <c r="AX976" s="45"/>
      <c r="AY976" s="45"/>
      <c r="AZ976" s="45"/>
      <c r="BA976" s="45"/>
      <c r="CM976" s="46"/>
      <c r="CO976" s="70"/>
    </row>
    <row r="977" spans="13:93" ht="15">
      <c r="M977" s="45"/>
      <c r="N977" s="45"/>
      <c r="O977" s="45"/>
      <c r="P977" s="45"/>
      <c r="AD977" s="36"/>
      <c r="AE977" s="36"/>
      <c r="AF977" s="36"/>
      <c r="AG977" s="36"/>
      <c r="AH977" s="36"/>
      <c r="AI977" s="36"/>
      <c r="AJ977" s="36"/>
      <c r="AK977" s="36"/>
      <c r="AT977" s="45"/>
      <c r="AU977" s="45"/>
      <c r="AV977" s="45"/>
      <c r="AW977" s="45"/>
      <c r="AX977" s="45"/>
      <c r="AY977" s="45"/>
      <c r="AZ977" s="45"/>
      <c r="BA977" s="45"/>
      <c r="CM977" s="46"/>
      <c r="CO977" s="70"/>
    </row>
    <row r="978" spans="13:93" ht="15">
      <c r="M978" s="45"/>
      <c r="N978" s="45"/>
      <c r="O978" s="45"/>
      <c r="P978" s="45"/>
      <c r="AD978" s="36"/>
      <c r="AE978" s="36"/>
      <c r="AF978" s="36"/>
      <c r="AG978" s="36"/>
      <c r="AH978" s="36"/>
      <c r="AI978" s="36"/>
      <c r="AJ978" s="36"/>
      <c r="AK978" s="36"/>
      <c r="AT978" s="45"/>
      <c r="AU978" s="45"/>
      <c r="AV978" s="45"/>
      <c r="AW978" s="45"/>
      <c r="AX978" s="45"/>
      <c r="AY978" s="45"/>
      <c r="AZ978" s="45"/>
      <c r="BA978" s="45"/>
      <c r="CM978" s="46"/>
      <c r="CO978" s="70"/>
    </row>
    <row r="979" spans="13:93" ht="15">
      <c r="M979" s="45"/>
      <c r="N979" s="45"/>
      <c r="O979" s="45"/>
      <c r="P979" s="45"/>
      <c r="AD979" s="36"/>
      <c r="AE979" s="36"/>
      <c r="AF979" s="36"/>
      <c r="AG979" s="36"/>
      <c r="AH979" s="36"/>
      <c r="AI979" s="36"/>
      <c r="AJ979" s="36"/>
      <c r="AK979" s="36"/>
      <c r="AT979" s="45"/>
      <c r="AU979" s="45"/>
      <c r="AV979" s="45"/>
      <c r="AW979" s="45"/>
      <c r="AX979" s="45"/>
      <c r="AY979" s="45"/>
      <c r="AZ979" s="45"/>
      <c r="BA979" s="45"/>
      <c r="CM979" s="46"/>
      <c r="CO979" s="70"/>
    </row>
    <row r="980" spans="13:93" ht="15">
      <c r="M980" s="45"/>
      <c r="N980" s="45"/>
      <c r="O980" s="45"/>
      <c r="P980" s="45"/>
      <c r="AD980" s="36"/>
      <c r="AE980" s="36"/>
      <c r="AF980" s="36"/>
      <c r="AG980" s="36"/>
      <c r="AH980" s="36"/>
      <c r="AI980" s="36"/>
      <c r="AJ980" s="36"/>
      <c r="AK980" s="36"/>
      <c r="AT980" s="45"/>
      <c r="AU980" s="45"/>
      <c r="AV980" s="45"/>
      <c r="AW980" s="45"/>
      <c r="AX980" s="45"/>
      <c r="AY980" s="45"/>
      <c r="AZ980" s="45"/>
      <c r="BA980" s="45"/>
      <c r="CM980" s="46"/>
      <c r="CO980" s="70"/>
    </row>
    <row r="981" spans="13:93" ht="15">
      <c r="M981" s="45"/>
      <c r="N981" s="45"/>
      <c r="O981" s="45"/>
      <c r="P981" s="45"/>
      <c r="AD981" s="36"/>
      <c r="AE981" s="36"/>
      <c r="AF981" s="36"/>
      <c r="AG981" s="36"/>
      <c r="AH981" s="36"/>
      <c r="AI981" s="36"/>
      <c r="AJ981" s="36"/>
      <c r="AK981" s="36"/>
      <c r="AT981" s="45"/>
      <c r="AU981" s="45"/>
      <c r="AV981" s="45"/>
      <c r="AW981" s="45"/>
      <c r="AX981" s="45"/>
      <c r="AY981" s="45"/>
      <c r="AZ981" s="45"/>
      <c r="BA981" s="45"/>
      <c r="CM981" s="46"/>
      <c r="CO981" s="70"/>
    </row>
    <row r="982" spans="13:93" ht="15">
      <c r="M982" s="45"/>
      <c r="N982" s="45"/>
      <c r="O982" s="45"/>
      <c r="P982" s="45"/>
      <c r="AD982" s="36"/>
      <c r="AE982" s="36"/>
      <c r="AF982" s="36"/>
      <c r="AG982" s="36"/>
      <c r="AH982" s="36"/>
      <c r="AI982" s="36"/>
      <c r="AJ982" s="36"/>
      <c r="AK982" s="36"/>
      <c r="AT982" s="45"/>
      <c r="AU982" s="45"/>
      <c r="AV982" s="45"/>
      <c r="AW982" s="45"/>
      <c r="AX982" s="45"/>
      <c r="AY982" s="45"/>
      <c r="AZ982" s="45"/>
      <c r="BA982" s="45"/>
      <c r="CM982" s="46"/>
      <c r="CO982" s="70"/>
    </row>
    <row r="983" spans="13:93" ht="15">
      <c r="M983" s="45"/>
      <c r="N983" s="45"/>
      <c r="O983" s="45"/>
      <c r="P983" s="45"/>
      <c r="AD983" s="36"/>
      <c r="AE983" s="36"/>
      <c r="AF983" s="36"/>
      <c r="AG983" s="36"/>
      <c r="AH983" s="36"/>
      <c r="AI983" s="36"/>
      <c r="AJ983" s="36"/>
      <c r="AK983" s="36"/>
      <c r="AT983" s="45"/>
      <c r="AU983" s="45"/>
      <c r="AV983" s="45"/>
      <c r="AW983" s="45"/>
      <c r="AX983" s="45"/>
      <c r="AY983" s="45"/>
      <c r="AZ983" s="45"/>
      <c r="BA983" s="45"/>
      <c r="CM983" s="46"/>
      <c r="CO983" s="70"/>
    </row>
    <row r="984" spans="13:93" ht="15">
      <c r="M984" s="45"/>
      <c r="N984" s="45"/>
      <c r="O984" s="45"/>
      <c r="P984" s="45"/>
      <c r="AD984" s="36"/>
      <c r="AE984" s="36"/>
      <c r="AF984" s="36"/>
      <c r="AG984" s="36"/>
      <c r="AH984" s="36"/>
      <c r="AI984" s="36"/>
      <c r="AJ984" s="36"/>
      <c r="AK984" s="36"/>
      <c r="AT984" s="45"/>
      <c r="AU984" s="45"/>
      <c r="AV984" s="45"/>
      <c r="AW984" s="45"/>
      <c r="AX984" s="45"/>
      <c r="AY984" s="45"/>
      <c r="AZ984" s="45"/>
      <c r="BA984" s="45"/>
      <c r="CM984" s="46"/>
      <c r="CO984" s="70"/>
    </row>
    <row r="985" spans="13:93" ht="15">
      <c r="M985" s="45"/>
      <c r="N985" s="45"/>
      <c r="O985" s="45"/>
      <c r="P985" s="45"/>
      <c r="AD985" s="36"/>
      <c r="AE985" s="36"/>
      <c r="AF985" s="36"/>
      <c r="AG985" s="36"/>
      <c r="AH985" s="36"/>
      <c r="AI985" s="36"/>
      <c r="AJ985" s="36"/>
      <c r="AK985" s="36"/>
      <c r="AT985" s="45"/>
      <c r="AU985" s="45"/>
      <c r="AV985" s="45"/>
      <c r="AW985" s="45"/>
      <c r="AX985" s="45"/>
      <c r="AY985" s="45"/>
      <c r="AZ985" s="45"/>
      <c r="BA985" s="45"/>
      <c r="CM985" s="46"/>
      <c r="CO985" s="70"/>
    </row>
    <row r="986" spans="13:93" ht="15">
      <c r="M986" s="45"/>
      <c r="N986" s="45"/>
      <c r="O986" s="45"/>
      <c r="P986" s="45"/>
      <c r="AD986" s="36"/>
      <c r="AE986" s="36"/>
      <c r="AF986" s="36"/>
      <c r="AG986" s="36"/>
      <c r="AH986" s="36"/>
      <c r="AI986" s="36"/>
      <c r="AJ986" s="36"/>
      <c r="AK986" s="36"/>
      <c r="AT986" s="45"/>
      <c r="AU986" s="45"/>
      <c r="AV986" s="45"/>
      <c r="AW986" s="45"/>
      <c r="AX986" s="45"/>
      <c r="AY986" s="45"/>
      <c r="AZ986" s="45"/>
      <c r="BA986" s="45"/>
      <c r="CM986" s="46"/>
      <c r="CO986" s="70"/>
    </row>
    <row r="987" spans="13:93" ht="15">
      <c r="M987" s="45"/>
      <c r="N987" s="45"/>
      <c r="O987" s="45"/>
      <c r="P987" s="45"/>
      <c r="AD987" s="36"/>
      <c r="AE987" s="36"/>
      <c r="AF987" s="36"/>
      <c r="AG987" s="36"/>
      <c r="AH987" s="36"/>
      <c r="AI987" s="36"/>
      <c r="AJ987" s="36"/>
      <c r="AK987" s="36"/>
      <c r="AT987" s="45"/>
      <c r="AU987" s="45"/>
      <c r="AV987" s="45"/>
      <c r="AW987" s="45"/>
      <c r="AX987" s="45"/>
      <c r="AY987" s="45"/>
      <c r="AZ987" s="45"/>
      <c r="BA987" s="45"/>
      <c r="CM987" s="46"/>
      <c r="CO987" s="70"/>
    </row>
    <row r="988" spans="13:93" ht="15">
      <c r="M988" s="45"/>
      <c r="N988" s="45"/>
      <c r="O988" s="45"/>
      <c r="P988" s="45"/>
      <c r="AD988" s="36"/>
      <c r="AE988" s="36"/>
      <c r="AF988" s="36"/>
      <c r="AG988" s="36"/>
      <c r="AH988" s="36"/>
      <c r="AI988" s="36"/>
      <c r="AJ988" s="36"/>
      <c r="AK988" s="36"/>
      <c r="AT988" s="45"/>
      <c r="AU988" s="45"/>
      <c r="AV988" s="45"/>
      <c r="AW988" s="45"/>
      <c r="AX988" s="45"/>
      <c r="AY988" s="45"/>
      <c r="AZ988" s="45"/>
      <c r="BA988" s="45"/>
      <c r="CM988" s="46"/>
      <c r="CO988" s="70"/>
    </row>
    <row r="989" spans="13:93" ht="15">
      <c r="M989" s="45"/>
      <c r="N989" s="45"/>
      <c r="O989" s="45"/>
      <c r="P989" s="45"/>
      <c r="AD989" s="36"/>
      <c r="AE989" s="36"/>
      <c r="AF989" s="36"/>
      <c r="AG989" s="36"/>
      <c r="AH989" s="36"/>
      <c r="AI989" s="36"/>
      <c r="AJ989" s="36"/>
      <c r="AK989" s="36"/>
      <c r="AT989" s="45"/>
      <c r="AU989" s="45"/>
      <c r="AV989" s="45"/>
      <c r="AW989" s="45"/>
      <c r="AX989" s="45"/>
      <c r="AY989" s="45"/>
      <c r="AZ989" s="45"/>
      <c r="BA989" s="45"/>
      <c r="CM989" s="46"/>
      <c r="CO989" s="70"/>
    </row>
    <row r="990" spans="13:93" ht="15">
      <c r="M990" s="45"/>
      <c r="N990" s="45"/>
      <c r="O990" s="45"/>
      <c r="P990" s="45"/>
      <c r="AD990" s="36"/>
      <c r="AE990" s="36"/>
      <c r="AF990" s="36"/>
      <c r="AG990" s="36"/>
      <c r="AH990" s="36"/>
      <c r="AI990" s="36"/>
      <c r="AJ990" s="36"/>
      <c r="AK990" s="36"/>
      <c r="AT990" s="45"/>
      <c r="AU990" s="45"/>
      <c r="AV990" s="45"/>
      <c r="AW990" s="45"/>
      <c r="AX990" s="45"/>
      <c r="AY990" s="45"/>
      <c r="AZ990" s="45"/>
      <c r="BA990" s="45"/>
      <c r="CM990" s="46"/>
      <c r="CO990" s="70"/>
    </row>
    <row r="991" spans="13:93" ht="15">
      <c r="M991" s="45"/>
      <c r="N991" s="45"/>
      <c r="O991" s="45"/>
      <c r="P991" s="45"/>
      <c r="AD991" s="36"/>
      <c r="AE991" s="36"/>
      <c r="AF991" s="36"/>
      <c r="AG991" s="36"/>
      <c r="AH991" s="36"/>
      <c r="AI991" s="36"/>
      <c r="AJ991" s="36"/>
      <c r="AK991" s="36"/>
      <c r="AT991" s="45"/>
      <c r="AU991" s="45"/>
      <c r="AV991" s="45"/>
      <c r="AW991" s="45"/>
      <c r="AX991" s="45"/>
      <c r="AY991" s="45"/>
      <c r="AZ991" s="45"/>
      <c r="BA991" s="45"/>
      <c r="CM991" s="46"/>
      <c r="CO991" s="70"/>
    </row>
    <row r="992" spans="13:93" ht="15">
      <c r="M992" s="45"/>
      <c r="N992" s="45"/>
      <c r="O992" s="45"/>
      <c r="P992" s="45"/>
      <c r="AD992" s="36"/>
      <c r="AE992" s="36"/>
      <c r="AF992" s="36"/>
      <c r="AG992" s="36"/>
      <c r="AH992" s="36"/>
      <c r="AI992" s="36"/>
      <c r="AJ992" s="36"/>
      <c r="AK992" s="36"/>
      <c r="AT992" s="45"/>
      <c r="AU992" s="45"/>
      <c r="AV992" s="45"/>
      <c r="AW992" s="45"/>
      <c r="AX992" s="45"/>
      <c r="AY992" s="45"/>
      <c r="AZ992" s="45"/>
      <c r="BA992" s="45"/>
      <c r="CM992" s="46"/>
      <c r="CO992" s="70"/>
    </row>
    <row r="993" spans="13:93" ht="15">
      <c r="M993" s="45"/>
      <c r="N993" s="45"/>
      <c r="O993" s="45"/>
      <c r="P993" s="45"/>
      <c r="AD993" s="36"/>
      <c r="AE993" s="36"/>
      <c r="AF993" s="36"/>
      <c r="AG993" s="36"/>
      <c r="AH993" s="36"/>
      <c r="AI993" s="36"/>
      <c r="AJ993" s="36"/>
      <c r="AK993" s="36"/>
      <c r="AT993" s="45"/>
      <c r="AU993" s="45"/>
      <c r="AV993" s="45"/>
      <c r="AW993" s="45"/>
      <c r="AX993" s="45"/>
      <c r="AY993" s="45"/>
      <c r="AZ993" s="45"/>
      <c r="BA993" s="45"/>
      <c r="CM993" s="46"/>
      <c r="CO993" s="70"/>
    </row>
    <row r="994" spans="13:93" ht="15">
      <c r="M994" s="45"/>
      <c r="N994" s="45"/>
      <c r="O994" s="45"/>
      <c r="P994" s="45"/>
      <c r="AD994" s="36"/>
      <c r="AE994" s="36"/>
      <c r="AF994" s="36"/>
      <c r="AG994" s="36"/>
      <c r="AH994" s="36"/>
      <c r="AI994" s="36"/>
      <c r="AJ994" s="36"/>
      <c r="AK994" s="36"/>
      <c r="AT994" s="45"/>
      <c r="AU994" s="45"/>
      <c r="AV994" s="45"/>
      <c r="AW994" s="45"/>
      <c r="AX994" s="45"/>
      <c r="AY994" s="45"/>
      <c r="AZ994" s="45"/>
      <c r="BA994" s="45"/>
      <c r="CM994" s="46"/>
      <c r="CO994" s="70"/>
    </row>
    <row r="995" spans="13:93" ht="15">
      <c r="M995" s="45"/>
      <c r="N995" s="45"/>
      <c r="O995" s="45"/>
      <c r="P995" s="45"/>
      <c r="AD995" s="36"/>
      <c r="AE995" s="36"/>
      <c r="AF995" s="36"/>
      <c r="AG995" s="36"/>
      <c r="AH995" s="36"/>
      <c r="AI995" s="36"/>
      <c r="AJ995" s="36"/>
      <c r="AK995" s="36"/>
      <c r="AT995" s="45"/>
      <c r="AU995" s="45"/>
      <c r="AV995" s="45"/>
      <c r="AW995" s="45"/>
      <c r="AX995" s="45"/>
      <c r="AY995" s="45"/>
      <c r="AZ995" s="45"/>
      <c r="BA995" s="45"/>
      <c r="CM995" s="46"/>
      <c r="CO995" s="70"/>
    </row>
    <row r="996" spans="13:93" ht="15">
      <c r="M996" s="45"/>
      <c r="N996" s="45"/>
      <c r="O996" s="45"/>
      <c r="P996" s="45"/>
      <c r="AD996" s="36"/>
      <c r="AE996" s="36"/>
      <c r="AF996" s="36"/>
      <c r="AG996" s="36"/>
      <c r="AH996" s="36"/>
      <c r="AI996" s="36"/>
      <c r="AJ996" s="36"/>
      <c r="AK996" s="36"/>
      <c r="AT996" s="45"/>
      <c r="AU996" s="45"/>
      <c r="AV996" s="45"/>
      <c r="AW996" s="45"/>
      <c r="AX996" s="45"/>
      <c r="AY996" s="45"/>
      <c r="AZ996" s="45"/>
      <c r="BA996" s="45"/>
      <c r="CM996" s="46"/>
      <c r="CO996" s="70"/>
    </row>
    <row r="997" spans="13:93" ht="15">
      <c r="M997" s="45"/>
      <c r="N997" s="45"/>
      <c r="O997" s="45"/>
      <c r="P997" s="45"/>
      <c r="AD997" s="36"/>
      <c r="AE997" s="36"/>
      <c r="AF997" s="36"/>
      <c r="AG997" s="36"/>
      <c r="AH997" s="36"/>
      <c r="AI997" s="36"/>
      <c r="AJ997" s="36"/>
      <c r="AK997" s="36"/>
      <c r="AT997" s="45"/>
      <c r="AU997" s="45"/>
      <c r="AV997" s="45"/>
      <c r="AW997" s="45"/>
      <c r="AX997" s="45"/>
      <c r="AY997" s="45"/>
      <c r="AZ997" s="45"/>
      <c r="BA997" s="45"/>
      <c r="CM997" s="46"/>
      <c r="CO997" s="70"/>
    </row>
    <row r="998" spans="13:93" ht="15">
      <c r="M998" s="45"/>
      <c r="N998" s="45"/>
      <c r="O998" s="45"/>
      <c r="P998" s="45"/>
      <c r="AD998" s="36"/>
      <c r="AE998" s="36"/>
      <c r="AF998" s="36"/>
      <c r="AG998" s="36"/>
      <c r="AH998" s="36"/>
      <c r="AI998" s="36"/>
      <c r="AJ998" s="36"/>
      <c r="AK998" s="36"/>
      <c r="AT998" s="45"/>
      <c r="AU998" s="45"/>
      <c r="AV998" s="45"/>
      <c r="AW998" s="45"/>
      <c r="AX998" s="45"/>
      <c r="AY998" s="45"/>
      <c r="AZ998" s="45"/>
      <c r="BA998" s="45"/>
      <c r="CM998" s="46"/>
      <c r="CO998" s="70"/>
    </row>
    <row r="999" spans="13:93" ht="15">
      <c r="M999" s="45"/>
      <c r="N999" s="45"/>
      <c r="O999" s="45"/>
      <c r="P999" s="45"/>
      <c r="AD999" s="36"/>
      <c r="AE999" s="36"/>
      <c r="AF999" s="36"/>
      <c r="AG999" s="36"/>
      <c r="AH999" s="36"/>
      <c r="AI999" s="36"/>
      <c r="AJ999" s="36"/>
      <c r="AK999" s="36"/>
      <c r="AT999" s="45"/>
      <c r="AU999" s="45"/>
      <c r="AV999" s="45"/>
      <c r="AW999" s="45"/>
      <c r="AX999" s="45"/>
      <c r="AY999" s="45"/>
      <c r="AZ999" s="45"/>
      <c r="BA999" s="45"/>
      <c r="CM999" s="46"/>
      <c r="CO999" s="70"/>
    </row>
    <row r="1000" spans="13:93" ht="15">
      <c r="M1000" s="45"/>
      <c r="N1000" s="45"/>
      <c r="O1000" s="45"/>
      <c r="P1000" s="45"/>
      <c r="AD1000" s="36"/>
      <c r="AE1000" s="36"/>
      <c r="AF1000" s="36"/>
      <c r="AG1000" s="36"/>
      <c r="AH1000" s="36"/>
      <c r="AI1000" s="36"/>
      <c r="AJ1000" s="36"/>
      <c r="AK1000" s="36"/>
      <c r="AT1000" s="45"/>
      <c r="AU1000" s="45"/>
      <c r="AV1000" s="45"/>
      <c r="AW1000" s="45"/>
      <c r="AX1000" s="45"/>
      <c r="AY1000" s="45"/>
      <c r="AZ1000" s="45"/>
      <c r="BA1000" s="45"/>
      <c r="CM1000" s="46"/>
      <c r="CO1000" s="70"/>
    </row>
    <row r="1001" spans="13:93" ht="15">
      <c r="M1001" s="45"/>
      <c r="N1001" s="45"/>
      <c r="O1001" s="45"/>
      <c r="P1001" s="45"/>
      <c r="AD1001" s="36"/>
      <c r="AE1001" s="36"/>
      <c r="AF1001" s="36"/>
      <c r="AG1001" s="36"/>
      <c r="AH1001" s="36"/>
      <c r="AI1001" s="36"/>
      <c r="AJ1001" s="36"/>
      <c r="AK1001" s="36"/>
      <c r="AT1001" s="45"/>
      <c r="AU1001" s="45"/>
      <c r="AV1001" s="45"/>
      <c r="AW1001" s="45"/>
      <c r="AX1001" s="45"/>
      <c r="AY1001" s="45"/>
      <c r="AZ1001" s="45"/>
      <c r="BA1001" s="45"/>
      <c r="CM1001" s="46"/>
      <c r="CO1001" s="70"/>
    </row>
  </sheetData>
  <autoFilter ref="A2:CU285" xr:uid="{00000000-0009-0000-0000-000004000000}">
    <filterColumn colId="2">
      <filters blank="1"/>
    </filterColumn>
  </autoFilter>
  <customSheetViews>
    <customSheetView guid="{53BE6639-590C-433C-AF4A-95B92AC1FD78}" filter="1" showAutoFilter="1">
      <pageMargins left="0" right="0" top="0" bottom="0" header="0" footer="0"/>
      <autoFilter ref="A2:CU285" xr:uid="{E7BDD0EF-71E2-6347-91C3-29F491D18A17}">
        <filterColumn colId="2">
          <filters blank="1"/>
        </filterColumn>
      </autoFilter>
    </customSheetView>
    <customSheetView guid="{52B89D4E-1FC3-4ED4-B7AA-B26003EF6F35}" filter="1" showAutoFilter="1">
      <pageMargins left="0" right="0" top="0" bottom="0" header="0" footer="0"/>
      <autoFilter ref="A2:CU285" xr:uid="{06F35E28-A60A-F44C-91C7-1F6887EDA6DC}">
        <filterColumn colId="2">
          <filters blank="1"/>
        </filterColumn>
      </autoFilter>
    </customSheetView>
  </customSheetViews>
  <hyperlinks>
    <hyperlink ref="O38" r:id="rId1" xr:uid="{00000000-0004-0000-0400-000000000000}"/>
    <hyperlink ref="O39" r:id="rId2" xr:uid="{00000000-0004-0000-0400-000001000000}"/>
    <hyperlink ref="O42" r:id="rId3" xr:uid="{00000000-0004-0000-0400-000002000000}"/>
    <hyperlink ref="AJ42" r:id="rId4" xr:uid="{00000000-0004-0000-0400-000003000000}"/>
    <hyperlink ref="O45" r:id="rId5" location="anchor-3" xr:uid="{00000000-0004-0000-0400-000004000000}"/>
    <hyperlink ref="O49" r:id="rId6" xr:uid="{00000000-0004-0000-0400-000005000000}"/>
    <hyperlink ref="O51" r:id="rId7" location=":~:text=These%20damsels%20are%20good%20sized,typically%2015%20years%20in%20captivity." xr:uid="{00000000-0004-0000-0400-000006000000}"/>
    <hyperlink ref="O52" r:id="rId8" location=":~:text=This%20species%20is%20the%20largest,12%20years%2C%20and%20possible%20longer." xr:uid="{00000000-0004-0000-0400-000007000000}"/>
    <hyperlink ref="O56" r:id="rId9" xr:uid="{00000000-0004-0000-0400-000008000000}"/>
    <hyperlink ref="O62" r:id="rId10" xr:uid="{00000000-0004-0000-0400-000009000000}"/>
    <hyperlink ref="O64" r:id="rId11" xr:uid="{00000000-0004-0000-0400-00000A000000}"/>
    <hyperlink ref="O68" r:id="rId12" xr:uid="{00000000-0004-0000-0400-00000B000000}"/>
    <hyperlink ref="O69" r:id="rId13" xr:uid="{00000000-0004-0000-0400-00000C000000}"/>
    <hyperlink ref="O70" r:id="rId14" xr:uid="{00000000-0004-0000-0400-00000D000000}"/>
    <hyperlink ref="O75" r:id="rId15" xr:uid="{00000000-0004-0000-0400-00000E000000}"/>
    <hyperlink ref="O76" r:id="rId16" xr:uid="{00000000-0004-0000-0400-00000F000000}"/>
    <hyperlink ref="AS76" r:id="rId17" xr:uid="{00000000-0004-0000-0400-000010000000}"/>
    <hyperlink ref="O85" r:id="rId18" xr:uid="{00000000-0004-0000-0400-000011000000}"/>
    <hyperlink ref="O94" r:id="rId19" xr:uid="{00000000-0004-0000-0400-000012000000}"/>
    <hyperlink ref="O109" r:id="rId20" xr:uid="{00000000-0004-0000-0400-000013000000}"/>
    <hyperlink ref="O111" r:id="rId21" xr:uid="{00000000-0004-0000-0400-000014000000}"/>
    <hyperlink ref="O118" r:id="rId22" xr:uid="{00000000-0004-0000-0400-000015000000}"/>
    <hyperlink ref="O119" r:id="rId23" xr:uid="{00000000-0004-0000-0400-000016000000}"/>
    <hyperlink ref="O134" r:id="rId24" xr:uid="{00000000-0004-0000-0400-000017000000}"/>
    <hyperlink ref="AS138" r:id="rId25" xr:uid="{00000000-0004-0000-0400-000018000000}"/>
    <hyperlink ref="O140" r:id="rId26" xr:uid="{00000000-0004-0000-0400-000019000000}"/>
    <hyperlink ref="O143" r:id="rId27" xr:uid="{00000000-0004-0000-0400-00001A000000}"/>
    <hyperlink ref="O153" r:id="rId28" location=":~:text=This%20feature%20has%20won%20them,than%2020%20years%20in%20captivity." xr:uid="{00000000-0004-0000-0400-00001B000000}"/>
    <hyperlink ref="O158" r:id="rId29" xr:uid="{00000000-0004-0000-0400-00001C000000}"/>
    <hyperlink ref="O160" r:id="rId30" xr:uid="{00000000-0004-0000-0400-00001D000000}"/>
    <hyperlink ref="O162" r:id="rId31" xr:uid="{00000000-0004-0000-0400-00001E000000}"/>
    <hyperlink ref="O164" r:id="rId32" xr:uid="{00000000-0004-0000-0400-00001F000000}"/>
    <hyperlink ref="O166" r:id="rId33" xr:uid="{00000000-0004-0000-0400-000020000000}"/>
    <hyperlink ref="O172" r:id="rId34" xr:uid="{00000000-0004-0000-0400-000021000000}"/>
    <hyperlink ref="O179" r:id="rId35" xr:uid="{00000000-0004-0000-0400-000022000000}"/>
    <hyperlink ref="O184" r:id="rId36" xr:uid="{00000000-0004-0000-0400-000023000000}"/>
    <hyperlink ref="O186" r:id="rId37" xr:uid="{00000000-0004-0000-0400-000024000000}"/>
    <hyperlink ref="O187" r:id="rId38" xr:uid="{00000000-0004-0000-0400-000025000000}"/>
    <hyperlink ref="O190" r:id="rId39" xr:uid="{00000000-0004-0000-0400-000026000000}"/>
    <hyperlink ref="O194" r:id="rId40" xr:uid="{00000000-0004-0000-0400-000027000000}"/>
    <hyperlink ref="O196" r:id="rId41" xr:uid="{00000000-0004-0000-0400-000028000000}"/>
    <hyperlink ref="O199" r:id="rId42" xr:uid="{00000000-0004-0000-0400-000029000000}"/>
    <hyperlink ref="O209" r:id="rId43" xr:uid="{00000000-0004-0000-0400-00002A000000}"/>
    <hyperlink ref="O213" r:id="rId44" xr:uid="{00000000-0004-0000-0400-00002B000000}"/>
    <hyperlink ref="O214" r:id="rId45" xr:uid="{00000000-0004-0000-0400-00002C000000}"/>
    <hyperlink ref="O215" r:id="rId46" xr:uid="{00000000-0004-0000-0400-00002D000000}"/>
    <hyperlink ref="O216" r:id="rId47" xr:uid="{00000000-0004-0000-0400-00002E000000}"/>
    <hyperlink ref="O217" r:id="rId48" xr:uid="{00000000-0004-0000-0400-00002F000000}"/>
    <hyperlink ref="O218" r:id="rId49" xr:uid="{00000000-0004-0000-0400-000030000000}"/>
    <hyperlink ref="O220" r:id="rId50" xr:uid="{00000000-0004-0000-0400-000031000000}"/>
    <hyperlink ref="O236" r:id="rId51" xr:uid="{00000000-0004-0000-0400-000032000000}"/>
    <hyperlink ref="O242" r:id="rId52" xr:uid="{00000000-0004-0000-0400-000033000000}"/>
    <hyperlink ref="O243" r:id="rId53" xr:uid="{00000000-0004-0000-0400-000034000000}"/>
    <hyperlink ref="O245" r:id="rId54" xr:uid="{00000000-0004-0000-0400-000035000000}"/>
    <hyperlink ref="O254" r:id="rId55" xr:uid="{00000000-0004-0000-0400-000036000000}"/>
    <hyperlink ref="O260" r:id="rId56" xr:uid="{00000000-0004-0000-0400-000037000000}"/>
    <hyperlink ref="O268" r:id="rId57" xr:uid="{00000000-0004-0000-0400-000038000000}"/>
    <hyperlink ref="O270" r:id="rId58" xr:uid="{00000000-0004-0000-0400-000039000000}"/>
    <hyperlink ref="O277" r:id="rId59" xr:uid="{00000000-0004-0000-0400-00003A000000}"/>
    <hyperlink ref="O279" r:id="rId60" xr:uid="{00000000-0004-0000-0400-00003B000000}"/>
    <hyperlink ref="O280" r:id="rId61" xr:uid="{00000000-0004-0000-0400-00003C000000}"/>
    <hyperlink ref="O283" r:id="rId62" xr:uid="{00000000-0004-0000-0400-00003D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284"/>
  <sheetViews>
    <sheetView workbookViewId="0"/>
  </sheetViews>
  <sheetFormatPr baseColWidth="10" defaultColWidth="12.6640625" defaultRowHeight="15.75" customHeight="1"/>
  <cols>
    <col min="1" max="1" width="24.5" customWidth="1"/>
    <col min="2" max="2" width="23.33203125" customWidth="1"/>
  </cols>
  <sheetData>
    <row r="1" spans="1:9">
      <c r="A1" s="141" t="s">
        <v>1378</v>
      </c>
      <c r="B1" s="15" t="s">
        <v>1379</v>
      </c>
      <c r="C1" s="141" t="s">
        <v>1380</v>
      </c>
      <c r="D1" s="141" t="s">
        <v>1381</v>
      </c>
      <c r="E1" s="45" t="s">
        <v>1382</v>
      </c>
      <c r="F1" s="45" t="s">
        <v>1383</v>
      </c>
      <c r="G1" s="45" t="s">
        <v>1384</v>
      </c>
      <c r="H1" s="45" t="s">
        <v>1385</v>
      </c>
    </row>
    <row r="2" spans="1:9">
      <c r="A2" s="38" t="s">
        <v>80</v>
      </c>
      <c r="B2" s="38" t="s">
        <v>83</v>
      </c>
      <c r="C2" s="45" t="b">
        <v>1</v>
      </c>
      <c r="D2" s="45" t="b">
        <v>1</v>
      </c>
    </row>
    <row r="3" spans="1:9">
      <c r="A3" s="38" t="s">
        <v>93</v>
      </c>
      <c r="B3" s="38" t="s">
        <v>83</v>
      </c>
      <c r="C3" s="45" t="b">
        <v>1</v>
      </c>
      <c r="D3" s="45" t="b">
        <v>1</v>
      </c>
    </row>
    <row r="4" spans="1:9">
      <c r="A4" s="38" t="s">
        <v>116</v>
      </c>
      <c r="B4" s="38" t="s">
        <v>83</v>
      </c>
      <c r="C4" s="45" t="b">
        <v>1</v>
      </c>
      <c r="D4" s="45" t="b">
        <v>1</v>
      </c>
    </row>
    <row r="5" spans="1:9">
      <c r="A5" s="38" t="s">
        <v>119</v>
      </c>
      <c r="B5" s="38" t="s">
        <v>83</v>
      </c>
      <c r="C5" s="45" t="b">
        <v>1</v>
      </c>
      <c r="D5" s="45" t="b">
        <v>1</v>
      </c>
    </row>
    <row r="6" spans="1:9">
      <c r="A6" s="38" t="s">
        <v>100</v>
      </c>
      <c r="B6" s="38" t="s">
        <v>83</v>
      </c>
      <c r="C6" s="45" t="b">
        <v>1</v>
      </c>
      <c r="D6" s="45" t="b">
        <v>1</v>
      </c>
    </row>
    <row r="7" spans="1:9">
      <c r="A7" s="38" t="s">
        <v>107</v>
      </c>
      <c r="B7" s="142" t="s">
        <v>1386</v>
      </c>
      <c r="C7" s="45" t="s">
        <v>1387</v>
      </c>
      <c r="D7" s="45" t="s">
        <v>1387</v>
      </c>
      <c r="F7" s="45" t="s">
        <v>144</v>
      </c>
      <c r="I7" s="45" t="s">
        <v>1388</v>
      </c>
    </row>
    <row r="8" spans="1:9">
      <c r="A8" s="38" t="s">
        <v>123</v>
      </c>
      <c r="B8" s="38" t="s">
        <v>83</v>
      </c>
      <c r="C8" s="45" t="b">
        <v>1</v>
      </c>
      <c r="D8" s="45" t="b">
        <v>1</v>
      </c>
    </row>
    <row r="9" spans="1:9">
      <c r="A9" s="38" t="s">
        <v>321</v>
      </c>
      <c r="B9" s="38" t="s">
        <v>83</v>
      </c>
      <c r="C9" s="45" t="b">
        <v>1</v>
      </c>
      <c r="D9" s="45" t="b">
        <v>1</v>
      </c>
    </row>
    <row r="10" spans="1:9">
      <c r="A10" s="38" t="s">
        <v>614</v>
      </c>
      <c r="B10" s="38" t="s">
        <v>141</v>
      </c>
      <c r="C10" s="45" t="b">
        <v>1</v>
      </c>
      <c r="D10" s="45" t="b">
        <v>1</v>
      </c>
    </row>
    <row r="11" spans="1:9">
      <c r="A11" s="38" t="s">
        <v>149</v>
      </c>
      <c r="B11" s="38" t="s">
        <v>152</v>
      </c>
      <c r="C11" s="45" t="b">
        <v>1</v>
      </c>
      <c r="D11" s="45" t="b">
        <v>1</v>
      </c>
    </row>
    <row r="12" spans="1:9">
      <c r="A12" s="38" t="s">
        <v>138</v>
      </c>
      <c r="B12" s="38" t="s">
        <v>141</v>
      </c>
      <c r="C12" s="45" t="b">
        <v>1</v>
      </c>
      <c r="D12" s="45" t="b">
        <v>1</v>
      </c>
    </row>
    <row r="13" spans="1:9">
      <c r="A13" s="38" t="s">
        <v>628</v>
      </c>
      <c r="B13" s="38" t="s">
        <v>83</v>
      </c>
      <c r="C13" s="45" t="b">
        <v>1</v>
      </c>
      <c r="D13" s="45" t="b">
        <v>1</v>
      </c>
    </row>
    <row r="14" spans="1:9">
      <c r="A14" s="38" t="s">
        <v>251</v>
      </c>
      <c r="B14" s="38" t="s">
        <v>184</v>
      </c>
      <c r="C14" s="45" t="b">
        <v>1</v>
      </c>
      <c r="D14" s="45" t="b">
        <v>1</v>
      </c>
    </row>
    <row r="15" spans="1:9">
      <c r="A15" s="38" t="s">
        <v>129</v>
      </c>
      <c r="B15" s="38" t="s">
        <v>132</v>
      </c>
      <c r="C15" s="45" t="b">
        <v>1</v>
      </c>
      <c r="D15" s="45" t="b">
        <v>1</v>
      </c>
    </row>
    <row r="16" spans="1:9">
      <c r="A16" s="38" t="s">
        <v>174</v>
      </c>
      <c r="B16" s="38" t="s">
        <v>177</v>
      </c>
      <c r="C16" s="45" t="b">
        <v>1</v>
      </c>
      <c r="D16" s="45" t="b">
        <v>1</v>
      </c>
    </row>
    <row r="17" spans="1:9">
      <c r="A17" s="38" t="s">
        <v>167</v>
      </c>
      <c r="B17" s="38" t="s">
        <v>170</v>
      </c>
      <c r="C17" s="45" t="b">
        <v>1</v>
      </c>
      <c r="D17" s="45" t="b">
        <v>1</v>
      </c>
    </row>
    <row r="18" spans="1:9">
      <c r="A18" s="38" t="s">
        <v>157</v>
      </c>
      <c r="B18" s="38" t="s">
        <v>160</v>
      </c>
      <c r="C18" s="45" t="b">
        <v>1</v>
      </c>
      <c r="D18" s="45" t="b">
        <v>1</v>
      </c>
    </row>
    <row r="19" spans="1:9">
      <c r="A19" s="38" t="s">
        <v>188</v>
      </c>
      <c r="B19" s="38" t="s">
        <v>152</v>
      </c>
      <c r="C19" s="45" t="b">
        <v>1</v>
      </c>
      <c r="D19" s="45" t="b">
        <v>1</v>
      </c>
    </row>
    <row r="20" spans="1:9">
      <c r="A20" s="38" t="s">
        <v>634</v>
      </c>
      <c r="B20" s="38" t="s">
        <v>637</v>
      </c>
      <c r="C20" s="45" t="b">
        <v>1</v>
      </c>
      <c r="D20" s="45" t="b">
        <v>1</v>
      </c>
    </row>
    <row r="21" spans="1:9">
      <c r="A21" s="38" t="s">
        <v>204</v>
      </c>
      <c r="B21" s="38" t="s">
        <v>184</v>
      </c>
      <c r="C21" s="45" t="b">
        <v>1</v>
      </c>
      <c r="D21" s="45" t="b">
        <v>1</v>
      </c>
    </row>
    <row r="22" spans="1:9">
      <c r="A22" s="38" t="s">
        <v>181</v>
      </c>
      <c r="B22" s="38" t="s">
        <v>184</v>
      </c>
      <c r="C22" s="45" t="b">
        <v>1</v>
      </c>
      <c r="D22" s="45" t="b">
        <v>1</v>
      </c>
    </row>
    <row r="23" spans="1:9">
      <c r="A23" s="142" t="s">
        <v>198</v>
      </c>
      <c r="B23" s="38" t="s">
        <v>132</v>
      </c>
      <c r="C23" s="45" t="b">
        <v>1</v>
      </c>
      <c r="D23" s="45" t="s">
        <v>1389</v>
      </c>
    </row>
    <row r="24" spans="1:9">
      <c r="A24" s="38" t="s">
        <v>283</v>
      </c>
      <c r="B24" s="38" t="s">
        <v>286</v>
      </c>
      <c r="C24" s="45" t="b">
        <v>1</v>
      </c>
      <c r="D24" s="45" t="b">
        <v>1</v>
      </c>
    </row>
    <row r="25" spans="1:9">
      <c r="A25" s="38" t="s">
        <v>254</v>
      </c>
      <c r="B25" s="38" t="s">
        <v>257</v>
      </c>
      <c r="C25" s="45" t="b">
        <v>1</v>
      </c>
      <c r="D25" s="45" t="b">
        <v>1</v>
      </c>
    </row>
    <row r="26" spans="1:9">
      <c r="A26" s="142" t="s">
        <v>1390</v>
      </c>
      <c r="B26" s="38" t="s">
        <v>177</v>
      </c>
      <c r="C26" s="45" t="s">
        <v>1391</v>
      </c>
      <c r="D26" s="45" t="s">
        <v>1391</v>
      </c>
      <c r="G26" s="45" t="s">
        <v>144</v>
      </c>
      <c r="H26" s="45" t="s">
        <v>1392</v>
      </c>
      <c r="I26" s="45" t="s">
        <v>1388</v>
      </c>
    </row>
    <row r="27" spans="1:9">
      <c r="A27" s="38" t="s">
        <v>259</v>
      </c>
      <c r="B27" s="142" t="s">
        <v>1386</v>
      </c>
      <c r="C27" s="45" t="s">
        <v>1387</v>
      </c>
      <c r="D27" s="45" t="s">
        <v>1387</v>
      </c>
      <c r="F27" s="45" t="s">
        <v>144</v>
      </c>
      <c r="I27" s="45" t="s">
        <v>1388</v>
      </c>
    </row>
    <row r="28" spans="1:9">
      <c r="A28" s="38" t="s">
        <v>352</v>
      </c>
      <c r="B28" s="142" t="s">
        <v>819</v>
      </c>
      <c r="C28" s="45" t="s">
        <v>1393</v>
      </c>
      <c r="D28" s="45" t="b">
        <v>1</v>
      </c>
      <c r="F28" s="45" t="s">
        <v>144</v>
      </c>
      <c r="H28" s="45" t="s">
        <v>1283</v>
      </c>
      <c r="I28" s="45" t="s">
        <v>1388</v>
      </c>
    </row>
    <row r="29" spans="1:9">
      <c r="A29" s="38" t="s">
        <v>262</v>
      </c>
      <c r="B29" s="38" t="s">
        <v>177</v>
      </c>
      <c r="C29" s="45" t="b">
        <v>1</v>
      </c>
      <c r="D29" s="45" t="b">
        <v>1</v>
      </c>
    </row>
    <row r="30" spans="1:9">
      <c r="A30" s="38" t="s">
        <v>193</v>
      </c>
      <c r="B30" s="38" t="s">
        <v>83</v>
      </c>
      <c r="C30" s="45" t="b">
        <v>1</v>
      </c>
      <c r="D30" s="45" t="b">
        <v>1</v>
      </c>
    </row>
    <row r="31" spans="1:9">
      <c r="A31" s="38" t="s">
        <v>289</v>
      </c>
      <c r="B31" s="38" t="s">
        <v>286</v>
      </c>
      <c r="C31" s="45" t="b">
        <v>1</v>
      </c>
      <c r="D31" s="45" t="b">
        <v>1</v>
      </c>
    </row>
    <row r="32" spans="1:9">
      <c r="A32" s="142" t="s">
        <v>1394</v>
      </c>
      <c r="B32" s="38" t="s">
        <v>160</v>
      </c>
      <c r="C32" s="45" t="s">
        <v>1395</v>
      </c>
      <c r="D32" s="45" t="s">
        <v>1395</v>
      </c>
      <c r="G32" s="45" t="s">
        <v>144</v>
      </c>
      <c r="H32" s="45" t="s">
        <v>1392</v>
      </c>
      <c r="I32" s="45" t="s">
        <v>1388</v>
      </c>
    </row>
    <row r="33" spans="1:9">
      <c r="A33" s="38" t="s">
        <v>303</v>
      </c>
      <c r="B33" s="38" t="s">
        <v>160</v>
      </c>
      <c r="C33" s="45" t="b">
        <v>1</v>
      </c>
      <c r="D33" s="45" t="b">
        <v>1</v>
      </c>
    </row>
    <row r="34" spans="1:9">
      <c r="A34" s="38" t="s">
        <v>217</v>
      </c>
      <c r="B34" s="38" t="s">
        <v>83</v>
      </c>
      <c r="C34" s="45" t="b">
        <v>1</v>
      </c>
      <c r="D34" s="45" t="b">
        <v>1</v>
      </c>
    </row>
    <row r="35" spans="1:9">
      <c r="A35" s="38" t="s">
        <v>420</v>
      </c>
      <c r="B35" s="38" t="s">
        <v>83</v>
      </c>
      <c r="C35" s="45" t="b">
        <v>1</v>
      </c>
      <c r="D35" s="45" t="b">
        <v>1</v>
      </c>
    </row>
    <row r="36" spans="1:9">
      <c r="A36" s="38" t="s">
        <v>229</v>
      </c>
      <c r="B36" s="38" t="s">
        <v>83</v>
      </c>
      <c r="C36" s="45" t="b">
        <v>1</v>
      </c>
      <c r="D36" s="45" t="b">
        <v>1</v>
      </c>
    </row>
    <row r="37" spans="1:9">
      <c r="A37" s="38" t="s">
        <v>221</v>
      </c>
      <c r="B37" s="38" t="s">
        <v>224</v>
      </c>
      <c r="C37" s="45" t="b">
        <v>1</v>
      </c>
      <c r="D37" s="45" t="b">
        <v>1</v>
      </c>
    </row>
    <row r="38" spans="1:9">
      <c r="A38" s="38" t="s">
        <v>233</v>
      </c>
      <c r="B38" s="38" t="s">
        <v>83</v>
      </c>
      <c r="C38" s="45" t="b">
        <v>1</v>
      </c>
      <c r="D38" s="45" t="b">
        <v>1</v>
      </c>
    </row>
    <row r="39" spans="1:9">
      <c r="A39" s="38" t="s">
        <v>654</v>
      </c>
      <c r="B39" s="38" t="s">
        <v>83</v>
      </c>
      <c r="C39" s="45" t="b">
        <v>1</v>
      </c>
      <c r="D39" s="45" t="b">
        <v>1</v>
      </c>
    </row>
    <row r="40" spans="1:9">
      <c r="A40" s="38" t="s">
        <v>236</v>
      </c>
      <c r="B40" s="38" t="s">
        <v>177</v>
      </c>
      <c r="C40" s="45" t="b">
        <v>1</v>
      </c>
      <c r="D40" s="45" t="b">
        <v>1</v>
      </c>
    </row>
    <row r="41" spans="1:9">
      <c r="A41" s="38" t="s">
        <v>242</v>
      </c>
      <c r="B41" s="38" t="s">
        <v>245</v>
      </c>
      <c r="C41" s="45" t="b">
        <v>1</v>
      </c>
      <c r="D41" s="45" t="b">
        <v>1</v>
      </c>
    </row>
    <row r="42" spans="1:9">
      <c r="A42" s="38" t="s">
        <v>662</v>
      </c>
      <c r="B42" s="38" t="s">
        <v>83</v>
      </c>
      <c r="C42" s="45" t="b">
        <v>1</v>
      </c>
      <c r="D42" s="45" t="b">
        <v>1</v>
      </c>
    </row>
    <row r="43" spans="1:9">
      <c r="A43" s="38" t="s">
        <v>348</v>
      </c>
      <c r="B43" s="38" t="s">
        <v>318</v>
      </c>
      <c r="C43" s="45" t="b">
        <v>1</v>
      </c>
      <c r="D43" s="45" t="b">
        <v>1</v>
      </c>
    </row>
    <row r="44" spans="1:9">
      <c r="A44" s="38" t="s">
        <v>359</v>
      </c>
      <c r="B44" s="38" t="s">
        <v>152</v>
      </c>
      <c r="C44" s="45" t="b">
        <v>1</v>
      </c>
      <c r="D44" s="45" t="b">
        <v>1</v>
      </c>
    </row>
    <row r="45" spans="1:9">
      <c r="A45" s="142" t="s">
        <v>1396</v>
      </c>
      <c r="B45" s="38" t="s">
        <v>83</v>
      </c>
      <c r="C45" s="45" t="s">
        <v>1397</v>
      </c>
      <c r="D45" s="45" t="s">
        <v>1397</v>
      </c>
      <c r="E45" s="45" t="s">
        <v>144</v>
      </c>
      <c r="H45" s="45" t="s">
        <v>1398</v>
      </c>
      <c r="I45" s="45" t="s">
        <v>1388</v>
      </c>
    </row>
    <row r="46" spans="1:9">
      <c r="A46" s="38" t="s">
        <v>267</v>
      </c>
      <c r="B46" s="38" t="s">
        <v>184</v>
      </c>
      <c r="C46" s="45" t="b">
        <v>1</v>
      </c>
      <c r="D46" s="45" t="b">
        <v>1</v>
      </c>
    </row>
    <row r="47" spans="1:9">
      <c r="A47" s="38" t="s">
        <v>515</v>
      </c>
      <c r="B47" s="38" t="s">
        <v>184</v>
      </c>
      <c r="C47" s="45" t="b">
        <v>1</v>
      </c>
      <c r="D47" s="45" t="b">
        <v>1</v>
      </c>
    </row>
    <row r="48" spans="1:9">
      <c r="A48" s="38" t="s">
        <v>315</v>
      </c>
      <c r="B48" s="38" t="s">
        <v>318</v>
      </c>
      <c r="C48" s="45" t="b">
        <v>1</v>
      </c>
      <c r="D48" s="45" t="b">
        <v>1</v>
      </c>
    </row>
    <row r="49" spans="1:9">
      <c r="A49" s="38" t="s">
        <v>274</v>
      </c>
      <c r="B49" s="38" t="s">
        <v>277</v>
      </c>
      <c r="C49" s="45" t="b">
        <v>1</v>
      </c>
      <c r="D49" s="45" t="b">
        <v>1</v>
      </c>
    </row>
    <row r="50" spans="1:9">
      <c r="A50" s="38" t="s">
        <v>469</v>
      </c>
      <c r="B50" s="38" t="s">
        <v>83</v>
      </c>
      <c r="C50" s="45" t="b">
        <v>1</v>
      </c>
      <c r="D50" s="45" t="b">
        <v>1</v>
      </c>
    </row>
    <row r="51" spans="1:9">
      <c r="A51" s="38" t="s">
        <v>676</v>
      </c>
      <c r="B51" s="38" t="s">
        <v>83</v>
      </c>
      <c r="C51" s="45" t="b">
        <v>1</v>
      </c>
      <c r="D51" s="45" t="b">
        <v>1</v>
      </c>
    </row>
    <row r="52" spans="1:9">
      <c r="A52" s="142" t="s">
        <v>1399</v>
      </c>
      <c r="B52" s="38" t="s">
        <v>224</v>
      </c>
      <c r="C52" s="45" t="s">
        <v>1400</v>
      </c>
      <c r="D52" s="45" t="s">
        <v>1400</v>
      </c>
      <c r="G52" s="45" t="s">
        <v>144</v>
      </c>
      <c r="H52" s="45" t="s">
        <v>1392</v>
      </c>
      <c r="I52" s="45" t="s">
        <v>1388</v>
      </c>
    </row>
    <row r="53" spans="1:9">
      <c r="A53" s="38" t="s">
        <v>684</v>
      </c>
      <c r="B53" s="38" t="s">
        <v>132</v>
      </c>
      <c r="C53" s="45" t="b">
        <v>1</v>
      </c>
      <c r="D53" s="45" t="b">
        <v>1</v>
      </c>
    </row>
    <row r="54" spans="1:9">
      <c r="A54" s="143" t="s">
        <v>687</v>
      </c>
      <c r="B54" s="143" t="s">
        <v>132</v>
      </c>
      <c r="C54" s="45" t="s">
        <v>755</v>
      </c>
      <c r="D54" s="45" t="s">
        <v>755</v>
      </c>
    </row>
    <row r="55" spans="1:9">
      <c r="A55" s="38" t="s">
        <v>480</v>
      </c>
      <c r="B55" s="38" t="s">
        <v>83</v>
      </c>
      <c r="C55" s="45" t="b">
        <v>1</v>
      </c>
      <c r="D55" s="45" t="b">
        <v>1</v>
      </c>
    </row>
    <row r="56" spans="1:9">
      <c r="A56" s="38" t="s">
        <v>281</v>
      </c>
      <c r="B56" s="38" t="s">
        <v>224</v>
      </c>
      <c r="C56" s="45" t="b">
        <v>1</v>
      </c>
      <c r="D56" s="45" t="b">
        <v>1</v>
      </c>
    </row>
    <row r="57" spans="1:9">
      <c r="A57" s="38" t="s">
        <v>692</v>
      </c>
      <c r="B57" s="38" t="s">
        <v>160</v>
      </c>
      <c r="C57" s="45" t="b">
        <v>1</v>
      </c>
      <c r="D57" s="45" t="b">
        <v>1</v>
      </c>
    </row>
    <row r="58" spans="1:9">
      <c r="A58" s="143" t="s">
        <v>696</v>
      </c>
      <c r="B58" s="143" t="s">
        <v>152</v>
      </c>
      <c r="C58" s="45" t="s">
        <v>755</v>
      </c>
      <c r="D58" s="45" t="s">
        <v>755</v>
      </c>
    </row>
    <row r="59" spans="1:9">
      <c r="A59" s="142" t="s">
        <v>1401</v>
      </c>
      <c r="B59" s="142" t="s">
        <v>819</v>
      </c>
      <c r="C59" s="45" t="s">
        <v>1402</v>
      </c>
      <c r="D59" s="45" t="b">
        <v>1</v>
      </c>
      <c r="E59" s="45" t="s">
        <v>144</v>
      </c>
      <c r="F59" s="45" t="s">
        <v>144</v>
      </c>
      <c r="H59" s="45" t="s">
        <v>1283</v>
      </c>
      <c r="I59" s="45" t="s">
        <v>1388</v>
      </c>
    </row>
    <row r="60" spans="1:9">
      <c r="A60" s="38" t="s">
        <v>399</v>
      </c>
      <c r="B60" s="142" t="s">
        <v>819</v>
      </c>
      <c r="C60" s="45" t="s">
        <v>1403</v>
      </c>
      <c r="D60" s="45" t="b">
        <v>1</v>
      </c>
      <c r="F60" s="45" t="s">
        <v>144</v>
      </c>
      <c r="H60" s="45" t="s">
        <v>1283</v>
      </c>
      <c r="I60" s="45" t="s">
        <v>1388</v>
      </c>
    </row>
    <row r="61" spans="1:9">
      <c r="A61" s="38" t="s">
        <v>416</v>
      </c>
      <c r="B61" s="38" t="s">
        <v>184</v>
      </c>
      <c r="C61" s="45" t="b">
        <v>1</v>
      </c>
      <c r="D61" s="45" t="b">
        <v>1</v>
      </c>
    </row>
    <row r="62" spans="1:9">
      <c r="A62" s="38" t="s">
        <v>428</v>
      </c>
      <c r="B62" s="38" t="s">
        <v>152</v>
      </c>
      <c r="C62" s="45" t="b">
        <v>1</v>
      </c>
      <c r="D62" s="93" t="b">
        <v>1</v>
      </c>
    </row>
    <row r="63" spans="1:9">
      <c r="A63" s="38" t="s">
        <v>533</v>
      </c>
      <c r="B63" s="38" t="s">
        <v>152</v>
      </c>
      <c r="C63" s="45" t="b">
        <v>1</v>
      </c>
      <c r="D63" s="45" t="b">
        <v>1</v>
      </c>
    </row>
    <row r="64" spans="1:9">
      <c r="A64" s="38" t="s">
        <v>324</v>
      </c>
      <c r="B64" s="38" t="s">
        <v>327</v>
      </c>
      <c r="C64" s="45" t="b">
        <v>1</v>
      </c>
      <c r="D64" s="45" t="b">
        <v>1</v>
      </c>
    </row>
    <row r="65" spans="1:9">
      <c r="A65" s="38" t="s">
        <v>704</v>
      </c>
      <c r="B65" s="38" t="s">
        <v>707</v>
      </c>
      <c r="C65" s="45" t="b">
        <v>1</v>
      </c>
      <c r="D65" s="45" t="b">
        <v>1</v>
      </c>
    </row>
    <row r="66" spans="1:9">
      <c r="A66" s="38" t="s">
        <v>711</v>
      </c>
      <c r="B66" s="38" t="s">
        <v>177</v>
      </c>
      <c r="C66" s="45" t="b">
        <v>1</v>
      </c>
      <c r="D66" s="45" t="b">
        <v>1</v>
      </c>
    </row>
    <row r="67" spans="1:9">
      <c r="A67" s="38" t="s">
        <v>342</v>
      </c>
      <c r="B67" s="38" t="s">
        <v>152</v>
      </c>
      <c r="C67" s="45" t="b">
        <v>1</v>
      </c>
      <c r="D67" s="45" t="b">
        <v>1</v>
      </c>
    </row>
    <row r="68" spans="1:9">
      <c r="A68" s="38" t="s">
        <v>299</v>
      </c>
      <c r="B68" s="38" t="s">
        <v>83</v>
      </c>
      <c r="C68" s="45" t="b">
        <v>1</v>
      </c>
      <c r="D68" s="45" t="b">
        <v>1</v>
      </c>
    </row>
    <row r="69" spans="1:9">
      <c r="A69" s="38" t="s">
        <v>717</v>
      </c>
      <c r="B69" s="38" t="s">
        <v>83</v>
      </c>
      <c r="C69" s="45" t="b">
        <v>1</v>
      </c>
      <c r="D69" s="45" t="b">
        <v>1</v>
      </c>
    </row>
    <row r="70" spans="1:9">
      <c r="A70" s="38" t="s">
        <v>447</v>
      </c>
      <c r="B70" s="38" t="s">
        <v>160</v>
      </c>
      <c r="C70" s="45" t="b">
        <v>1</v>
      </c>
      <c r="D70" s="45" t="b">
        <v>1</v>
      </c>
    </row>
    <row r="71" spans="1:9">
      <c r="A71" s="38" t="s">
        <v>307</v>
      </c>
      <c r="B71" s="38" t="s">
        <v>310</v>
      </c>
      <c r="C71" s="45" t="b">
        <v>1</v>
      </c>
      <c r="D71" s="45" t="b">
        <v>1</v>
      </c>
    </row>
    <row r="72" spans="1:9">
      <c r="A72" s="38" t="s">
        <v>722</v>
      </c>
      <c r="B72" s="38" t="s">
        <v>184</v>
      </c>
      <c r="C72" s="45" t="b">
        <v>1</v>
      </c>
      <c r="D72" s="45" t="b">
        <v>1</v>
      </c>
      <c r="E72" s="45" t="s">
        <v>1404</v>
      </c>
    </row>
    <row r="73" spans="1:9">
      <c r="A73" s="38" t="s">
        <v>333</v>
      </c>
      <c r="B73" s="38" t="s">
        <v>336</v>
      </c>
      <c r="C73" s="45" t="b">
        <v>1</v>
      </c>
      <c r="D73" s="45" t="b">
        <v>1</v>
      </c>
    </row>
    <row r="74" spans="1:9">
      <c r="A74" s="38" t="s">
        <v>725</v>
      </c>
      <c r="B74" s="38" t="s">
        <v>132</v>
      </c>
      <c r="C74" s="45" t="b">
        <v>1</v>
      </c>
      <c r="D74" s="45" t="b">
        <v>1</v>
      </c>
    </row>
    <row r="75" spans="1:9">
      <c r="A75" s="38" t="s">
        <v>391</v>
      </c>
      <c r="B75" s="142" t="s">
        <v>1386</v>
      </c>
      <c r="C75" s="45" t="s">
        <v>1405</v>
      </c>
      <c r="D75" s="45" t="s">
        <v>1405</v>
      </c>
      <c r="F75" s="45" t="s">
        <v>144</v>
      </c>
      <c r="I75" s="45" t="s">
        <v>1388</v>
      </c>
    </row>
    <row r="76" spans="1:9">
      <c r="A76" s="38" t="s">
        <v>382</v>
      </c>
      <c r="B76" s="38" t="s">
        <v>177</v>
      </c>
      <c r="C76" s="45" t="b">
        <v>1</v>
      </c>
      <c r="D76" s="45" t="b">
        <v>1</v>
      </c>
    </row>
    <row r="77" spans="1:9">
      <c r="A77" s="38" t="s">
        <v>407</v>
      </c>
      <c r="B77" s="38" t="s">
        <v>152</v>
      </c>
      <c r="C77" s="45" t="b">
        <v>1</v>
      </c>
      <c r="D77" s="45" t="b">
        <v>1</v>
      </c>
    </row>
    <row r="78" spans="1:9">
      <c r="A78" s="143" t="s">
        <v>732</v>
      </c>
      <c r="B78" s="143" t="s">
        <v>170</v>
      </c>
      <c r="C78" s="45" t="s">
        <v>755</v>
      </c>
      <c r="D78" s="45" t="s">
        <v>755</v>
      </c>
    </row>
    <row r="79" spans="1:9">
      <c r="A79" s="38" t="s">
        <v>733</v>
      </c>
      <c r="B79" s="38" t="s">
        <v>152</v>
      </c>
      <c r="C79" s="45" t="b">
        <v>1</v>
      </c>
      <c r="D79" s="45" t="b">
        <v>1</v>
      </c>
    </row>
    <row r="80" spans="1:9">
      <c r="A80" s="38" t="s">
        <v>369</v>
      </c>
      <c r="B80" s="38" t="s">
        <v>372</v>
      </c>
      <c r="C80" s="45" t="b">
        <v>1</v>
      </c>
      <c r="D80" s="45" t="b">
        <v>1</v>
      </c>
    </row>
    <row r="81" spans="1:9">
      <c r="A81" s="38" t="s">
        <v>476</v>
      </c>
      <c r="B81" s="38" t="s">
        <v>152</v>
      </c>
      <c r="C81" s="45" t="b">
        <v>1</v>
      </c>
      <c r="D81" s="45" t="b">
        <v>1</v>
      </c>
    </row>
    <row r="82" spans="1:9">
      <c r="A82" s="38" t="s">
        <v>736</v>
      </c>
      <c r="B82" s="38" t="s">
        <v>739</v>
      </c>
      <c r="C82" s="45" t="b">
        <v>1</v>
      </c>
      <c r="D82" s="45" t="b">
        <v>1</v>
      </c>
    </row>
    <row r="83" spans="1:9">
      <c r="A83" s="38" t="s">
        <v>492</v>
      </c>
      <c r="B83" s="38" t="s">
        <v>336</v>
      </c>
      <c r="C83" s="45" t="b">
        <v>1</v>
      </c>
      <c r="D83" s="45" t="b">
        <v>1</v>
      </c>
    </row>
    <row r="84" spans="1:9">
      <c r="A84" s="38" t="s">
        <v>557</v>
      </c>
      <c r="B84" s="38" t="s">
        <v>160</v>
      </c>
      <c r="C84" s="45" t="b">
        <v>1</v>
      </c>
      <c r="D84" s="45" t="b">
        <v>1</v>
      </c>
    </row>
    <row r="85" spans="1:9">
      <c r="A85" s="38" t="s">
        <v>1406</v>
      </c>
      <c r="B85" s="38" t="s">
        <v>83</v>
      </c>
      <c r="C85" s="45" t="s">
        <v>1407</v>
      </c>
      <c r="D85" s="45" t="s">
        <v>1407</v>
      </c>
      <c r="E85" s="45" t="s">
        <v>144</v>
      </c>
      <c r="H85" s="45" t="s">
        <v>1408</v>
      </c>
      <c r="I85" s="45" t="s">
        <v>1388</v>
      </c>
    </row>
    <row r="86" spans="1:9">
      <c r="A86" s="38" t="s">
        <v>459</v>
      </c>
      <c r="B86" s="142" t="s">
        <v>1386</v>
      </c>
      <c r="C86" s="45" t="s">
        <v>1405</v>
      </c>
      <c r="D86" s="45" t="s">
        <v>1405</v>
      </c>
      <c r="F86" s="45" t="s">
        <v>144</v>
      </c>
      <c r="I86" s="45" t="s">
        <v>1388</v>
      </c>
    </row>
    <row r="87" spans="1:9">
      <c r="A87" s="38" t="s">
        <v>745</v>
      </c>
      <c r="B87" s="38" t="s">
        <v>170</v>
      </c>
      <c r="C87" s="45" t="b">
        <v>1</v>
      </c>
      <c r="D87" s="45" t="b">
        <v>1</v>
      </c>
    </row>
    <row r="88" spans="1:9">
      <c r="A88" s="143" t="s">
        <v>747</v>
      </c>
      <c r="B88" s="143" t="s">
        <v>141</v>
      </c>
      <c r="C88" s="45" t="s">
        <v>755</v>
      </c>
      <c r="D88" s="45" t="s">
        <v>755</v>
      </c>
    </row>
    <row r="89" spans="1:9">
      <c r="A89" s="38" t="s">
        <v>750</v>
      </c>
      <c r="B89" s="38" t="s">
        <v>184</v>
      </c>
      <c r="C89" s="45" t="b">
        <v>1</v>
      </c>
      <c r="D89" s="45" t="b">
        <v>1</v>
      </c>
    </row>
    <row r="90" spans="1:9">
      <c r="A90" s="38" t="s">
        <v>538</v>
      </c>
      <c r="B90" s="38" t="s">
        <v>152</v>
      </c>
      <c r="C90" s="45" t="b">
        <v>1</v>
      </c>
      <c r="D90" s="45" t="b">
        <v>1</v>
      </c>
    </row>
    <row r="91" spans="1:9">
      <c r="A91" s="143" t="s">
        <v>754</v>
      </c>
      <c r="B91" s="143" t="s">
        <v>170</v>
      </c>
      <c r="C91" s="45" t="s">
        <v>755</v>
      </c>
      <c r="D91" s="45" t="s">
        <v>755</v>
      </c>
    </row>
    <row r="92" spans="1:9">
      <c r="A92" s="143" t="s">
        <v>756</v>
      </c>
      <c r="B92" s="143" t="s">
        <v>83</v>
      </c>
      <c r="C92" s="45" t="s">
        <v>755</v>
      </c>
      <c r="D92" s="45" t="s">
        <v>755</v>
      </c>
    </row>
    <row r="93" spans="1:9">
      <c r="A93" s="38" t="s">
        <v>364</v>
      </c>
      <c r="B93" s="38" t="s">
        <v>83</v>
      </c>
      <c r="C93" s="45" t="b">
        <v>1</v>
      </c>
      <c r="D93" s="45" t="b">
        <v>1</v>
      </c>
    </row>
    <row r="94" spans="1:9">
      <c r="A94" s="38" t="s">
        <v>759</v>
      </c>
      <c r="B94" s="38" t="s">
        <v>177</v>
      </c>
      <c r="C94" s="45" t="b">
        <v>1</v>
      </c>
      <c r="D94" s="45" t="b">
        <v>1</v>
      </c>
    </row>
    <row r="95" spans="1:9">
      <c r="A95" s="38" t="s">
        <v>560</v>
      </c>
      <c r="B95" s="38" t="s">
        <v>286</v>
      </c>
      <c r="C95" s="45" t="b">
        <v>1</v>
      </c>
      <c r="D95" s="45" t="b">
        <v>1</v>
      </c>
    </row>
    <row r="96" spans="1:9">
      <c r="A96" s="38" t="s">
        <v>376</v>
      </c>
      <c r="B96" s="38" t="s">
        <v>170</v>
      </c>
      <c r="C96" s="45" t="b">
        <v>1</v>
      </c>
      <c r="D96" s="45" t="b">
        <v>1</v>
      </c>
    </row>
    <row r="97" spans="1:9">
      <c r="A97" s="142" t="s">
        <v>1409</v>
      </c>
      <c r="B97" s="38" t="s">
        <v>819</v>
      </c>
      <c r="C97" s="45" t="s">
        <v>1410</v>
      </c>
      <c r="D97" s="45" t="b">
        <v>1</v>
      </c>
      <c r="E97" s="45" t="s">
        <v>144</v>
      </c>
      <c r="H97" s="45" t="s">
        <v>1283</v>
      </c>
      <c r="I97" s="45" t="s">
        <v>1388</v>
      </c>
    </row>
    <row r="98" spans="1:9">
      <c r="A98" s="38" t="s">
        <v>432</v>
      </c>
      <c r="B98" s="38" t="s">
        <v>177</v>
      </c>
      <c r="C98" s="45" t="b">
        <v>1</v>
      </c>
      <c r="D98" s="45" t="b">
        <v>1</v>
      </c>
    </row>
    <row r="99" spans="1:9">
      <c r="A99" s="38" t="s">
        <v>767</v>
      </c>
      <c r="B99" s="38" t="s">
        <v>83</v>
      </c>
      <c r="C99" s="45" t="b">
        <v>1</v>
      </c>
      <c r="D99" s="45" t="b">
        <v>1</v>
      </c>
    </row>
    <row r="100" spans="1:9">
      <c r="A100" s="38" t="s">
        <v>770</v>
      </c>
      <c r="B100" s="38" t="s">
        <v>184</v>
      </c>
      <c r="C100" s="45" t="b">
        <v>1</v>
      </c>
      <c r="D100" s="45" t="b">
        <v>1</v>
      </c>
    </row>
    <row r="101" spans="1:9">
      <c r="A101" s="38" t="s">
        <v>439</v>
      </c>
      <c r="B101" s="38" t="s">
        <v>83</v>
      </c>
      <c r="C101" s="45" t="b">
        <v>1</v>
      </c>
      <c r="D101" s="45" t="b">
        <v>1</v>
      </c>
    </row>
    <row r="102" spans="1:9">
      <c r="A102" s="38" t="s">
        <v>385</v>
      </c>
      <c r="B102" s="38" t="s">
        <v>170</v>
      </c>
      <c r="C102" s="45" t="b">
        <v>1</v>
      </c>
      <c r="D102" s="45" t="b">
        <v>1</v>
      </c>
    </row>
    <row r="103" spans="1:9">
      <c r="A103" s="143" t="s">
        <v>776</v>
      </c>
      <c r="B103" s="143" t="s">
        <v>83</v>
      </c>
      <c r="C103" s="45" t="s">
        <v>755</v>
      </c>
      <c r="D103" s="45" t="s">
        <v>755</v>
      </c>
    </row>
    <row r="104" spans="1:9">
      <c r="A104" s="38" t="s">
        <v>414</v>
      </c>
      <c r="B104" s="38" t="s">
        <v>152</v>
      </c>
      <c r="C104" s="45" t="b">
        <v>1</v>
      </c>
      <c r="D104" s="45" t="b">
        <v>1</v>
      </c>
    </row>
    <row r="105" spans="1:9">
      <c r="A105" s="142" t="s">
        <v>1411</v>
      </c>
      <c r="B105" s="38" t="s">
        <v>141</v>
      </c>
      <c r="C105" s="45" t="s">
        <v>1412</v>
      </c>
      <c r="D105" s="45" t="s">
        <v>1412</v>
      </c>
      <c r="G105" s="45" t="s">
        <v>144</v>
      </c>
      <c r="H105" s="45" t="s">
        <v>1392</v>
      </c>
      <c r="I105" s="45" t="s">
        <v>1388</v>
      </c>
    </row>
    <row r="106" spans="1:9">
      <c r="A106" s="38" t="s">
        <v>784</v>
      </c>
      <c r="B106" s="38" t="s">
        <v>787</v>
      </c>
      <c r="C106" s="45" t="b">
        <v>1</v>
      </c>
      <c r="D106" s="45" t="b">
        <v>1</v>
      </c>
    </row>
    <row r="107" spans="1:9">
      <c r="A107" s="38" t="s">
        <v>403</v>
      </c>
      <c r="B107" s="38" t="s">
        <v>286</v>
      </c>
      <c r="C107" s="45" t="b">
        <v>1</v>
      </c>
      <c r="D107" s="45" t="b">
        <v>1</v>
      </c>
    </row>
    <row r="108" spans="1:9">
      <c r="A108" s="38" t="s">
        <v>411</v>
      </c>
      <c r="B108" s="38" t="s">
        <v>83</v>
      </c>
      <c r="C108" s="45" t="b">
        <v>1</v>
      </c>
      <c r="D108" s="45" t="b">
        <v>1</v>
      </c>
    </row>
    <row r="109" spans="1:9">
      <c r="A109" s="142" t="s">
        <v>1413</v>
      </c>
      <c r="B109" s="38" t="s">
        <v>794</v>
      </c>
      <c r="C109" s="45" t="s">
        <v>1414</v>
      </c>
      <c r="D109" s="45" t="b">
        <v>1</v>
      </c>
      <c r="E109" s="45" t="s">
        <v>144</v>
      </c>
      <c r="H109" s="45" t="s">
        <v>1392</v>
      </c>
      <c r="I109" s="45" t="s">
        <v>1388</v>
      </c>
    </row>
    <row r="110" spans="1:9">
      <c r="A110" s="38" t="s">
        <v>388</v>
      </c>
      <c r="B110" s="38" t="s">
        <v>160</v>
      </c>
      <c r="C110" s="45" t="b">
        <v>1</v>
      </c>
      <c r="D110" s="45" t="b">
        <v>1</v>
      </c>
    </row>
    <row r="111" spans="1:9">
      <c r="A111" s="38" t="s">
        <v>394</v>
      </c>
      <c r="B111" s="38" t="s">
        <v>83</v>
      </c>
      <c r="C111" s="45" t="b">
        <v>1</v>
      </c>
      <c r="D111" s="45" t="b">
        <v>1</v>
      </c>
    </row>
    <row r="112" spans="1:9">
      <c r="A112" s="38" t="s">
        <v>486</v>
      </c>
      <c r="B112" s="38" t="s">
        <v>160</v>
      </c>
      <c r="C112" s="45" t="b">
        <v>1</v>
      </c>
      <c r="D112" s="45" t="b">
        <v>1</v>
      </c>
    </row>
    <row r="113" spans="1:4">
      <c r="A113" s="38" t="s">
        <v>498</v>
      </c>
      <c r="B113" s="38" t="s">
        <v>277</v>
      </c>
      <c r="C113" s="45" t="b">
        <v>1</v>
      </c>
      <c r="D113" s="45" t="b">
        <v>1</v>
      </c>
    </row>
    <row r="114" spans="1:4">
      <c r="A114" s="38" t="s">
        <v>489</v>
      </c>
      <c r="B114" s="38" t="s">
        <v>152</v>
      </c>
      <c r="C114" s="45" t="b">
        <v>1</v>
      </c>
      <c r="D114" s="45" t="b">
        <v>1</v>
      </c>
    </row>
    <row r="115" spans="1:4">
      <c r="A115" s="38" t="s">
        <v>800</v>
      </c>
      <c r="B115" s="38" t="s">
        <v>83</v>
      </c>
      <c r="C115" s="45" t="b">
        <v>1</v>
      </c>
      <c r="D115" s="45" t="b">
        <v>1</v>
      </c>
    </row>
    <row r="116" spans="1:4">
      <c r="A116" s="38" t="s">
        <v>803</v>
      </c>
      <c r="B116" s="38" t="s">
        <v>184</v>
      </c>
      <c r="C116" s="45" t="b">
        <v>1</v>
      </c>
      <c r="D116" s="45" t="b">
        <v>1</v>
      </c>
    </row>
    <row r="117" spans="1:4">
      <c r="A117" s="38" t="s">
        <v>424</v>
      </c>
      <c r="B117" s="38" t="s">
        <v>83</v>
      </c>
      <c r="C117" s="45" t="b">
        <v>1</v>
      </c>
      <c r="D117" s="45" t="b">
        <v>1</v>
      </c>
    </row>
    <row r="118" spans="1:4">
      <c r="A118" s="38" t="s">
        <v>443</v>
      </c>
      <c r="B118" s="38" t="s">
        <v>152</v>
      </c>
      <c r="C118" s="45" t="b">
        <v>1</v>
      </c>
      <c r="D118" s="45" t="b">
        <v>1</v>
      </c>
    </row>
    <row r="119" spans="1:4">
      <c r="A119" s="38" t="s">
        <v>535</v>
      </c>
      <c r="B119" s="38" t="s">
        <v>286</v>
      </c>
      <c r="C119" s="45" t="b">
        <v>1</v>
      </c>
      <c r="D119" s="45" t="b">
        <v>1</v>
      </c>
    </row>
    <row r="120" spans="1:4">
      <c r="A120" s="38" t="s">
        <v>809</v>
      </c>
      <c r="B120" s="38" t="s">
        <v>184</v>
      </c>
      <c r="C120" s="45" t="b">
        <v>1</v>
      </c>
      <c r="D120" s="45" t="b">
        <v>1</v>
      </c>
    </row>
    <row r="121" spans="1:4">
      <c r="A121" s="38" t="s">
        <v>435</v>
      </c>
      <c r="B121" s="38" t="s">
        <v>177</v>
      </c>
      <c r="C121" s="45" t="b">
        <v>1</v>
      </c>
      <c r="D121" s="45" t="b">
        <v>1</v>
      </c>
    </row>
    <row r="122" spans="1:4">
      <c r="A122" s="38" t="s">
        <v>816</v>
      </c>
      <c r="B122" s="38" t="s">
        <v>819</v>
      </c>
      <c r="C122" s="45" t="b">
        <v>1</v>
      </c>
      <c r="D122" s="45" t="b">
        <v>1</v>
      </c>
    </row>
    <row r="123" spans="1:4">
      <c r="A123" s="38" t="s">
        <v>824</v>
      </c>
      <c r="B123" s="38" t="s">
        <v>160</v>
      </c>
      <c r="C123" s="45" t="b">
        <v>1</v>
      </c>
      <c r="D123" s="45" t="b">
        <v>1</v>
      </c>
    </row>
    <row r="124" spans="1:4">
      <c r="A124" s="38" t="s">
        <v>827</v>
      </c>
      <c r="B124" s="38" t="s">
        <v>170</v>
      </c>
      <c r="C124" s="45" t="b">
        <v>1</v>
      </c>
      <c r="D124" s="45" t="b">
        <v>1</v>
      </c>
    </row>
    <row r="125" spans="1:4">
      <c r="A125" s="38" t="s">
        <v>830</v>
      </c>
      <c r="B125" s="38" t="s">
        <v>184</v>
      </c>
      <c r="C125" s="45" t="b">
        <v>1</v>
      </c>
      <c r="D125" s="45" t="b">
        <v>1</v>
      </c>
    </row>
    <row r="126" spans="1:4">
      <c r="A126" s="38" t="s">
        <v>508</v>
      </c>
      <c r="B126" s="38" t="s">
        <v>83</v>
      </c>
      <c r="C126" s="45" t="b">
        <v>1</v>
      </c>
      <c r="D126" s="45" t="b">
        <v>1</v>
      </c>
    </row>
    <row r="127" spans="1:4">
      <c r="A127" s="38" t="s">
        <v>517</v>
      </c>
      <c r="B127" s="38" t="s">
        <v>318</v>
      </c>
      <c r="C127" s="45" t="b">
        <v>1</v>
      </c>
      <c r="D127" s="45" t="b">
        <v>1</v>
      </c>
    </row>
    <row r="128" spans="1:4">
      <c r="A128" s="38" t="s">
        <v>511</v>
      </c>
      <c r="B128" s="38" t="s">
        <v>286</v>
      </c>
      <c r="C128" s="45" t="b">
        <v>1</v>
      </c>
      <c r="D128" s="45" t="b">
        <v>1</v>
      </c>
    </row>
    <row r="129" spans="1:9">
      <c r="A129" s="38" t="s">
        <v>525</v>
      </c>
      <c r="B129" s="38" t="s">
        <v>184</v>
      </c>
      <c r="C129" s="45" t="b">
        <v>1</v>
      </c>
      <c r="D129" s="45" t="b">
        <v>1</v>
      </c>
    </row>
    <row r="130" spans="1:9">
      <c r="A130" s="38" t="s">
        <v>462</v>
      </c>
      <c r="B130" s="38" t="s">
        <v>184</v>
      </c>
      <c r="C130" s="45" t="b">
        <v>1</v>
      </c>
      <c r="D130" s="45" t="b">
        <v>1</v>
      </c>
    </row>
    <row r="131" spans="1:9">
      <c r="A131" s="38" t="s">
        <v>451</v>
      </c>
      <c r="B131" s="38" t="s">
        <v>277</v>
      </c>
      <c r="C131" s="45" t="b">
        <v>1</v>
      </c>
      <c r="D131" s="45" t="b">
        <v>1</v>
      </c>
    </row>
    <row r="132" spans="1:9">
      <c r="A132" s="142" t="s">
        <v>1415</v>
      </c>
      <c r="B132" s="38" t="s">
        <v>83</v>
      </c>
      <c r="C132" s="45" t="s">
        <v>1416</v>
      </c>
      <c r="D132" s="45" t="s">
        <v>1416</v>
      </c>
      <c r="E132" s="45" t="s">
        <v>144</v>
      </c>
      <c r="H132" s="45" t="s">
        <v>1417</v>
      </c>
      <c r="I132" s="45" t="s">
        <v>1388</v>
      </c>
    </row>
    <row r="133" spans="1:9">
      <c r="A133" s="38" t="s">
        <v>513</v>
      </c>
      <c r="B133" s="38" t="s">
        <v>83</v>
      </c>
      <c r="C133" s="45" t="b">
        <v>1</v>
      </c>
      <c r="D133" s="45" t="b">
        <v>1</v>
      </c>
    </row>
    <row r="134" spans="1:9">
      <c r="A134" s="38" t="s">
        <v>457</v>
      </c>
      <c r="B134" s="38" t="s">
        <v>170</v>
      </c>
      <c r="C134" s="45" t="b">
        <v>1</v>
      </c>
      <c r="D134" s="45" t="b">
        <v>1</v>
      </c>
    </row>
    <row r="135" spans="1:9">
      <c r="A135" s="38" t="s">
        <v>838</v>
      </c>
      <c r="B135" s="38" t="s">
        <v>841</v>
      </c>
      <c r="C135" s="45" t="b">
        <v>1</v>
      </c>
      <c r="D135" s="45" t="b">
        <v>1</v>
      </c>
    </row>
    <row r="136" spans="1:9">
      <c r="A136" s="38" t="s">
        <v>467</v>
      </c>
      <c r="B136" s="38" t="s">
        <v>184</v>
      </c>
      <c r="C136" s="45" t="b">
        <v>1</v>
      </c>
      <c r="D136" s="45" t="b">
        <v>1</v>
      </c>
    </row>
    <row r="137" spans="1:9">
      <c r="A137" s="38" t="s">
        <v>844</v>
      </c>
      <c r="B137" s="38" t="s">
        <v>847</v>
      </c>
      <c r="C137" s="45" t="b">
        <v>1</v>
      </c>
      <c r="D137" s="45" t="b">
        <v>1</v>
      </c>
    </row>
    <row r="138" spans="1:9">
      <c r="A138" s="143" t="s">
        <v>851</v>
      </c>
      <c r="B138" s="143" t="s">
        <v>184</v>
      </c>
      <c r="C138" s="45" t="s">
        <v>755</v>
      </c>
      <c r="D138" s="45" t="s">
        <v>755</v>
      </c>
    </row>
    <row r="139" spans="1:9">
      <c r="A139" s="38" t="s">
        <v>852</v>
      </c>
      <c r="B139" s="38" t="s">
        <v>170</v>
      </c>
      <c r="C139" s="45" t="b">
        <v>1</v>
      </c>
      <c r="D139" s="45" t="b">
        <v>1</v>
      </c>
    </row>
    <row r="140" spans="1:9">
      <c r="A140" s="143" t="s">
        <v>855</v>
      </c>
      <c r="B140" s="143" t="s">
        <v>83</v>
      </c>
      <c r="C140" s="45" t="s">
        <v>755</v>
      </c>
      <c r="D140" s="45" t="s">
        <v>755</v>
      </c>
    </row>
    <row r="141" spans="1:9">
      <c r="A141" s="142" t="s">
        <v>1418</v>
      </c>
      <c r="B141" s="38" t="s">
        <v>859</v>
      </c>
      <c r="C141" s="45" t="s">
        <v>1419</v>
      </c>
      <c r="D141" s="45" t="s">
        <v>1419</v>
      </c>
      <c r="E141" s="45" t="s">
        <v>144</v>
      </c>
      <c r="I141" s="45" t="s">
        <v>1388</v>
      </c>
    </row>
    <row r="142" spans="1:9">
      <c r="A142" s="142" t="s">
        <v>1420</v>
      </c>
      <c r="B142" s="38" t="s">
        <v>160</v>
      </c>
      <c r="C142" s="45" t="s">
        <v>1421</v>
      </c>
      <c r="D142" s="45" t="s">
        <v>1421</v>
      </c>
      <c r="G142" s="45" t="s">
        <v>144</v>
      </c>
      <c r="H142" s="45" t="s">
        <v>1392</v>
      </c>
      <c r="I142" s="45" t="s">
        <v>1388</v>
      </c>
    </row>
    <row r="143" spans="1:9">
      <c r="A143" s="38" t="s">
        <v>482</v>
      </c>
      <c r="B143" s="38" t="s">
        <v>286</v>
      </c>
      <c r="C143" s="45" t="b">
        <v>1</v>
      </c>
      <c r="D143" s="45" t="b">
        <v>1</v>
      </c>
    </row>
    <row r="144" spans="1:9">
      <c r="A144" s="142" t="s">
        <v>1422</v>
      </c>
      <c r="B144" s="38" t="s">
        <v>739</v>
      </c>
      <c r="C144" s="45" t="s">
        <v>1423</v>
      </c>
      <c r="D144" s="45" t="s">
        <v>1423</v>
      </c>
      <c r="E144" s="45" t="s">
        <v>144</v>
      </c>
      <c r="G144" s="45" t="s">
        <v>144</v>
      </c>
      <c r="H144" s="45" t="s">
        <v>1424</v>
      </c>
      <c r="I144" s="45" t="s">
        <v>1388</v>
      </c>
    </row>
    <row r="145" spans="1:9">
      <c r="A145" s="38" t="s">
        <v>873</v>
      </c>
      <c r="B145" s="38" t="s">
        <v>160</v>
      </c>
      <c r="C145" s="45" t="b">
        <v>1</v>
      </c>
      <c r="D145" s="45" t="b">
        <v>1</v>
      </c>
    </row>
    <row r="146" spans="1:9">
      <c r="A146" s="38" t="s">
        <v>879</v>
      </c>
      <c r="B146" s="38" t="s">
        <v>152</v>
      </c>
      <c r="C146" s="45" t="b">
        <v>1</v>
      </c>
      <c r="D146" s="45" t="b">
        <v>1</v>
      </c>
    </row>
    <row r="147" spans="1:9">
      <c r="A147" s="38" t="s">
        <v>881</v>
      </c>
      <c r="B147" s="38" t="s">
        <v>318</v>
      </c>
      <c r="C147" s="45" t="b">
        <v>1</v>
      </c>
      <c r="D147" s="45" t="b">
        <v>1</v>
      </c>
    </row>
    <row r="148" spans="1:9">
      <c r="A148" s="38" t="s">
        <v>505</v>
      </c>
      <c r="B148" s="38" t="s">
        <v>83</v>
      </c>
      <c r="C148" s="45" t="b">
        <v>1</v>
      </c>
      <c r="D148" s="45" t="b">
        <v>1</v>
      </c>
    </row>
    <row r="149" spans="1:9">
      <c r="A149" s="38" t="s">
        <v>522</v>
      </c>
      <c r="B149" s="38" t="s">
        <v>277</v>
      </c>
      <c r="C149" s="45" t="b">
        <v>1</v>
      </c>
      <c r="D149" s="45" t="b">
        <v>1</v>
      </c>
    </row>
    <row r="150" spans="1:9">
      <c r="A150" s="142" t="s">
        <v>1425</v>
      </c>
      <c r="B150" s="38" t="s">
        <v>141</v>
      </c>
      <c r="C150" s="45" t="s">
        <v>1426</v>
      </c>
      <c r="D150" s="45" t="s">
        <v>1426</v>
      </c>
      <c r="E150" s="45" t="s">
        <v>144</v>
      </c>
      <c r="I150" s="45" t="s">
        <v>1388</v>
      </c>
    </row>
    <row r="151" spans="1:9">
      <c r="A151" s="38" t="s">
        <v>889</v>
      </c>
      <c r="B151" s="38" t="s">
        <v>83</v>
      </c>
      <c r="C151" s="45" t="b">
        <v>1</v>
      </c>
      <c r="D151" s="45" t="b">
        <v>1</v>
      </c>
    </row>
    <row r="152" spans="1:9">
      <c r="A152" s="38" t="s">
        <v>893</v>
      </c>
      <c r="B152" s="38" t="s">
        <v>83</v>
      </c>
      <c r="C152" s="45" t="b">
        <v>1</v>
      </c>
      <c r="D152" s="45" t="b">
        <v>1</v>
      </c>
    </row>
    <row r="153" spans="1:9">
      <c r="A153" s="38" t="s">
        <v>550</v>
      </c>
      <c r="B153" s="142" t="s">
        <v>1386</v>
      </c>
      <c r="C153" s="45" t="s">
        <v>1405</v>
      </c>
      <c r="D153" s="45" t="s">
        <v>1405</v>
      </c>
      <c r="F153" s="45" t="s">
        <v>144</v>
      </c>
      <c r="I153" s="45" t="s">
        <v>1388</v>
      </c>
    </row>
    <row r="154" spans="1:9">
      <c r="A154" s="38" t="s">
        <v>541</v>
      </c>
      <c r="B154" s="38" t="s">
        <v>83</v>
      </c>
      <c r="C154" s="45" t="b">
        <v>1</v>
      </c>
      <c r="D154" s="45" t="b">
        <v>1</v>
      </c>
    </row>
    <row r="155" spans="1:9">
      <c r="A155" s="38" t="s">
        <v>898</v>
      </c>
      <c r="B155" s="38" t="s">
        <v>170</v>
      </c>
      <c r="C155" s="45" t="b">
        <v>1</v>
      </c>
      <c r="D155" s="45" t="b">
        <v>1</v>
      </c>
    </row>
    <row r="156" spans="1:9">
      <c r="A156" s="143" t="s">
        <v>904</v>
      </c>
      <c r="B156" s="143" t="s">
        <v>819</v>
      </c>
      <c r="C156" s="45" t="s">
        <v>755</v>
      </c>
      <c r="D156" s="45" t="s">
        <v>755</v>
      </c>
    </row>
    <row r="157" spans="1:9">
      <c r="A157" s="38" t="s">
        <v>905</v>
      </c>
      <c r="B157" s="38" t="s">
        <v>152</v>
      </c>
      <c r="C157" s="45" t="b">
        <v>1</v>
      </c>
      <c r="D157" s="45" t="b">
        <v>1</v>
      </c>
    </row>
    <row r="158" spans="1:9">
      <c r="A158" s="142" t="s">
        <v>1427</v>
      </c>
      <c r="B158" s="38" t="s">
        <v>152</v>
      </c>
      <c r="C158" s="45" t="s">
        <v>1428</v>
      </c>
      <c r="D158" s="45" t="b">
        <v>1</v>
      </c>
      <c r="G158" s="45" t="s">
        <v>144</v>
      </c>
      <c r="H158" s="45" t="s">
        <v>1392</v>
      </c>
      <c r="I158" s="45" t="s">
        <v>1388</v>
      </c>
    </row>
    <row r="159" spans="1:9">
      <c r="A159" s="142" t="s">
        <v>914</v>
      </c>
      <c r="B159" s="38" t="s">
        <v>224</v>
      </c>
      <c r="C159" s="45" t="s">
        <v>1429</v>
      </c>
      <c r="D159" s="45" t="s">
        <v>1429</v>
      </c>
      <c r="E159" s="45" t="s">
        <v>144</v>
      </c>
      <c r="H159" s="45" t="s">
        <v>1430</v>
      </c>
      <c r="I159" s="45" t="s">
        <v>1431</v>
      </c>
    </row>
    <row r="160" spans="1:9">
      <c r="A160" s="38" t="s">
        <v>918</v>
      </c>
      <c r="B160" s="38" t="s">
        <v>152</v>
      </c>
      <c r="C160" s="45" t="b">
        <v>1</v>
      </c>
      <c r="D160" s="45" t="b">
        <v>1</v>
      </c>
    </row>
    <row r="161" spans="1:9">
      <c r="A161" s="38" t="s">
        <v>923</v>
      </c>
      <c r="B161" s="38" t="s">
        <v>787</v>
      </c>
      <c r="C161" s="45" t="b">
        <v>1</v>
      </c>
      <c r="D161" s="45" t="b">
        <v>1</v>
      </c>
    </row>
    <row r="162" spans="1:9">
      <c r="A162" s="142" t="s">
        <v>1432</v>
      </c>
      <c r="B162" s="38" t="s">
        <v>83</v>
      </c>
      <c r="C162" s="45" t="s">
        <v>1433</v>
      </c>
      <c r="D162" s="45" t="s">
        <v>1433</v>
      </c>
      <c r="E162" s="45" t="s">
        <v>144</v>
      </c>
      <c r="H162" s="45" t="s">
        <v>1434</v>
      </c>
      <c r="I162" s="45" t="s">
        <v>1388</v>
      </c>
    </row>
    <row r="163" spans="1:9">
      <c r="A163" s="38" t="s">
        <v>933</v>
      </c>
      <c r="B163" s="38" t="s">
        <v>160</v>
      </c>
      <c r="C163" s="45" t="b">
        <v>1</v>
      </c>
      <c r="D163" s="45" t="b">
        <v>1</v>
      </c>
    </row>
    <row r="164" spans="1:9">
      <c r="A164" s="38" t="s">
        <v>937</v>
      </c>
      <c r="B164" s="38" t="s">
        <v>83</v>
      </c>
      <c r="C164" s="45" t="b">
        <v>1</v>
      </c>
      <c r="D164" s="45" t="b">
        <v>1</v>
      </c>
    </row>
    <row r="165" spans="1:9">
      <c r="A165" s="38" t="s">
        <v>941</v>
      </c>
      <c r="B165" s="38" t="s">
        <v>184</v>
      </c>
      <c r="C165" s="45" t="b">
        <v>1</v>
      </c>
      <c r="D165" s="45" t="b">
        <v>1</v>
      </c>
    </row>
    <row r="166" spans="1:9">
      <c r="A166" s="38" t="s">
        <v>947</v>
      </c>
      <c r="B166" s="38" t="s">
        <v>177</v>
      </c>
      <c r="C166" s="45" t="b">
        <v>1</v>
      </c>
      <c r="D166" s="45" t="b">
        <v>1</v>
      </c>
    </row>
    <row r="167" spans="1:9">
      <c r="A167" s="38" t="s">
        <v>950</v>
      </c>
      <c r="B167" s="38" t="s">
        <v>184</v>
      </c>
      <c r="C167" s="45" t="b">
        <v>1</v>
      </c>
      <c r="D167" s="45" t="b">
        <v>1</v>
      </c>
    </row>
    <row r="168" spans="1:9">
      <c r="A168" s="38" t="s">
        <v>953</v>
      </c>
      <c r="B168" s="38" t="s">
        <v>160</v>
      </c>
      <c r="C168" s="45" t="b">
        <v>1</v>
      </c>
      <c r="D168" s="45" t="b">
        <v>1</v>
      </c>
    </row>
    <row r="169" spans="1:9">
      <c r="A169" s="38" t="s">
        <v>956</v>
      </c>
      <c r="B169" s="38" t="s">
        <v>152</v>
      </c>
      <c r="C169" s="45" t="b">
        <v>1</v>
      </c>
      <c r="D169" s="45" t="b">
        <v>1</v>
      </c>
    </row>
    <row r="170" spans="1:9">
      <c r="A170" s="142" t="s">
        <v>528</v>
      </c>
      <c r="B170" s="38" t="s">
        <v>83</v>
      </c>
      <c r="C170" s="45" t="s">
        <v>1435</v>
      </c>
      <c r="D170" s="45" t="s">
        <v>1435</v>
      </c>
      <c r="E170" s="45" t="s">
        <v>144</v>
      </c>
      <c r="H170" s="45" t="s">
        <v>1434</v>
      </c>
      <c r="I170" s="45" t="s">
        <v>1388</v>
      </c>
    </row>
    <row r="171" spans="1:9">
      <c r="A171" s="142" t="s">
        <v>1436</v>
      </c>
      <c r="B171" s="38" t="s">
        <v>141</v>
      </c>
      <c r="C171" s="45" t="s">
        <v>1437</v>
      </c>
      <c r="D171" s="45" t="s">
        <v>1437</v>
      </c>
      <c r="E171" s="45" t="s">
        <v>144</v>
      </c>
      <c r="I171" s="45" t="s">
        <v>1388</v>
      </c>
    </row>
    <row r="172" spans="1:9">
      <c r="A172" s="38" t="s">
        <v>967</v>
      </c>
      <c r="B172" s="38" t="s">
        <v>970</v>
      </c>
      <c r="C172" s="45" t="b">
        <v>1</v>
      </c>
      <c r="D172" s="45" t="b">
        <v>1</v>
      </c>
    </row>
    <row r="173" spans="1:9">
      <c r="A173" s="38" t="s">
        <v>553</v>
      </c>
      <c r="B173" s="38" t="s">
        <v>286</v>
      </c>
      <c r="C173" s="45" t="b">
        <v>1</v>
      </c>
      <c r="D173" s="45" t="b">
        <v>1</v>
      </c>
    </row>
    <row r="174" spans="1:9">
      <c r="A174" s="38" t="s">
        <v>977</v>
      </c>
      <c r="B174" s="38" t="s">
        <v>177</v>
      </c>
      <c r="C174" s="45" t="b">
        <v>1</v>
      </c>
      <c r="D174" s="45" t="b">
        <v>1</v>
      </c>
    </row>
    <row r="175" spans="1:9">
      <c r="A175" s="38" t="s">
        <v>980</v>
      </c>
      <c r="B175" s="38" t="s">
        <v>152</v>
      </c>
      <c r="C175" s="45" t="b">
        <v>1</v>
      </c>
      <c r="D175" s="45" t="b">
        <v>1</v>
      </c>
    </row>
    <row r="176" spans="1:9">
      <c r="A176" s="38" t="s">
        <v>986</v>
      </c>
      <c r="B176" s="38" t="s">
        <v>152</v>
      </c>
      <c r="C176" s="45" t="b">
        <v>1</v>
      </c>
      <c r="D176" s="45" t="b">
        <v>1</v>
      </c>
    </row>
    <row r="177" spans="1:4">
      <c r="A177" s="38" t="s">
        <v>989</v>
      </c>
      <c r="B177" s="38" t="s">
        <v>83</v>
      </c>
      <c r="C177" s="45" t="b">
        <v>1</v>
      </c>
      <c r="D177" s="45" t="b">
        <v>1</v>
      </c>
    </row>
    <row r="178" spans="1:4">
      <c r="A178" s="38" t="s">
        <v>992</v>
      </c>
      <c r="B178" s="38" t="s">
        <v>170</v>
      </c>
      <c r="C178" s="45" t="b">
        <v>1</v>
      </c>
      <c r="D178" s="45" t="b">
        <v>1</v>
      </c>
    </row>
    <row r="179" spans="1:4">
      <c r="A179" s="38" t="s">
        <v>995</v>
      </c>
      <c r="B179" s="38" t="s">
        <v>184</v>
      </c>
      <c r="C179" s="45" t="b">
        <v>1</v>
      </c>
      <c r="D179" s="45" t="b">
        <v>1</v>
      </c>
    </row>
    <row r="180" spans="1:4">
      <c r="A180" s="38" t="s">
        <v>998</v>
      </c>
      <c r="B180" s="38" t="s">
        <v>141</v>
      </c>
      <c r="C180" s="45" t="b">
        <v>1</v>
      </c>
      <c r="D180" s="45" t="b">
        <v>1</v>
      </c>
    </row>
    <row r="181" spans="1:4">
      <c r="A181" s="144" t="s">
        <v>472</v>
      </c>
      <c r="B181" s="38" t="s">
        <v>160</v>
      </c>
      <c r="C181" s="45" t="s">
        <v>1201</v>
      </c>
      <c r="D181" s="45" t="s">
        <v>1201</v>
      </c>
    </row>
    <row r="182" spans="1:4">
      <c r="A182" s="38" t="s">
        <v>1003</v>
      </c>
      <c r="B182" s="38" t="s">
        <v>859</v>
      </c>
      <c r="C182" s="45" t="b">
        <v>1</v>
      </c>
      <c r="D182" s="45" t="b">
        <v>1</v>
      </c>
    </row>
    <row r="183" spans="1:4">
      <c r="A183" s="38" t="s">
        <v>1011</v>
      </c>
      <c r="B183" s="38" t="s">
        <v>152</v>
      </c>
      <c r="C183" s="45" t="b">
        <v>1</v>
      </c>
      <c r="D183" s="45" t="b">
        <v>1</v>
      </c>
    </row>
    <row r="184" spans="1:4">
      <c r="A184" s="143" t="s">
        <v>1014</v>
      </c>
      <c r="B184" s="143" t="s">
        <v>286</v>
      </c>
      <c r="C184" s="45" t="s">
        <v>755</v>
      </c>
      <c r="D184" s="45" t="s">
        <v>755</v>
      </c>
    </row>
    <row r="185" spans="1:4">
      <c r="A185" s="38" t="s">
        <v>1015</v>
      </c>
      <c r="B185" s="38" t="s">
        <v>160</v>
      </c>
      <c r="C185" s="45" t="b">
        <v>1</v>
      </c>
      <c r="D185" s="45" t="b">
        <v>1</v>
      </c>
    </row>
    <row r="186" spans="1:4">
      <c r="A186" s="38" t="s">
        <v>1020</v>
      </c>
      <c r="B186" s="38" t="s">
        <v>83</v>
      </c>
      <c r="C186" s="45" t="b">
        <v>1</v>
      </c>
      <c r="D186" s="45" t="b">
        <v>1</v>
      </c>
    </row>
    <row r="187" spans="1:4">
      <c r="A187" s="143" t="s">
        <v>1025</v>
      </c>
      <c r="B187" s="143" t="s">
        <v>152</v>
      </c>
      <c r="C187" s="45" t="s">
        <v>755</v>
      </c>
      <c r="D187" s="45" t="s">
        <v>755</v>
      </c>
    </row>
    <row r="188" spans="1:4">
      <c r="A188" s="38" t="s">
        <v>1027</v>
      </c>
      <c r="B188" s="38" t="s">
        <v>152</v>
      </c>
      <c r="C188" s="45" t="b">
        <v>1</v>
      </c>
      <c r="D188" s="45" t="b">
        <v>1</v>
      </c>
    </row>
    <row r="189" spans="1:4">
      <c r="A189" s="38" t="s">
        <v>1029</v>
      </c>
      <c r="B189" s="38" t="s">
        <v>170</v>
      </c>
      <c r="C189" s="45" t="b">
        <v>1</v>
      </c>
      <c r="D189" s="45" t="b">
        <v>1</v>
      </c>
    </row>
    <row r="190" spans="1:4">
      <c r="A190" s="38" t="s">
        <v>1034</v>
      </c>
      <c r="B190" s="38" t="s">
        <v>277</v>
      </c>
      <c r="C190" s="45" t="b">
        <v>1</v>
      </c>
      <c r="D190" s="45" t="b">
        <v>1</v>
      </c>
    </row>
    <row r="191" spans="1:4">
      <c r="A191" s="38" t="s">
        <v>1039</v>
      </c>
      <c r="B191" s="38" t="s">
        <v>637</v>
      </c>
      <c r="C191" s="45" t="b">
        <v>1</v>
      </c>
      <c r="D191" s="45" t="b">
        <v>1</v>
      </c>
    </row>
    <row r="192" spans="1:4">
      <c r="A192" s="38" t="s">
        <v>1042</v>
      </c>
      <c r="B192" s="38" t="s">
        <v>152</v>
      </c>
      <c r="C192" s="45" t="b">
        <v>1</v>
      </c>
      <c r="D192" s="45" t="b">
        <v>1</v>
      </c>
    </row>
    <row r="193" spans="1:9">
      <c r="A193" s="142" t="s">
        <v>1438</v>
      </c>
      <c r="B193" s="38" t="s">
        <v>83</v>
      </c>
      <c r="C193" s="45" t="s">
        <v>1439</v>
      </c>
      <c r="D193" s="45" t="s">
        <v>1439</v>
      </c>
      <c r="E193" s="45" t="s">
        <v>144</v>
      </c>
      <c r="H193" s="45" t="s">
        <v>1417</v>
      </c>
      <c r="I193" s="45" t="s">
        <v>1388</v>
      </c>
    </row>
    <row r="194" spans="1:9">
      <c r="A194" s="38" t="s">
        <v>1049</v>
      </c>
      <c r="B194" s="38" t="s">
        <v>152</v>
      </c>
      <c r="C194" s="45" t="b">
        <v>1</v>
      </c>
      <c r="D194" s="45" t="b">
        <v>1</v>
      </c>
    </row>
    <row r="195" spans="1:9">
      <c r="A195" s="38" t="s">
        <v>1053</v>
      </c>
      <c r="B195" s="38" t="s">
        <v>160</v>
      </c>
      <c r="C195" s="45" t="b">
        <v>1</v>
      </c>
      <c r="D195" s="45" t="b">
        <v>1</v>
      </c>
    </row>
    <row r="196" spans="1:9">
      <c r="A196" s="143" t="s">
        <v>1056</v>
      </c>
      <c r="B196" s="143" t="s">
        <v>83</v>
      </c>
      <c r="C196" s="45" t="s">
        <v>755</v>
      </c>
      <c r="D196" s="45" t="s">
        <v>755</v>
      </c>
    </row>
    <row r="197" spans="1:9">
      <c r="A197" s="38" t="s">
        <v>1057</v>
      </c>
      <c r="B197" s="38" t="s">
        <v>160</v>
      </c>
      <c r="C197" s="45" t="b">
        <v>1</v>
      </c>
      <c r="D197" s="45" t="b">
        <v>1</v>
      </c>
    </row>
    <row r="198" spans="1:9">
      <c r="A198" s="38" t="s">
        <v>1060</v>
      </c>
      <c r="B198" s="38" t="s">
        <v>160</v>
      </c>
      <c r="C198" s="45" t="b">
        <v>1</v>
      </c>
      <c r="D198" s="45" t="b">
        <v>1</v>
      </c>
    </row>
    <row r="199" spans="1:9">
      <c r="A199" s="38" t="s">
        <v>1063</v>
      </c>
      <c r="B199" s="38" t="s">
        <v>372</v>
      </c>
      <c r="C199" s="45" t="b">
        <v>1</v>
      </c>
      <c r="D199" s="45" t="b">
        <v>1</v>
      </c>
    </row>
    <row r="200" spans="1:9">
      <c r="A200" s="38" t="s">
        <v>1067</v>
      </c>
      <c r="B200" s="38" t="s">
        <v>819</v>
      </c>
      <c r="C200" s="45" t="b">
        <v>1</v>
      </c>
      <c r="D200" s="45" t="b">
        <v>1</v>
      </c>
    </row>
    <row r="201" spans="1:9">
      <c r="A201" s="38" t="s">
        <v>1072</v>
      </c>
      <c r="B201" s="38" t="s">
        <v>83</v>
      </c>
      <c r="C201" s="45" t="b">
        <v>1</v>
      </c>
      <c r="D201" s="45" t="b">
        <v>1</v>
      </c>
    </row>
    <row r="202" spans="1:9">
      <c r="A202" s="38" t="s">
        <v>1076</v>
      </c>
      <c r="B202" s="38" t="s">
        <v>83</v>
      </c>
      <c r="C202" s="45" t="b">
        <v>1</v>
      </c>
      <c r="D202" s="45" t="b">
        <v>1</v>
      </c>
    </row>
    <row r="203" spans="1:9">
      <c r="A203" s="38" t="s">
        <v>1080</v>
      </c>
      <c r="B203" s="38" t="s">
        <v>152</v>
      </c>
      <c r="C203" s="45" t="b">
        <v>1</v>
      </c>
      <c r="D203" s="45" t="b">
        <v>1</v>
      </c>
    </row>
    <row r="204" spans="1:9">
      <c r="A204" s="38" t="s">
        <v>1085</v>
      </c>
      <c r="B204" s="38" t="s">
        <v>83</v>
      </c>
      <c r="C204" s="45" t="b">
        <v>1</v>
      </c>
      <c r="D204" s="45" t="b">
        <v>1</v>
      </c>
    </row>
    <row r="205" spans="1:9">
      <c r="A205" s="38" t="s">
        <v>1089</v>
      </c>
      <c r="B205" s="38" t="s">
        <v>83</v>
      </c>
      <c r="C205" s="45" t="b">
        <v>1</v>
      </c>
      <c r="D205" s="45" t="b">
        <v>1</v>
      </c>
    </row>
    <row r="206" spans="1:9">
      <c r="A206" s="38" t="s">
        <v>1091</v>
      </c>
      <c r="B206" s="38" t="s">
        <v>372</v>
      </c>
      <c r="C206" s="45" t="b">
        <v>1</v>
      </c>
      <c r="D206" s="45" t="b">
        <v>1</v>
      </c>
    </row>
    <row r="207" spans="1:9">
      <c r="A207" s="38" t="s">
        <v>1095</v>
      </c>
      <c r="B207" s="38" t="s">
        <v>83</v>
      </c>
      <c r="C207" s="45" t="b">
        <v>1</v>
      </c>
      <c r="D207" s="45" t="b">
        <v>1</v>
      </c>
    </row>
    <row r="208" spans="1:9">
      <c r="A208" s="38" t="s">
        <v>1097</v>
      </c>
      <c r="B208" s="38" t="s">
        <v>83</v>
      </c>
      <c r="C208" s="45" t="b">
        <v>1</v>
      </c>
      <c r="D208" s="45" t="b">
        <v>1</v>
      </c>
    </row>
    <row r="209" spans="1:9">
      <c r="A209" s="143" t="s">
        <v>1102</v>
      </c>
      <c r="B209" s="143" t="s">
        <v>152</v>
      </c>
      <c r="C209" s="45" t="s">
        <v>755</v>
      </c>
      <c r="D209" s="45" t="s">
        <v>755</v>
      </c>
    </row>
    <row r="210" spans="1:9">
      <c r="A210" s="38" t="s">
        <v>1103</v>
      </c>
      <c r="B210" s="142" t="s">
        <v>819</v>
      </c>
      <c r="C210" s="45" t="s">
        <v>1440</v>
      </c>
      <c r="D210" s="45" t="b">
        <v>1</v>
      </c>
      <c r="F210" s="45" t="s">
        <v>144</v>
      </c>
      <c r="H210" s="45" t="s">
        <v>1283</v>
      </c>
      <c r="I210" s="45" t="s">
        <v>1388</v>
      </c>
    </row>
    <row r="211" spans="1:9">
      <c r="A211" s="38" t="s">
        <v>564</v>
      </c>
      <c r="B211" s="38" t="s">
        <v>160</v>
      </c>
      <c r="C211" s="45" t="b">
        <v>1</v>
      </c>
      <c r="D211" s="45" t="b">
        <v>1</v>
      </c>
    </row>
    <row r="212" spans="1:9">
      <c r="A212" s="144" t="s">
        <v>1108</v>
      </c>
      <c r="B212" s="38" t="s">
        <v>160</v>
      </c>
      <c r="C212" s="45" t="s">
        <v>1201</v>
      </c>
      <c r="D212" s="45" t="s">
        <v>1201</v>
      </c>
    </row>
    <row r="213" spans="1:9">
      <c r="A213" s="38" t="s">
        <v>1111</v>
      </c>
      <c r="B213" s="38" t="s">
        <v>177</v>
      </c>
      <c r="C213" s="45" t="b">
        <v>1</v>
      </c>
      <c r="D213" s="45" t="b">
        <v>1</v>
      </c>
    </row>
    <row r="214" spans="1:9">
      <c r="A214" s="38" t="s">
        <v>1117</v>
      </c>
      <c r="B214" s="38" t="s">
        <v>372</v>
      </c>
      <c r="C214" s="45" t="b">
        <v>1</v>
      </c>
      <c r="D214" s="45" t="b">
        <v>1</v>
      </c>
    </row>
    <row r="215" spans="1:9">
      <c r="A215" s="38" t="s">
        <v>1122</v>
      </c>
      <c r="B215" s="38" t="s">
        <v>277</v>
      </c>
      <c r="C215" s="45" t="b">
        <v>1</v>
      </c>
      <c r="D215" s="45" t="b">
        <v>1</v>
      </c>
    </row>
    <row r="216" spans="1:9">
      <c r="A216" s="38" t="s">
        <v>1128</v>
      </c>
      <c r="B216" s="38" t="s">
        <v>152</v>
      </c>
      <c r="C216" s="45" t="b">
        <v>1</v>
      </c>
      <c r="D216" s="45" t="b">
        <v>1</v>
      </c>
    </row>
    <row r="217" spans="1:9">
      <c r="A217" s="142" t="s">
        <v>1441</v>
      </c>
      <c r="B217" s="38" t="s">
        <v>819</v>
      </c>
      <c r="C217" s="45" t="s">
        <v>1442</v>
      </c>
      <c r="D217" s="45" t="b">
        <v>1</v>
      </c>
      <c r="E217" s="45" t="s">
        <v>144</v>
      </c>
      <c r="H217" s="45" t="s">
        <v>1283</v>
      </c>
      <c r="I217" s="45" t="s">
        <v>1388</v>
      </c>
    </row>
    <row r="218" spans="1:9">
      <c r="A218" s="38" t="s">
        <v>1136</v>
      </c>
      <c r="B218" s="38" t="s">
        <v>184</v>
      </c>
      <c r="C218" s="45" t="b">
        <v>1</v>
      </c>
      <c r="D218" s="45" t="b">
        <v>1</v>
      </c>
    </row>
    <row r="219" spans="1:9">
      <c r="A219" s="38" t="s">
        <v>1138</v>
      </c>
      <c r="B219" s="38" t="s">
        <v>1141</v>
      </c>
      <c r="C219" s="45" t="b">
        <v>1</v>
      </c>
      <c r="D219" s="45" t="b">
        <v>1</v>
      </c>
    </row>
    <row r="220" spans="1:9">
      <c r="A220" s="38" t="s">
        <v>1144</v>
      </c>
      <c r="B220" s="38" t="s">
        <v>83</v>
      </c>
      <c r="C220" s="45" t="b">
        <v>1</v>
      </c>
      <c r="D220" s="45" t="b">
        <v>1</v>
      </c>
    </row>
    <row r="221" spans="1:9">
      <c r="A221" s="38" t="s">
        <v>1146</v>
      </c>
      <c r="B221" s="38" t="s">
        <v>160</v>
      </c>
      <c r="C221" s="45" t="b">
        <v>1</v>
      </c>
      <c r="D221" s="45" t="b">
        <v>1</v>
      </c>
    </row>
    <row r="222" spans="1:9">
      <c r="A222" s="38" t="s">
        <v>1149</v>
      </c>
      <c r="B222" s="38" t="s">
        <v>83</v>
      </c>
      <c r="C222" s="45" t="b">
        <v>1</v>
      </c>
      <c r="D222" s="45" t="b">
        <v>1</v>
      </c>
    </row>
    <row r="223" spans="1:9">
      <c r="A223" s="38" t="s">
        <v>1150</v>
      </c>
      <c r="B223" s="38" t="s">
        <v>1152</v>
      </c>
      <c r="C223" s="45" t="b">
        <v>1</v>
      </c>
      <c r="D223" s="45" t="b">
        <v>1</v>
      </c>
    </row>
    <row r="224" spans="1:9">
      <c r="A224" s="38" t="s">
        <v>1156</v>
      </c>
      <c r="B224" s="38" t="s">
        <v>83</v>
      </c>
      <c r="C224" s="45" t="b">
        <v>1</v>
      </c>
      <c r="D224" s="45" t="b">
        <v>1</v>
      </c>
    </row>
    <row r="225" spans="1:4">
      <c r="A225" s="38" t="s">
        <v>1159</v>
      </c>
      <c r="B225" s="38" t="s">
        <v>83</v>
      </c>
      <c r="C225" s="45" t="b">
        <v>1</v>
      </c>
      <c r="D225" s="45" t="b">
        <v>1</v>
      </c>
    </row>
    <row r="226" spans="1:4">
      <c r="A226" s="143" t="s">
        <v>1164</v>
      </c>
      <c r="B226" s="143" t="s">
        <v>184</v>
      </c>
      <c r="C226" s="45" t="s">
        <v>755</v>
      </c>
      <c r="D226" s="45" t="s">
        <v>755</v>
      </c>
    </row>
    <row r="227" spans="1:4">
      <c r="A227" s="38" t="s">
        <v>1165</v>
      </c>
      <c r="B227" s="38" t="s">
        <v>277</v>
      </c>
      <c r="C227" s="45" t="b">
        <v>1</v>
      </c>
      <c r="D227" s="45" t="b">
        <v>1</v>
      </c>
    </row>
    <row r="228" spans="1:4">
      <c r="A228" s="38" t="s">
        <v>1170</v>
      </c>
      <c r="B228" s="38" t="s">
        <v>318</v>
      </c>
      <c r="C228" s="45" t="b">
        <v>1</v>
      </c>
      <c r="D228" s="45" t="b">
        <v>1</v>
      </c>
    </row>
    <row r="229" spans="1:4">
      <c r="A229" s="38" t="s">
        <v>1173</v>
      </c>
      <c r="B229" s="38" t="s">
        <v>83</v>
      </c>
      <c r="C229" s="45" t="b">
        <v>1</v>
      </c>
      <c r="D229" s="45" t="b">
        <v>1</v>
      </c>
    </row>
    <row r="230" spans="1:4">
      <c r="A230" s="38" t="s">
        <v>1177</v>
      </c>
      <c r="B230" s="38" t="s">
        <v>152</v>
      </c>
      <c r="C230" s="45" t="b">
        <v>1</v>
      </c>
      <c r="D230" s="45" t="b">
        <v>1</v>
      </c>
    </row>
    <row r="231" spans="1:4">
      <c r="A231" s="38" t="s">
        <v>1179</v>
      </c>
      <c r="B231" s="38" t="s">
        <v>170</v>
      </c>
      <c r="C231" s="45" t="b">
        <v>1</v>
      </c>
      <c r="D231" s="45" t="b">
        <v>1</v>
      </c>
    </row>
    <row r="232" spans="1:4">
      <c r="A232" s="38" t="s">
        <v>1182</v>
      </c>
      <c r="B232" s="38" t="s">
        <v>152</v>
      </c>
      <c r="C232" s="45" t="b">
        <v>1</v>
      </c>
      <c r="D232" s="45" t="b">
        <v>1</v>
      </c>
    </row>
    <row r="233" spans="1:4">
      <c r="A233" s="143" t="s">
        <v>1184</v>
      </c>
      <c r="B233" s="143" t="s">
        <v>83</v>
      </c>
      <c r="C233" s="45" t="s">
        <v>755</v>
      </c>
      <c r="D233" s="45" t="s">
        <v>755</v>
      </c>
    </row>
    <row r="234" spans="1:4">
      <c r="A234" s="38" t="s">
        <v>1185</v>
      </c>
      <c r="B234" s="38" t="s">
        <v>286</v>
      </c>
      <c r="C234" s="45" t="b">
        <v>1</v>
      </c>
      <c r="D234" s="45" t="b">
        <v>1</v>
      </c>
    </row>
    <row r="235" spans="1:4">
      <c r="A235" s="38" t="s">
        <v>1188</v>
      </c>
      <c r="B235" s="38" t="s">
        <v>847</v>
      </c>
      <c r="C235" s="45" t="b">
        <v>1</v>
      </c>
      <c r="D235" s="45" t="b">
        <v>1</v>
      </c>
    </row>
    <row r="236" spans="1:4">
      <c r="A236" s="38" t="s">
        <v>1195</v>
      </c>
      <c r="B236" s="38" t="s">
        <v>1141</v>
      </c>
      <c r="C236" s="45" t="b">
        <v>1</v>
      </c>
      <c r="D236" s="45" t="b">
        <v>1</v>
      </c>
    </row>
    <row r="237" spans="1:4">
      <c r="A237" s="144" t="s">
        <v>1108</v>
      </c>
      <c r="B237" s="38" t="s">
        <v>160</v>
      </c>
      <c r="C237" s="45" t="s">
        <v>1201</v>
      </c>
      <c r="D237" s="45" t="s">
        <v>1201</v>
      </c>
    </row>
    <row r="238" spans="1:4">
      <c r="A238" s="38" t="s">
        <v>1202</v>
      </c>
      <c r="B238" s="38" t="s">
        <v>286</v>
      </c>
      <c r="C238" s="45" t="b">
        <v>1</v>
      </c>
      <c r="D238" s="45" t="b">
        <v>1</v>
      </c>
    </row>
    <row r="239" spans="1:4">
      <c r="A239" s="38" t="s">
        <v>1205</v>
      </c>
      <c r="B239" s="38" t="s">
        <v>177</v>
      </c>
      <c r="C239" s="45" t="b">
        <v>1</v>
      </c>
      <c r="D239" s="45" t="b">
        <v>1</v>
      </c>
    </row>
    <row r="240" spans="1:4">
      <c r="A240" s="38" t="s">
        <v>1209</v>
      </c>
      <c r="B240" s="38" t="s">
        <v>83</v>
      </c>
      <c r="C240" s="45" t="b">
        <v>1</v>
      </c>
      <c r="D240" s="45" t="b">
        <v>1</v>
      </c>
    </row>
    <row r="241" spans="1:9">
      <c r="A241" s="38" t="s">
        <v>1211</v>
      </c>
      <c r="B241" s="38" t="s">
        <v>152</v>
      </c>
      <c r="C241" s="45" t="b">
        <v>1</v>
      </c>
      <c r="D241" s="45" t="b">
        <v>1</v>
      </c>
    </row>
    <row r="242" spans="1:9">
      <c r="A242" s="38" t="s">
        <v>1216</v>
      </c>
      <c r="B242" s="38" t="s">
        <v>152</v>
      </c>
      <c r="C242" s="45" t="b">
        <v>1</v>
      </c>
      <c r="D242" s="45" t="b">
        <v>1</v>
      </c>
    </row>
    <row r="243" spans="1:9">
      <c r="A243" s="143" t="s">
        <v>1220</v>
      </c>
      <c r="B243" s="143" t="s">
        <v>152</v>
      </c>
      <c r="C243" s="45" t="s">
        <v>755</v>
      </c>
      <c r="D243" s="45" t="s">
        <v>755</v>
      </c>
    </row>
    <row r="244" spans="1:9">
      <c r="A244" s="38" t="s">
        <v>1222</v>
      </c>
      <c r="B244" s="38" t="s">
        <v>184</v>
      </c>
      <c r="C244" s="45" t="b">
        <v>1</v>
      </c>
      <c r="D244" s="45" t="b">
        <v>1</v>
      </c>
    </row>
    <row r="245" spans="1:9">
      <c r="A245" s="38" t="s">
        <v>341</v>
      </c>
      <c r="B245" s="38" t="s">
        <v>336</v>
      </c>
      <c r="C245" s="45" t="b">
        <v>1</v>
      </c>
      <c r="D245" s="45" t="b">
        <v>1</v>
      </c>
    </row>
    <row r="246" spans="1:9">
      <c r="A246" s="143" t="s">
        <v>1227</v>
      </c>
      <c r="B246" s="143" t="s">
        <v>707</v>
      </c>
      <c r="C246" s="45" t="s">
        <v>755</v>
      </c>
      <c r="D246" s="45" t="s">
        <v>755</v>
      </c>
    </row>
    <row r="247" spans="1:9">
      <c r="A247" s="38" t="s">
        <v>1228</v>
      </c>
      <c r="B247" s="38" t="s">
        <v>1231</v>
      </c>
      <c r="C247" s="45" t="b">
        <v>1</v>
      </c>
      <c r="D247" s="45" t="b">
        <v>1</v>
      </c>
    </row>
    <row r="248" spans="1:9">
      <c r="A248" s="38" t="s">
        <v>1234</v>
      </c>
      <c r="B248" s="38" t="s">
        <v>152</v>
      </c>
      <c r="C248" s="45" t="b">
        <v>1</v>
      </c>
      <c r="D248" s="45" t="b">
        <v>1</v>
      </c>
    </row>
    <row r="249" spans="1:9">
      <c r="A249" s="143" t="s">
        <v>1236</v>
      </c>
      <c r="B249" s="143" t="s">
        <v>184</v>
      </c>
      <c r="C249" s="45" t="s">
        <v>755</v>
      </c>
      <c r="D249" s="45" t="s">
        <v>755</v>
      </c>
    </row>
    <row r="250" spans="1:9">
      <c r="A250" s="38" t="s">
        <v>1237</v>
      </c>
      <c r="B250" s="38" t="s">
        <v>1240</v>
      </c>
      <c r="C250" s="45" t="b">
        <v>1</v>
      </c>
      <c r="D250" s="45" t="b">
        <v>1</v>
      </c>
    </row>
    <row r="251" spans="1:9">
      <c r="A251" s="38" t="s">
        <v>1243</v>
      </c>
      <c r="B251" s="38" t="s">
        <v>318</v>
      </c>
      <c r="C251" s="45" t="b">
        <v>1</v>
      </c>
      <c r="D251" s="45" t="b">
        <v>1</v>
      </c>
    </row>
    <row r="252" spans="1:9">
      <c r="A252" s="38" t="s">
        <v>1246</v>
      </c>
      <c r="B252" s="38" t="s">
        <v>1249</v>
      </c>
      <c r="C252" s="45" t="b">
        <v>1</v>
      </c>
      <c r="D252" s="45" t="b">
        <v>1</v>
      </c>
    </row>
    <row r="253" spans="1:9">
      <c r="A253" s="38" t="s">
        <v>1253</v>
      </c>
      <c r="B253" s="38" t="s">
        <v>1256</v>
      </c>
      <c r="C253" s="45" t="b">
        <v>1</v>
      </c>
      <c r="D253" s="45" t="b">
        <v>1</v>
      </c>
    </row>
    <row r="254" spans="1:9">
      <c r="A254" s="38" t="s">
        <v>1262</v>
      </c>
      <c r="B254" s="38" t="s">
        <v>152</v>
      </c>
      <c r="C254" s="45" t="b">
        <v>1</v>
      </c>
      <c r="D254" s="45" t="b">
        <v>1</v>
      </c>
    </row>
    <row r="255" spans="1:9">
      <c r="A255" s="142" t="s">
        <v>1443</v>
      </c>
      <c r="B255" s="38" t="s">
        <v>83</v>
      </c>
      <c r="C255" s="45" t="s">
        <v>1444</v>
      </c>
      <c r="D255" s="45" t="s">
        <v>1444</v>
      </c>
      <c r="E255" s="45" t="s">
        <v>144</v>
      </c>
      <c r="H255" s="45" t="s">
        <v>1445</v>
      </c>
      <c r="I255" s="45" t="s">
        <v>1388</v>
      </c>
    </row>
    <row r="256" spans="1:9">
      <c r="A256" s="38" t="s">
        <v>1267</v>
      </c>
      <c r="B256" s="38" t="s">
        <v>184</v>
      </c>
      <c r="C256" s="45" t="b">
        <v>1</v>
      </c>
      <c r="D256" s="45" t="b">
        <v>1</v>
      </c>
    </row>
    <row r="257" spans="1:9">
      <c r="A257" s="38" t="s">
        <v>1270</v>
      </c>
      <c r="B257" s="38" t="s">
        <v>83</v>
      </c>
      <c r="C257" s="45" t="b">
        <v>1</v>
      </c>
      <c r="D257" s="45" t="b">
        <v>1</v>
      </c>
    </row>
    <row r="258" spans="1:9">
      <c r="A258" s="38" t="s">
        <v>1273</v>
      </c>
      <c r="B258" s="38" t="s">
        <v>160</v>
      </c>
      <c r="C258" s="45" t="b">
        <v>1</v>
      </c>
      <c r="D258" s="45" t="b">
        <v>1</v>
      </c>
    </row>
    <row r="259" spans="1:9">
      <c r="A259" s="38" t="s">
        <v>1276</v>
      </c>
      <c r="B259" s="38" t="s">
        <v>110</v>
      </c>
      <c r="C259" s="45" t="b">
        <v>1</v>
      </c>
      <c r="D259" s="45" t="b">
        <v>1</v>
      </c>
    </row>
    <row r="260" spans="1:9">
      <c r="A260" s="143" t="s">
        <v>1280</v>
      </c>
      <c r="B260" s="143" t="s">
        <v>819</v>
      </c>
      <c r="C260" s="45" t="s">
        <v>755</v>
      </c>
      <c r="D260" s="45" t="s">
        <v>755</v>
      </c>
    </row>
    <row r="261" spans="1:9">
      <c r="A261" s="143" t="s">
        <v>1282</v>
      </c>
      <c r="B261" s="143" t="s">
        <v>819</v>
      </c>
      <c r="C261" s="45" t="s">
        <v>755</v>
      </c>
      <c r="D261" s="45" t="s">
        <v>755</v>
      </c>
    </row>
    <row r="262" spans="1:9">
      <c r="A262" s="38" t="s">
        <v>1284</v>
      </c>
      <c r="B262" s="38" t="s">
        <v>83</v>
      </c>
      <c r="C262" s="45" t="b">
        <v>1</v>
      </c>
      <c r="D262" s="45" t="b">
        <v>1</v>
      </c>
    </row>
    <row r="263" spans="1:9">
      <c r="A263" s="38" t="s">
        <v>1288</v>
      </c>
      <c r="B263" s="142" t="s">
        <v>819</v>
      </c>
      <c r="C263" s="45" t="s">
        <v>1446</v>
      </c>
      <c r="D263" s="45" t="s">
        <v>1446</v>
      </c>
      <c r="F263" s="45" t="s">
        <v>144</v>
      </c>
      <c r="H263" s="45" t="s">
        <v>1283</v>
      </c>
      <c r="I263" s="45" t="s">
        <v>1388</v>
      </c>
    </row>
    <row r="264" spans="1:9">
      <c r="A264" s="38" t="s">
        <v>1291</v>
      </c>
      <c r="B264" s="38" t="s">
        <v>160</v>
      </c>
      <c r="C264" s="45" t="b">
        <v>1</v>
      </c>
      <c r="D264" s="45" t="b">
        <v>1</v>
      </c>
    </row>
    <row r="265" spans="1:9">
      <c r="A265" s="38" t="s">
        <v>1296</v>
      </c>
      <c r="B265" s="38" t="s">
        <v>372</v>
      </c>
      <c r="C265" s="45" t="b">
        <v>1</v>
      </c>
      <c r="D265" s="45" t="b">
        <v>1</v>
      </c>
    </row>
    <row r="266" spans="1:9">
      <c r="A266" s="38" t="s">
        <v>1300</v>
      </c>
      <c r="B266" s="38" t="s">
        <v>83</v>
      </c>
      <c r="C266" s="45" t="b">
        <v>1</v>
      </c>
      <c r="D266" s="45" t="b">
        <v>1</v>
      </c>
    </row>
    <row r="267" spans="1:9">
      <c r="A267" s="38" t="s">
        <v>1303</v>
      </c>
      <c r="B267" s="38" t="s">
        <v>819</v>
      </c>
      <c r="C267" s="45" t="b">
        <v>1</v>
      </c>
      <c r="D267" s="45" t="b">
        <v>1</v>
      </c>
    </row>
    <row r="268" spans="1:9">
      <c r="A268" s="38" t="s">
        <v>1309</v>
      </c>
      <c r="B268" s="142" t="s">
        <v>1447</v>
      </c>
      <c r="C268" s="45" t="s">
        <v>1448</v>
      </c>
      <c r="D268" s="45" t="b">
        <v>1</v>
      </c>
      <c r="F268" s="45" t="s">
        <v>144</v>
      </c>
      <c r="H268" s="45" t="s">
        <v>1449</v>
      </c>
      <c r="I268" s="45" t="s">
        <v>1388</v>
      </c>
    </row>
    <row r="269" spans="1:9">
      <c r="A269" s="38" t="s">
        <v>1313</v>
      </c>
      <c r="B269" s="38" t="s">
        <v>110</v>
      </c>
      <c r="C269" s="45" t="b">
        <v>1</v>
      </c>
      <c r="D269" s="45" t="b">
        <v>1</v>
      </c>
    </row>
    <row r="270" spans="1:9">
      <c r="A270" s="143" t="s">
        <v>1316</v>
      </c>
      <c r="B270" s="143" t="s">
        <v>257</v>
      </c>
      <c r="C270" s="45" t="s">
        <v>755</v>
      </c>
      <c r="D270" s="45" t="s">
        <v>755</v>
      </c>
    </row>
    <row r="271" spans="1:9">
      <c r="A271" s="38" t="s">
        <v>1317</v>
      </c>
      <c r="B271" s="38" t="s">
        <v>177</v>
      </c>
      <c r="C271" s="45" t="b">
        <v>1</v>
      </c>
      <c r="D271" s="45" t="b">
        <v>1</v>
      </c>
    </row>
    <row r="272" spans="1:9">
      <c r="A272" s="142" t="s">
        <v>1450</v>
      </c>
      <c r="B272" s="38" t="s">
        <v>184</v>
      </c>
      <c r="C272" s="45" t="s">
        <v>1451</v>
      </c>
      <c r="D272" s="45" t="b">
        <v>1</v>
      </c>
      <c r="G272" s="45" t="s">
        <v>144</v>
      </c>
      <c r="H272" s="45" t="s">
        <v>1392</v>
      </c>
      <c r="I272" s="45" t="s">
        <v>1388</v>
      </c>
    </row>
    <row r="273" spans="1:4">
      <c r="A273" s="38" t="s">
        <v>1325</v>
      </c>
      <c r="B273" s="38" t="s">
        <v>170</v>
      </c>
      <c r="C273" s="45" t="b">
        <v>1</v>
      </c>
      <c r="D273" s="45" t="b">
        <v>1</v>
      </c>
    </row>
    <row r="274" spans="1:4">
      <c r="A274" s="38" t="s">
        <v>1330</v>
      </c>
      <c r="B274" s="38" t="s">
        <v>152</v>
      </c>
      <c r="C274" s="45" t="b">
        <v>1</v>
      </c>
      <c r="D274" s="45" t="b">
        <v>1</v>
      </c>
    </row>
    <row r="275" spans="1:4">
      <c r="A275" s="38" t="s">
        <v>1331</v>
      </c>
      <c r="B275" s="38" t="s">
        <v>847</v>
      </c>
      <c r="C275" s="45" t="b">
        <v>1</v>
      </c>
      <c r="D275" s="45" t="b">
        <v>1</v>
      </c>
    </row>
    <row r="276" spans="1:4">
      <c r="A276" s="38" t="s">
        <v>1336</v>
      </c>
      <c r="B276" s="38" t="s">
        <v>83</v>
      </c>
      <c r="C276" s="45" t="b">
        <v>1</v>
      </c>
      <c r="D276" s="45" t="b">
        <v>1</v>
      </c>
    </row>
    <row r="277" spans="1:4">
      <c r="A277" s="38" t="s">
        <v>1340</v>
      </c>
      <c r="B277" s="38" t="s">
        <v>83</v>
      </c>
      <c r="C277" s="45" t="b">
        <v>1</v>
      </c>
      <c r="D277" s="45" t="b">
        <v>1</v>
      </c>
    </row>
    <row r="278" spans="1:4">
      <c r="A278" s="38" t="s">
        <v>1345</v>
      </c>
      <c r="B278" s="38" t="s">
        <v>310</v>
      </c>
      <c r="C278" s="45" t="b">
        <v>1</v>
      </c>
      <c r="D278" s="45" t="b">
        <v>1</v>
      </c>
    </row>
    <row r="279" spans="1:4">
      <c r="A279" s="38" t="s">
        <v>1352</v>
      </c>
      <c r="B279" s="38" t="s">
        <v>152</v>
      </c>
      <c r="C279" s="45" t="b">
        <v>1</v>
      </c>
      <c r="D279" s="45" t="b">
        <v>1</v>
      </c>
    </row>
    <row r="280" spans="1:4">
      <c r="A280" s="38" t="s">
        <v>1357</v>
      </c>
      <c r="B280" s="38" t="s">
        <v>152</v>
      </c>
      <c r="C280" s="45" t="b">
        <v>1</v>
      </c>
      <c r="D280" s="45" t="b">
        <v>1</v>
      </c>
    </row>
    <row r="281" spans="1:4">
      <c r="A281" s="38" t="s">
        <v>1361</v>
      </c>
      <c r="B281" s="38" t="s">
        <v>257</v>
      </c>
      <c r="C281" s="45" t="b">
        <v>1</v>
      </c>
      <c r="D281" s="45" t="b">
        <v>1</v>
      </c>
    </row>
    <row r="282" spans="1:4">
      <c r="A282" s="38" t="s">
        <v>1367</v>
      </c>
      <c r="B282" s="38" t="s">
        <v>170</v>
      </c>
      <c r="C282" s="45" t="b">
        <v>1</v>
      </c>
      <c r="D282" s="45" t="b">
        <v>1</v>
      </c>
    </row>
    <row r="283" spans="1:4">
      <c r="A283" s="38" t="s">
        <v>1370</v>
      </c>
      <c r="B283" s="38" t="s">
        <v>177</v>
      </c>
      <c r="C283" s="45" t="b">
        <v>1</v>
      </c>
      <c r="D283" s="45" t="b">
        <v>1</v>
      </c>
    </row>
    <row r="284" spans="1:4">
      <c r="A284" s="111" t="s">
        <v>1375</v>
      </c>
      <c r="B284" s="111" t="s">
        <v>318</v>
      </c>
      <c r="C284" s="45" t="b">
        <v>1</v>
      </c>
      <c r="D284" s="45"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X259"/>
  <sheetViews>
    <sheetView workbookViewId="0"/>
  </sheetViews>
  <sheetFormatPr baseColWidth="10" defaultColWidth="12.6640625" defaultRowHeight="15.75" customHeight="1"/>
  <sheetData>
    <row r="1" spans="1:24" ht="15.75" customHeight="1">
      <c r="A1" s="145" t="s">
        <v>16</v>
      </c>
      <c r="B1" s="145" t="s">
        <v>17</v>
      </c>
      <c r="C1" s="145" t="s">
        <v>16</v>
      </c>
      <c r="D1" s="145" t="s">
        <v>18</v>
      </c>
      <c r="E1" s="145" t="s">
        <v>76</v>
      </c>
      <c r="F1" s="145" t="s">
        <v>78</v>
      </c>
      <c r="G1" s="145" t="s">
        <v>598</v>
      </c>
      <c r="H1" s="145" t="s">
        <v>79</v>
      </c>
      <c r="I1" s="145"/>
      <c r="J1" s="145"/>
      <c r="K1" s="145"/>
      <c r="L1" s="145"/>
      <c r="M1" s="145"/>
      <c r="N1" s="145"/>
      <c r="O1" s="145"/>
      <c r="P1" s="145"/>
      <c r="Q1" s="145"/>
      <c r="R1" s="145"/>
      <c r="S1" s="145"/>
      <c r="T1" s="145"/>
      <c r="U1" s="145"/>
      <c r="V1" s="145"/>
      <c r="W1" s="145"/>
      <c r="X1" s="145"/>
    </row>
    <row r="2" spans="1:24" ht="15.75" customHeight="1">
      <c r="A2" s="45" t="s">
        <v>778</v>
      </c>
      <c r="B2" s="45" t="s">
        <v>779</v>
      </c>
      <c r="C2" s="45" t="s">
        <v>780</v>
      </c>
      <c r="D2" s="45" t="s">
        <v>141</v>
      </c>
      <c r="E2" s="45">
        <v>1.1111111111111112</v>
      </c>
      <c r="F2" s="45">
        <v>0.34584500015844455</v>
      </c>
      <c r="G2" s="45">
        <v>2.2174048860357365</v>
      </c>
      <c r="H2" s="45">
        <v>2.2472151412607531</v>
      </c>
    </row>
    <row r="3" spans="1:24" ht="15.75" customHeight="1">
      <c r="A3" s="45" t="s">
        <v>614</v>
      </c>
      <c r="B3" s="45" t="s">
        <v>615</v>
      </c>
      <c r="C3" s="45" t="s">
        <v>616</v>
      </c>
      <c r="D3" s="45" t="s">
        <v>141</v>
      </c>
      <c r="E3" s="45">
        <v>1.2222222222222223</v>
      </c>
      <c r="F3" s="45">
        <v>0.35896714595695212</v>
      </c>
      <c r="G3" s="45">
        <v>2.2854259061262536</v>
      </c>
      <c r="H3" s="45">
        <v>2.1938125688629357</v>
      </c>
    </row>
    <row r="4" spans="1:24" ht="15.75" customHeight="1">
      <c r="A4" s="45" t="s">
        <v>333</v>
      </c>
      <c r="B4" s="45" t="s">
        <v>334</v>
      </c>
      <c r="C4" s="45" t="s">
        <v>335</v>
      </c>
      <c r="D4" s="45" t="s">
        <v>336</v>
      </c>
      <c r="E4" s="45">
        <v>1.3333333333333333</v>
      </c>
      <c r="F4" s="45">
        <v>0.35152861377577282</v>
      </c>
      <c r="G4" s="45">
        <v>2.2466147907995495</v>
      </c>
      <c r="H4" s="45">
        <v>2.0813039697309912</v>
      </c>
    </row>
    <row r="5" spans="1:24" ht="15.75" customHeight="1">
      <c r="A5" s="45" t="s">
        <v>960</v>
      </c>
      <c r="B5" s="45" t="s">
        <v>546</v>
      </c>
      <c r="C5" s="45" t="s">
        <v>961</v>
      </c>
      <c r="D5" s="45" t="s">
        <v>141</v>
      </c>
      <c r="E5" s="45">
        <v>1.4444444444444444</v>
      </c>
      <c r="F5" s="45">
        <v>0.37049486123899233</v>
      </c>
      <c r="G5" s="45">
        <v>2.3469014929639971</v>
      </c>
      <c r="H5" s="45">
        <v>2.0576434866537006</v>
      </c>
    </row>
    <row r="6" spans="1:24" ht="15.75" customHeight="1">
      <c r="A6" s="45" t="s">
        <v>138</v>
      </c>
      <c r="B6" s="45" t="s">
        <v>139</v>
      </c>
      <c r="C6" s="45" t="s">
        <v>140</v>
      </c>
      <c r="D6" s="45" t="s">
        <v>141</v>
      </c>
      <c r="E6" s="45">
        <v>1.3333333333333333</v>
      </c>
      <c r="F6" s="45">
        <v>0.33196291832514163</v>
      </c>
      <c r="G6" s="45">
        <v>2.1476470922214639</v>
      </c>
      <c r="H6" s="45">
        <v>2.023578915204979</v>
      </c>
    </row>
    <row r="7" spans="1:24" ht="15.75" customHeight="1">
      <c r="A7" s="45" t="s">
        <v>998</v>
      </c>
      <c r="B7" s="45" t="s">
        <v>139</v>
      </c>
      <c r="C7" s="45" t="s">
        <v>840</v>
      </c>
      <c r="D7" s="45" t="s">
        <v>141</v>
      </c>
      <c r="E7" s="45">
        <v>1.2222222222222223</v>
      </c>
      <c r="F7" s="45">
        <v>0.29283152742387908</v>
      </c>
      <c r="G7" s="45">
        <v>1.9625987930301132</v>
      </c>
      <c r="H7" s="45">
        <v>2.0216553275728097</v>
      </c>
    </row>
    <row r="8" spans="1:24" ht="15.75" customHeight="1">
      <c r="A8" s="45" t="s">
        <v>725</v>
      </c>
      <c r="B8" s="45" t="s">
        <v>130</v>
      </c>
      <c r="C8" s="45" t="s">
        <v>726</v>
      </c>
      <c r="D8" s="45" t="s">
        <v>132</v>
      </c>
      <c r="E8" s="45">
        <v>1.8888888888888888</v>
      </c>
      <c r="F8" s="45">
        <v>0.42410778197303328</v>
      </c>
      <c r="G8" s="45">
        <v>2.6552644562143808</v>
      </c>
      <c r="H8" s="45">
        <v>1.9936068622577667</v>
      </c>
    </row>
    <row r="9" spans="1:24" ht="15.75" customHeight="1">
      <c r="A9" s="45" t="s">
        <v>750</v>
      </c>
      <c r="B9" s="45" t="s">
        <v>751</v>
      </c>
      <c r="C9" s="45" t="s">
        <v>752</v>
      </c>
      <c r="D9" s="45" t="s">
        <v>184</v>
      </c>
      <c r="E9" s="45">
        <v>1.4444444444444444</v>
      </c>
      <c r="F9" s="45">
        <v>0.35152861377577282</v>
      </c>
      <c r="G9" s="45">
        <v>2.2466147907995495</v>
      </c>
      <c r="H9" s="45">
        <v>1.9934396211222345</v>
      </c>
    </row>
    <row r="10" spans="1:24" ht="15.75" customHeight="1">
      <c r="A10" s="45" t="s">
        <v>174</v>
      </c>
      <c r="B10" s="45" t="s">
        <v>175</v>
      </c>
      <c r="C10" s="45" t="s">
        <v>176</v>
      </c>
      <c r="D10" s="45" t="s">
        <v>177</v>
      </c>
      <c r="E10" s="45">
        <v>1.7777777777777777</v>
      </c>
      <c r="F10" s="45">
        <v>0.40454208652240203</v>
      </c>
      <c r="G10" s="45">
        <v>2.5382949546229634</v>
      </c>
      <c r="H10" s="45">
        <v>1.9647337040709338</v>
      </c>
    </row>
    <row r="11" spans="1:24" ht="15.75" customHeight="1">
      <c r="A11" s="45" t="s">
        <v>236</v>
      </c>
      <c r="B11" s="45" t="s">
        <v>237</v>
      </c>
      <c r="C11" s="45" t="s">
        <v>238</v>
      </c>
      <c r="D11" s="45" t="s">
        <v>177</v>
      </c>
      <c r="E11" s="45">
        <v>1.8888888888888888</v>
      </c>
      <c r="F11" s="45">
        <v>0.41274055476853599</v>
      </c>
      <c r="G11" s="45">
        <v>2.5866671921664337</v>
      </c>
      <c r="H11" s="45">
        <v>1.9370288278525651</v>
      </c>
    </row>
    <row r="12" spans="1:24" ht="15.75" customHeight="1">
      <c r="A12" s="45" t="s">
        <v>1202</v>
      </c>
      <c r="B12" s="45" t="s">
        <v>483</v>
      </c>
      <c r="C12" s="45" t="s">
        <v>1203</v>
      </c>
      <c r="D12" s="45" t="s">
        <v>286</v>
      </c>
      <c r="E12" s="45">
        <v>1.5555555555555556</v>
      </c>
      <c r="F12" s="45">
        <v>0.35972708201587494</v>
      </c>
      <c r="G12" s="45">
        <v>2.2894284851066637</v>
      </c>
      <c r="H12" s="45">
        <v>1.9362452249885307</v>
      </c>
    </row>
    <row r="13" spans="1:24" ht="15.75" customHeight="1">
      <c r="A13" s="45" t="s">
        <v>1345</v>
      </c>
      <c r="B13" s="45" t="s">
        <v>1346</v>
      </c>
      <c r="C13" s="45" t="s">
        <v>1347</v>
      </c>
      <c r="D13" s="45" t="s">
        <v>310</v>
      </c>
      <c r="E13" s="45">
        <v>1.2222222222222223</v>
      </c>
      <c r="F13" s="45">
        <v>0.24550166828251452</v>
      </c>
      <c r="G13" s="45">
        <v>1.7599554244151641</v>
      </c>
      <c r="H13" s="45">
        <v>1.9333975468740323</v>
      </c>
    </row>
    <row r="14" spans="1:24" ht="15.75" customHeight="1">
      <c r="A14" s="45" t="s">
        <v>868</v>
      </c>
      <c r="B14" s="45" t="s">
        <v>869</v>
      </c>
      <c r="C14" s="45" t="s">
        <v>870</v>
      </c>
      <c r="D14" s="45" t="s">
        <v>739</v>
      </c>
      <c r="E14" s="45">
        <v>1.3333333333333333</v>
      </c>
      <c r="F14" s="45">
        <v>0.29283152742387908</v>
      </c>
      <c r="G14" s="45">
        <v>1.9625987930301132</v>
      </c>
      <c r="H14" s="45">
        <v>1.9246750931315157</v>
      </c>
    </row>
    <row r="15" spans="1:24" ht="15.75" customHeight="1">
      <c r="A15" s="45" t="s">
        <v>560</v>
      </c>
      <c r="B15" s="45" t="s">
        <v>483</v>
      </c>
      <c r="C15" s="45" t="s">
        <v>561</v>
      </c>
      <c r="D15" s="45" t="s">
        <v>286</v>
      </c>
      <c r="E15" s="45">
        <v>1.4444444444444444</v>
      </c>
      <c r="F15" s="45">
        <v>0.32316500210727872</v>
      </c>
      <c r="G15" s="45">
        <v>2.1045778830958679</v>
      </c>
      <c r="H15" s="45">
        <v>1.9078378825896876</v>
      </c>
    </row>
    <row r="16" spans="1:24" ht="15.75" customHeight="1">
      <c r="A16" s="45" t="s">
        <v>535</v>
      </c>
      <c r="B16" s="45" t="s">
        <v>483</v>
      </c>
      <c r="C16" s="45" t="s">
        <v>536</v>
      </c>
      <c r="D16" s="45" t="s">
        <v>286</v>
      </c>
      <c r="E16" s="45">
        <v>1.4444444444444444</v>
      </c>
      <c r="F16" s="45">
        <v>0.32316500210727872</v>
      </c>
      <c r="G16" s="45">
        <v>2.1045778830958679</v>
      </c>
      <c r="H16" s="45">
        <v>1.9078378825896876</v>
      </c>
    </row>
    <row r="17" spans="1:8" ht="15.75" customHeight="1">
      <c r="A17" s="45" t="s">
        <v>435</v>
      </c>
      <c r="B17" s="45" t="s">
        <v>436</v>
      </c>
      <c r="C17" s="45" t="s">
        <v>437</v>
      </c>
      <c r="D17" s="45" t="s">
        <v>177</v>
      </c>
      <c r="E17" s="45">
        <v>1.8888888888888888</v>
      </c>
      <c r="F17" s="45">
        <v>0.40629700509142314</v>
      </c>
      <c r="G17" s="45">
        <v>2.5485725732755067</v>
      </c>
      <c r="H17" s="45">
        <v>1.9059498723564827</v>
      </c>
    </row>
    <row r="18" spans="1:8" ht="15.75" customHeight="1">
      <c r="A18" s="45" t="s">
        <v>472</v>
      </c>
      <c r="B18" s="45" t="s">
        <v>158</v>
      </c>
      <c r="C18" s="45" t="s">
        <v>473</v>
      </c>
      <c r="D18" s="45" t="s">
        <v>160</v>
      </c>
      <c r="E18" s="45">
        <v>1.8888888888888888</v>
      </c>
      <c r="F18" s="45">
        <v>0.40629700509142314</v>
      </c>
      <c r="G18" s="45">
        <v>2.5485725732755067</v>
      </c>
      <c r="H18" s="45">
        <v>1.9059498723564827</v>
      </c>
    </row>
    <row r="19" spans="1:8" ht="15.75" customHeight="1">
      <c r="A19" s="45" t="s">
        <v>482</v>
      </c>
      <c r="B19" s="45" t="s">
        <v>483</v>
      </c>
      <c r="C19" s="45" t="s">
        <v>484</v>
      </c>
      <c r="D19" s="45" t="s">
        <v>286</v>
      </c>
      <c r="E19" s="45">
        <v>1.6666666666666667</v>
      </c>
      <c r="F19" s="45">
        <v>0.37284922779542523</v>
      </c>
      <c r="G19" s="45">
        <v>2.3596588980247395</v>
      </c>
      <c r="H19" s="45">
        <v>1.9043240524542104</v>
      </c>
    </row>
    <row r="20" spans="1:8" ht="15.75" customHeight="1">
      <c r="A20" s="45" t="s">
        <v>856</v>
      </c>
      <c r="B20" s="45" t="s">
        <v>857</v>
      </c>
      <c r="C20" s="45" t="s">
        <v>858</v>
      </c>
      <c r="D20" s="45" t="s">
        <v>859</v>
      </c>
      <c r="E20" s="45">
        <v>1.2222222222222223</v>
      </c>
      <c r="F20" s="45">
        <v>0.22593597283188332</v>
      </c>
      <c r="G20" s="45">
        <v>1.682426006079768</v>
      </c>
      <c r="H20" s="45">
        <v>1.9042581445104749</v>
      </c>
    </row>
    <row r="21" spans="1:8" ht="15.75" customHeight="1">
      <c r="A21" s="45" t="s">
        <v>545</v>
      </c>
      <c r="B21" s="45" t="s">
        <v>546</v>
      </c>
      <c r="C21" s="45" t="s">
        <v>547</v>
      </c>
      <c r="D21" s="45" t="s">
        <v>141</v>
      </c>
      <c r="E21" s="45">
        <v>1.2222222222222223</v>
      </c>
      <c r="F21" s="45">
        <v>0.22025235921455499</v>
      </c>
      <c r="G21" s="45">
        <v>1.6605515380530249</v>
      </c>
      <c r="H21" s="45">
        <v>1.8965289772594329</v>
      </c>
    </row>
    <row r="22" spans="1:8" ht="15.75" customHeight="1">
      <c r="A22" s="45" t="s">
        <v>1150</v>
      </c>
      <c r="B22" s="45" t="s">
        <v>1151</v>
      </c>
      <c r="C22" s="45" t="s">
        <v>793</v>
      </c>
      <c r="D22" s="45" t="s">
        <v>1152</v>
      </c>
      <c r="E22" s="45">
        <v>1.2222222222222223</v>
      </c>
      <c r="F22" s="45">
        <v>0.21713805660436941</v>
      </c>
      <c r="G22" s="45">
        <v>1.6486864043382532</v>
      </c>
      <c r="H22" s="45">
        <v>1.892429094664787</v>
      </c>
    </row>
    <row r="23" spans="1:8" ht="15.75" customHeight="1">
      <c r="A23" s="45" t="s">
        <v>557</v>
      </c>
      <c r="B23" s="45" t="s">
        <v>448</v>
      </c>
      <c r="C23" s="45" t="s">
        <v>558</v>
      </c>
      <c r="D23" s="45" t="s">
        <v>160</v>
      </c>
      <c r="E23" s="45">
        <v>1.8888888888888888</v>
      </c>
      <c r="F23" s="45">
        <v>0.40178391055295404</v>
      </c>
      <c r="G23" s="45">
        <v>2.5222254907543293</v>
      </c>
      <c r="H23" s="45">
        <v>1.8846056207962523</v>
      </c>
    </row>
    <row r="24" spans="1:8" ht="15.75" customHeight="1">
      <c r="A24" s="45" t="s">
        <v>1188</v>
      </c>
      <c r="B24" s="45" t="s">
        <v>1189</v>
      </c>
      <c r="C24" s="45" t="s">
        <v>1190</v>
      </c>
      <c r="D24" s="45" t="s">
        <v>847</v>
      </c>
      <c r="E24" s="45">
        <v>1.5555555555555556</v>
      </c>
      <c r="F24" s="45">
        <v>0.3401613865652437</v>
      </c>
      <c r="G24" s="45">
        <v>2.1885747610245381</v>
      </c>
      <c r="H24" s="45">
        <v>1.87059608564515</v>
      </c>
    </row>
    <row r="25" spans="1:8" ht="15.75" customHeight="1">
      <c r="A25" s="45" t="s">
        <v>736</v>
      </c>
      <c r="B25" s="45" t="s">
        <v>737</v>
      </c>
      <c r="C25" s="45" t="s">
        <v>738</v>
      </c>
      <c r="D25" s="45" t="s">
        <v>739</v>
      </c>
      <c r="E25" s="45">
        <v>1.3333333333333333</v>
      </c>
      <c r="F25" s="45">
        <v>0.26506736373314577</v>
      </c>
      <c r="G25" s="45">
        <v>1.841057547098748</v>
      </c>
      <c r="H25" s="45">
        <v>1.8668571384306676</v>
      </c>
    </row>
    <row r="26" spans="1:8" ht="15.75" customHeight="1">
      <c r="A26" s="45" t="s">
        <v>376</v>
      </c>
      <c r="B26" s="45" t="s">
        <v>377</v>
      </c>
      <c r="C26" s="45" t="s">
        <v>378</v>
      </c>
      <c r="D26" s="45" t="s">
        <v>170</v>
      </c>
      <c r="E26" s="45">
        <v>1.7777777777777777</v>
      </c>
      <c r="F26" s="45">
        <v>0.37929277746650614</v>
      </c>
      <c r="G26" s="45">
        <v>2.3949297422968066</v>
      </c>
      <c r="H26" s="45">
        <v>1.8546310000746948</v>
      </c>
    </row>
    <row r="27" spans="1:8" ht="15.75" customHeight="1">
      <c r="A27" s="45" t="s">
        <v>893</v>
      </c>
      <c r="B27" s="45" t="s">
        <v>124</v>
      </c>
      <c r="C27" s="45" t="s">
        <v>894</v>
      </c>
      <c r="D27" s="45" t="s">
        <v>83</v>
      </c>
      <c r="E27" s="45">
        <v>1.5555555555555556</v>
      </c>
      <c r="F27" s="45">
        <v>0.33196291832514163</v>
      </c>
      <c r="G27" s="45">
        <v>2.1476470922214639</v>
      </c>
      <c r="H27" s="45">
        <v>1.8448614043799607</v>
      </c>
    </row>
    <row r="28" spans="1:8" ht="15.75" customHeight="1">
      <c r="A28" s="45" t="s">
        <v>956</v>
      </c>
      <c r="B28" s="45" t="s">
        <v>957</v>
      </c>
      <c r="C28" s="45" t="s">
        <v>958</v>
      </c>
      <c r="D28" s="45" t="s">
        <v>152</v>
      </c>
      <c r="E28" s="45">
        <v>1.4444444444444444</v>
      </c>
      <c r="F28" s="45">
        <v>0.29791569305138288</v>
      </c>
      <c r="G28" s="45">
        <v>1.985709406239998</v>
      </c>
      <c r="H28" s="45">
        <v>1.8415689289216852</v>
      </c>
    </row>
    <row r="29" spans="1:8" ht="15.75" customHeight="1">
      <c r="A29" s="45" t="s">
        <v>157</v>
      </c>
      <c r="B29" s="45" t="s">
        <v>158</v>
      </c>
      <c r="C29" s="45" t="s">
        <v>159</v>
      </c>
      <c r="D29" s="45" t="s">
        <v>160</v>
      </c>
      <c r="E29" s="45">
        <v>1.8888888888888888</v>
      </c>
      <c r="F29" s="45">
        <v>0.39006055669927453</v>
      </c>
      <c r="G29" s="45">
        <v>2.4550512166809595</v>
      </c>
      <c r="H29" s="45">
        <v>1.8307763228748914</v>
      </c>
    </row>
    <row r="30" spans="1:8" ht="15.75" customHeight="1">
      <c r="A30" s="45" t="s">
        <v>1357</v>
      </c>
      <c r="B30" s="45" t="s">
        <v>1358</v>
      </c>
      <c r="C30" s="45" t="s">
        <v>1359</v>
      </c>
      <c r="D30" s="45" t="s">
        <v>152</v>
      </c>
      <c r="E30" s="45">
        <v>1.5555555555555556</v>
      </c>
      <c r="F30" s="45">
        <v>0.32627930471987704</v>
      </c>
      <c r="G30" s="45">
        <v>2.1197239399504597</v>
      </c>
      <c r="H30" s="45">
        <v>1.8276218029955213</v>
      </c>
    </row>
    <row r="31" spans="1:8" ht="15.75" customHeight="1">
      <c r="A31" s="45" t="s">
        <v>341</v>
      </c>
      <c r="B31" s="45" t="s">
        <v>334</v>
      </c>
      <c r="C31" s="45" t="s">
        <v>1226</v>
      </c>
      <c r="D31" s="45" t="s">
        <v>336</v>
      </c>
      <c r="E31" s="45">
        <v>1.3333333333333333</v>
      </c>
      <c r="F31" s="45">
        <v>0.23981805467724998</v>
      </c>
      <c r="G31" s="45">
        <v>1.7370729389807014</v>
      </c>
      <c r="H31" s="45">
        <v>1.8223760026831528</v>
      </c>
    </row>
    <row r="32" spans="1:8" ht="15.75" customHeight="1">
      <c r="A32" s="45" t="s">
        <v>420</v>
      </c>
      <c r="B32" s="45" t="s">
        <v>124</v>
      </c>
      <c r="C32" s="45" t="s">
        <v>421</v>
      </c>
      <c r="D32" s="45" t="s">
        <v>83</v>
      </c>
      <c r="E32" s="45">
        <v>1.8888888888888888</v>
      </c>
      <c r="F32" s="45">
        <v>0.38497639105970705</v>
      </c>
      <c r="G32" s="45">
        <v>2.4264781842751524</v>
      </c>
      <c r="H32" s="45">
        <v>1.8081504117322496</v>
      </c>
    </row>
    <row r="33" spans="1:8" ht="15.75" customHeight="1">
      <c r="A33" s="45" t="s">
        <v>486</v>
      </c>
      <c r="B33" s="45" t="s">
        <v>158</v>
      </c>
      <c r="C33" s="45" t="s">
        <v>487</v>
      </c>
      <c r="D33" s="45" t="s">
        <v>160</v>
      </c>
      <c r="E33" s="45">
        <v>2</v>
      </c>
      <c r="F33" s="45">
        <v>0.39885847291713744</v>
      </c>
      <c r="G33" s="45">
        <v>2.5052926998375433</v>
      </c>
      <c r="H33" s="45">
        <v>1.8071818149218413</v>
      </c>
    </row>
    <row r="34" spans="1:8" ht="15.75" customHeight="1">
      <c r="A34" s="45" t="s">
        <v>553</v>
      </c>
      <c r="B34" s="45" t="s">
        <v>483</v>
      </c>
      <c r="C34" s="45" t="s">
        <v>554</v>
      </c>
      <c r="D34" s="45" t="s">
        <v>286</v>
      </c>
      <c r="E34" s="45">
        <v>1.6666666666666667</v>
      </c>
      <c r="F34" s="45">
        <v>0.34584500017050829</v>
      </c>
      <c r="G34" s="45">
        <v>2.2174048860973308</v>
      </c>
      <c r="H34" s="45">
        <v>1.8055061435706699</v>
      </c>
    </row>
    <row r="35" spans="1:8" ht="15.75" customHeight="1">
      <c r="A35" s="45" t="s">
        <v>324</v>
      </c>
      <c r="B35" s="45" t="s">
        <v>325</v>
      </c>
      <c r="C35" s="45" t="s">
        <v>326</v>
      </c>
      <c r="D35" s="45" t="s">
        <v>327</v>
      </c>
      <c r="E35" s="45">
        <v>1.7777777777777777</v>
      </c>
      <c r="F35" s="45">
        <v>0.36541069562113948</v>
      </c>
      <c r="G35" s="45">
        <v>2.3195871576575344</v>
      </c>
      <c r="H35" s="45">
        <v>1.7986487781522322</v>
      </c>
    </row>
    <row r="36" spans="1:8" ht="15.75" customHeight="1">
      <c r="A36" s="45" t="s">
        <v>852</v>
      </c>
      <c r="B36" s="45" t="s">
        <v>386</v>
      </c>
      <c r="C36" s="45" t="s">
        <v>853</v>
      </c>
      <c r="D36" s="45" t="s">
        <v>170</v>
      </c>
      <c r="E36" s="45">
        <v>1.7777777777777777</v>
      </c>
      <c r="F36" s="45">
        <v>0.36541069562113954</v>
      </c>
      <c r="G36" s="45">
        <v>2.3195871576575344</v>
      </c>
      <c r="H36" s="45">
        <v>1.7986487781522322</v>
      </c>
    </row>
    <row r="37" spans="1:8" ht="15.75" customHeight="1">
      <c r="A37" s="45" t="s">
        <v>492</v>
      </c>
      <c r="B37" s="45" t="s">
        <v>493</v>
      </c>
      <c r="C37" s="45" t="s">
        <v>494</v>
      </c>
      <c r="D37" s="45" t="s">
        <v>336</v>
      </c>
      <c r="E37" s="45">
        <v>1.5555555555555556</v>
      </c>
      <c r="F37" s="45">
        <v>0.31532266051032692</v>
      </c>
      <c r="G37" s="45">
        <v>2.0669152069391927</v>
      </c>
      <c r="H37" s="45">
        <v>1.7957527145697205</v>
      </c>
    </row>
    <row r="38" spans="1:8" ht="15.75" customHeight="1">
      <c r="A38" s="45" t="s">
        <v>511</v>
      </c>
      <c r="B38" s="45" t="s">
        <v>483</v>
      </c>
      <c r="C38" s="45" t="s">
        <v>512</v>
      </c>
      <c r="D38" s="45" t="s">
        <v>286</v>
      </c>
      <c r="E38" s="45">
        <v>1.6666666666666667</v>
      </c>
      <c r="F38" s="45">
        <v>0.34273069754825897</v>
      </c>
      <c r="G38" s="45">
        <v>2.201560869834077</v>
      </c>
      <c r="H38" s="45">
        <v>1.7948610814473083</v>
      </c>
    </row>
    <row r="39" spans="1:8" ht="15.75" customHeight="1">
      <c r="A39" s="45" t="s">
        <v>824</v>
      </c>
      <c r="B39" s="45" t="s">
        <v>158</v>
      </c>
      <c r="C39" s="45" t="s">
        <v>825</v>
      </c>
      <c r="D39" s="45" t="s">
        <v>160</v>
      </c>
      <c r="E39" s="45">
        <v>2</v>
      </c>
      <c r="F39" s="45">
        <v>0.39574417029488818</v>
      </c>
      <c r="G39" s="45">
        <v>2.4873916396706299</v>
      </c>
      <c r="H39" s="45">
        <v>1.7922984934887618</v>
      </c>
    </row>
    <row r="40" spans="1:8" ht="15.75" customHeight="1">
      <c r="A40" s="45" t="s">
        <v>684</v>
      </c>
      <c r="B40" s="45" t="s">
        <v>130</v>
      </c>
      <c r="C40" s="45" t="s">
        <v>685</v>
      </c>
      <c r="D40" s="45" t="s">
        <v>132</v>
      </c>
      <c r="E40" s="45">
        <v>1.6666666666666667</v>
      </c>
      <c r="F40" s="45">
        <v>0.34164627118279722</v>
      </c>
      <c r="G40" s="45">
        <v>2.1960704651821943</v>
      </c>
      <c r="H40" s="45">
        <v>1.7911902008047409</v>
      </c>
    </row>
    <row r="41" spans="1:8" ht="15.75" customHeight="1">
      <c r="A41" s="45" t="s">
        <v>941</v>
      </c>
      <c r="B41" s="45" t="s">
        <v>751</v>
      </c>
      <c r="C41" s="45" t="s">
        <v>942</v>
      </c>
      <c r="D41" s="45" t="s">
        <v>184</v>
      </c>
      <c r="E41" s="45">
        <v>1.5555555555555556</v>
      </c>
      <c r="F41" s="45">
        <v>0.31239722287451038</v>
      </c>
      <c r="G41" s="45">
        <v>2.0530391109397983</v>
      </c>
      <c r="H41" s="45">
        <v>1.7875433203856348</v>
      </c>
    </row>
    <row r="42" spans="1:8" ht="15.75" customHeight="1">
      <c r="A42" s="45" t="s">
        <v>149</v>
      </c>
      <c r="B42" s="45" t="s">
        <v>150</v>
      </c>
      <c r="C42" s="45" t="s">
        <v>151</v>
      </c>
      <c r="D42" s="45" t="s">
        <v>152</v>
      </c>
      <c r="E42" s="45">
        <v>1.6666666666666667</v>
      </c>
      <c r="F42" s="45">
        <v>0.33582537457616518</v>
      </c>
      <c r="G42" s="45">
        <v>2.1668326681074612</v>
      </c>
      <c r="H42" s="45">
        <v>1.7718002859071207</v>
      </c>
    </row>
    <row r="43" spans="1:8" ht="15.75" customHeight="1">
      <c r="A43" s="45" t="s">
        <v>809</v>
      </c>
      <c r="B43" s="45" t="s">
        <v>182</v>
      </c>
      <c r="C43" s="45" t="s">
        <v>810</v>
      </c>
      <c r="D43" s="45" t="s">
        <v>184</v>
      </c>
      <c r="E43" s="45">
        <v>1.8888888888888888</v>
      </c>
      <c r="F43" s="45">
        <v>0.37617847484425693</v>
      </c>
      <c r="G43" s="45">
        <v>2.3778172582285118</v>
      </c>
      <c r="H43" s="45">
        <v>1.7700136435369367</v>
      </c>
    </row>
    <row r="44" spans="1:8" ht="15.75" customHeight="1">
      <c r="A44" s="45" t="s">
        <v>307</v>
      </c>
      <c r="B44" s="45" t="s">
        <v>308</v>
      </c>
      <c r="C44" s="45" t="s">
        <v>309</v>
      </c>
      <c r="D44" s="45" t="s">
        <v>310</v>
      </c>
      <c r="E44" s="45">
        <v>1.4444444444444444</v>
      </c>
      <c r="F44" s="45">
        <v>0.26506736373314577</v>
      </c>
      <c r="G44" s="45">
        <v>1.841057547098748</v>
      </c>
      <c r="H44" s="45">
        <v>1.7683695552546463</v>
      </c>
    </row>
    <row r="45" spans="1:8" ht="15.75" customHeight="1">
      <c r="A45" s="45" t="s">
        <v>403</v>
      </c>
      <c r="B45" s="45" t="s">
        <v>404</v>
      </c>
      <c r="C45" s="45" t="s">
        <v>405</v>
      </c>
      <c r="D45" s="45" t="s">
        <v>286</v>
      </c>
      <c r="E45" s="45">
        <v>1.5555555555555556</v>
      </c>
      <c r="F45" s="45">
        <v>0.30419875463440826</v>
      </c>
      <c r="G45" s="45">
        <v>2.0146460405870323</v>
      </c>
      <c r="H45" s="45">
        <v>1.7651986689223855</v>
      </c>
    </row>
    <row r="46" spans="1:8" ht="15.75" customHeight="1">
      <c r="A46" s="45" t="s">
        <v>296</v>
      </c>
      <c r="B46" s="45" t="s">
        <v>124</v>
      </c>
      <c r="C46" s="45" t="s">
        <v>297</v>
      </c>
      <c r="D46" s="45" t="s">
        <v>83</v>
      </c>
      <c r="E46" s="45">
        <v>1.7777777777777777</v>
      </c>
      <c r="F46" s="45">
        <v>0.35661277940327663</v>
      </c>
      <c r="G46" s="45">
        <v>2.2730698388950459</v>
      </c>
      <c r="H46" s="45">
        <v>1.7648042314087093</v>
      </c>
    </row>
    <row r="47" spans="1:8" ht="13">
      <c r="A47" s="45" t="s">
        <v>676</v>
      </c>
      <c r="B47" s="45" t="s">
        <v>124</v>
      </c>
      <c r="C47" s="45" t="s">
        <v>677</v>
      </c>
      <c r="D47" s="45" t="s">
        <v>83</v>
      </c>
      <c r="E47" s="45">
        <v>1.6666666666666667</v>
      </c>
      <c r="F47" s="45">
        <v>0.33196291832514158</v>
      </c>
      <c r="G47" s="45">
        <v>2.1476470922214634</v>
      </c>
      <c r="H47" s="45">
        <v>1.759224723013566</v>
      </c>
    </row>
    <row r="48" spans="1:8" ht="13">
      <c r="A48" s="45" t="s">
        <v>281</v>
      </c>
      <c r="B48" s="45" t="s">
        <v>222</v>
      </c>
      <c r="C48" s="45" t="s">
        <v>282</v>
      </c>
      <c r="D48" s="45" t="s">
        <v>224</v>
      </c>
      <c r="E48" s="45">
        <v>1.8888888888888888</v>
      </c>
      <c r="F48" s="45">
        <v>0.37109430922640407</v>
      </c>
      <c r="G48" s="45">
        <v>2.3501431108118167</v>
      </c>
      <c r="H48" s="45">
        <v>1.7485577831193275</v>
      </c>
    </row>
    <row r="49" spans="1:8" ht="13">
      <c r="A49" s="45" t="s">
        <v>1060</v>
      </c>
      <c r="B49" s="45" t="s">
        <v>448</v>
      </c>
      <c r="C49" s="45" t="s">
        <v>1061</v>
      </c>
      <c r="D49" s="45" t="s">
        <v>160</v>
      </c>
      <c r="E49" s="45">
        <v>1.8888888888888888</v>
      </c>
      <c r="F49" s="45">
        <v>0.37049486123899233</v>
      </c>
      <c r="G49" s="45">
        <v>2.3469014929639971</v>
      </c>
      <c r="H49" s="45">
        <v>1.7460559936563351</v>
      </c>
    </row>
    <row r="50" spans="1:8" ht="13">
      <c r="A50" s="45" t="s">
        <v>654</v>
      </c>
      <c r="B50" s="45" t="s">
        <v>272</v>
      </c>
      <c r="C50" s="45" t="s">
        <v>655</v>
      </c>
      <c r="D50" s="45" t="s">
        <v>83</v>
      </c>
      <c r="E50" s="45">
        <v>1.7777777777777777</v>
      </c>
      <c r="F50" s="45">
        <v>0.35152861377577282</v>
      </c>
      <c r="G50" s="45">
        <v>2.2466147907995495</v>
      </c>
      <c r="H50" s="45">
        <v>1.7458165989398864</v>
      </c>
    </row>
    <row r="51" spans="1:8" ht="13">
      <c r="A51" s="45" t="s">
        <v>1020</v>
      </c>
      <c r="B51" s="45" t="s">
        <v>124</v>
      </c>
      <c r="C51" s="45" t="s">
        <v>1021</v>
      </c>
      <c r="D51" s="45" t="s">
        <v>83</v>
      </c>
      <c r="E51" s="45">
        <v>1.6666666666666667</v>
      </c>
      <c r="F51" s="45">
        <v>0.3262793047078133</v>
      </c>
      <c r="G51" s="45">
        <v>2.1197239398915784</v>
      </c>
      <c r="H51" s="45">
        <v>1.7411374096676278</v>
      </c>
    </row>
    <row r="52" spans="1:8" ht="13">
      <c r="A52" s="45" t="s">
        <v>844</v>
      </c>
      <c r="B52" s="45" t="s">
        <v>845</v>
      </c>
      <c r="C52" s="45" t="s">
        <v>846</v>
      </c>
      <c r="D52" s="45" t="s">
        <v>847</v>
      </c>
      <c r="E52" s="45">
        <v>1.5555555555555556</v>
      </c>
      <c r="F52" s="45">
        <v>0.29431641203265901</v>
      </c>
      <c r="G52" s="45">
        <v>1.9693205464322083</v>
      </c>
      <c r="H52" s="45">
        <v>1.7395407654958979</v>
      </c>
    </row>
    <row r="53" spans="1:8" ht="13">
      <c r="A53" s="45" t="s">
        <v>1331</v>
      </c>
      <c r="B53" s="45" t="s">
        <v>1332</v>
      </c>
      <c r="C53" s="45" t="s">
        <v>1333</v>
      </c>
      <c r="D53" s="45" t="s">
        <v>847</v>
      </c>
      <c r="E53" s="45">
        <v>1.4444444444444444</v>
      </c>
      <c r="F53" s="45">
        <v>0.24725658685153565</v>
      </c>
      <c r="G53" s="45">
        <v>1.7670815271813818</v>
      </c>
      <c r="H53" s="45">
        <v>1.7344068599272415</v>
      </c>
    </row>
    <row r="54" spans="1:8" ht="13">
      <c r="A54" s="45" t="s">
        <v>1273</v>
      </c>
      <c r="B54" s="45" t="s">
        <v>448</v>
      </c>
      <c r="C54" s="45" t="s">
        <v>1274</v>
      </c>
      <c r="D54" s="45" t="s">
        <v>160</v>
      </c>
      <c r="E54" s="45">
        <v>1.8888888888888888</v>
      </c>
      <c r="F54" s="45">
        <v>0.36716561419016064</v>
      </c>
      <c r="G54" s="45">
        <v>2.3289792230651907</v>
      </c>
      <c r="H54" s="45">
        <v>1.7322683615922578</v>
      </c>
    </row>
    <row r="55" spans="1:8" ht="13">
      <c r="A55" s="45" t="s">
        <v>193</v>
      </c>
      <c r="B55" s="45" t="s">
        <v>124</v>
      </c>
      <c r="C55" s="45" t="s">
        <v>194</v>
      </c>
      <c r="D55" s="45" t="s">
        <v>83</v>
      </c>
      <c r="E55" s="45">
        <v>1.7777777777777777</v>
      </c>
      <c r="F55" s="45">
        <v>0.34732988478806176</v>
      </c>
      <c r="G55" s="45">
        <v>2.2249993312677327</v>
      </c>
      <c r="H55" s="45">
        <v>1.7304480697496298</v>
      </c>
    </row>
    <row r="56" spans="1:8" ht="13">
      <c r="A56" s="45" t="s">
        <v>385</v>
      </c>
      <c r="B56" s="45" t="s">
        <v>386</v>
      </c>
      <c r="C56" s="45" t="s">
        <v>387</v>
      </c>
      <c r="D56" s="45" t="s">
        <v>170</v>
      </c>
      <c r="E56" s="45">
        <v>1.7777777777777777</v>
      </c>
      <c r="F56" s="45">
        <v>0.34584500015844455</v>
      </c>
      <c r="G56" s="45">
        <v>2.2174048860357365</v>
      </c>
      <c r="H56" s="45">
        <v>1.7250802349564822</v>
      </c>
    </row>
    <row r="57" spans="1:8" ht="13">
      <c r="A57" s="45" t="s">
        <v>717</v>
      </c>
      <c r="B57" s="45" t="s">
        <v>395</v>
      </c>
      <c r="C57" s="45" t="s">
        <v>718</v>
      </c>
      <c r="D57" s="45" t="s">
        <v>83</v>
      </c>
      <c r="E57" s="45">
        <v>1.7777777777777777</v>
      </c>
      <c r="F57" s="45">
        <v>0.34273069754825897</v>
      </c>
      <c r="G57" s="45">
        <v>2.201560869834077</v>
      </c>
      <c r="H57" s="45">
        <v>1.7139357293697599</v>
      </c>
    </row>
    <row r="58" spans="1:8" ht="13">
      <c r="A58" s="45" t="s">
        <v>1182</v>
      </c>
      <c r="B58" s="45" t="s">
        <v>477</v>
      </c>
      <c r="C58" s="45" t="s">
        <v>1183</v>
      </c>
      <c r="D58" s="45" t="s">
        <v>152</v>
      </c>
      <c r="E58" s="45">
        <v>1.7777777777777777</v>
      </c>
      <c r="F58" s="45">
        <v>0.34273069754825897</v>
      </c>
      <c r="G58" s="45">
        <v>2.201560869834077</v>
      </c>
      <c r="H58" s="45">
        <v>1.7139357293697599</v>
      </c>
    </row>
    <row r="59" spans="1:8" ht="13">
      <c r="A59" s="45" t="s">
        <v>1361</v>
      </c>
      <c r="B59" s="45" t="s">
        <v>255</v>
      </c>
      <c r="C59" s="45" t="s">
        <v>1362</v>
      </c>
      <c r="D59" s="45" t="s">
        <v>257</v>
      </c>
      <c r="E59" s="45">
        <v>1.8888888888888888</v>
      </c>
      <c r="F59" s="45">
        <v>0.36229639299889027</v>
      </c>
      <c r="G59" s="45">
        <v>2.303013018725856</v>
      </c>
      <c r="H59" s="45">
        <v>1.7124283425018507</v>
      </c>
    </row>
    <row r="60" spans="1:8" ht="13">
      <c r="A60" s="45" t="s">
        <v>1246</v>
      </c>
      <c r="B60" s="45" t="s">
        <v>1247</v>
      </c>
      <c r="C60" s="45" t="s">
        <v>1248</v>
      </c>
      <c r="D60" s="45" t="s">
        <v>1249</v>
      </c>
      <c r="E60" s="45">
        <v>1.4444444444444444</v>
      </c>
      <c r="F60" s="45">
        <v>0.23102013844491059</v>
      </c>
      <c r="G60" s="45">
        <v>1.7022374401372451</v>
      </c>
      <c r="H60" s="45">
        <v>1.7067192237595099</v>
      </c>
    </row>
    <row r="61" spans="1:8" ht="13">
      <c r="A61" s="45" t="s">
        <v>407</v>
      </c>
      <c r="B61" s="45" t="s">
        <v>408</v>
      </c>
      <c r="C61" s="45" t="s">
        <v>409</v>
      </c>
      <c r="D61" s="45" t="s">
        <v>152</v>
      </c>
      <c r="E61" s="45">
        <v>1.5555555555555556</v>
      </c>
      <c r="F61" s="45">
        <v>0.27894944557851242</v>
      </c>
      <c r="G61" s="45">
        <v>1.9008569961559401</v>
      </c>
      <c r="H61" s="45">
        <v>1.7023404714126735</v>
      </c>
    </row>
    <row r="62" spans="1:8" ht="13">
      <c r="A62" s="45" t="s">
        <v>289</v>
      </c>
      <c r="B62" s="45" t="s">
        <v>290</v>
      </c>
      <c r="C62" s="45" t="s">
        <v>291</v>
      </c>
      <c r="D62" s="45" t="s">
        <v>286</v>
      </c>
      <c r="E62" s="45">
        <v>1.5555555555555556</v>
      </c>
      <c r="F62" s="45">
        <v>0.27894944556644874</v>
      </c>
      <c r="G62" s="45">
        <v>1.9008569961031387</v>
      </c>
      <c r="H62" s="45">
        <v>1.7023404713847317</v>
      </c>
    </row>
    <row r="63" spans="1:8" ht="13">
      <c r="A63" s="45" t="s">
        <v>93</v>
      </c>
      <c r="B63" s="45" t="s">
        <v>94</v>
      </c>
      <c r="C63" s="45" t="s">
        <v>95</v>
      </c>
      <c r="D63" s="45" t="s">
        <v>83</v>
      </c>
      <c r="E63" s="45">
        <v>1.7777777777777777</v>
      </c>
      <c r="F63" s="45">
        <v>0.33764653193040617</v>
      </c>
      <c r="G63" s="45">
        <v>2.1759380765568483</v>
      </c>
      <c r="H63" s="45">
        <v>1.6960712014505899</v>
      </c>
    </row>
    <row r="64" spans="1:8" ht="13">
      <c r="A64" s="45" t="s">
        <v>303</v>
      </c>
      <c r="B64" s="45" t="s">
        <v>158</v>
      </c>
      <c r="C64" s="45" t="s">
        <v>304</v>
      </c>
      <c r="D64" s="45" t="s">
        <v>160</v>
      </c>
      <c r="E64" s="45">
        <v>1.7777777777777777</v>
      </c>
      <c r="F64" s="45">
        <v>0.33764653193040617</v>
      </c>
      <c r="G64" s="45">
        <v>2.1759380765568483</v>
      </c>
      <c r="H64" s="45">
        <v>1.6960712014505899</v>
      </c>
    </row>
    <row r="65" spans="1:8" ht="13">
      <c r="A65" s="45" t="s">
        <v>342</v>
      </c>
      <c r="B65" s="45" t="s">
        <v>343</v>
      </c>
      <c r="C65" s="45" t="s">
        <v>344</v>
      </c>
      <c r="D65" s="45" t="s">
        <v>152</v>
      </c>
      <c r="E65" s="45">
        <v>1.5555555555555556</v>
      </c>
      <c r="F65" s="45">
        <v>0.27583514295626316</v>
      </c>
      <c r="G65" s="45">
        <v>1.8872748085500397</v>
      </c>
      <c r="H65" s="45">
        <v>1.695192124502096</v>
      </c>
    </row>
    <row r="66" spans="1:8" ht="13">
      <c r="A66" s="45" t="s">
        <v>923</v>
      </c>
      <c r="B66" s="45" t="s">
        <v>785</v>
      </c>
      <c r="C66" s="45" t="s">
        <v>924</v>
      </c>
      <c r="D66" s="45" t="s">
        <v>787</v>
      </c>
      <c r="E66" s="45">
        <v>1.4444444444444444</v>
      </c>
      <c r="F66" s="45">
        <v>0.22025235923265057</v>
      </c>
      <c r="G66" s="45">
        <v>1.6605515381222145</v>
      </c>
      <c r="H66" s="45">
        <v>1.6899945032263792</v>
      </c>
    </row>
    <row r="67" spans="1:8" ht="13">
      <c r="A67" s="45" t="s">
        <v>1003</v>
      </c>
      <c r="B67" s="45" t="s">
        <v>1004</v>
      </c>
      <c r="C67" s="45" t="s">
        <v>1005</v>
      </c>
      <c r="D67" s="45" t="s">
        <v>859</v>
      </c>
      <c r="E67" s="45">
        <v>1.4444444444444444</v>
      </c>
      <c r="F67" s="45">
        <v>0.2202523592266187</v>
      </c>
      <c r="G67" s="45">
        <v>1.6605515380991513</v>
      </c>
      <c r="H67" s="45">
        <v>1.6899945032173649</v>
      </c>
    </row>
    <row r="68" spans="1:8" ht="13">
      <c r="A68" s="45" t="s">
        <v>1370</v>
      </c>
      <c r="B68" s="45" t="s">
        <v>211</v>
      </c>
      <c r="C68" s="45" t="s">
        <v>1371</v>
      </c>
      <c r="D68" s="45" t="s">
        <v>177</v>
      </c>
      <c r="E68" s="45">
        <v>1.8888888888888888</v>
      </c>
      <c r="F68" s="45">
        <v>0.35661277939362562</v>
      </c>
      <c r="G68" s="45">
        <v>2.273069838844533</v>
      </c>
      <c r="H68" s="45">
        <v>1.6897558154390868</v>
      </c>
    </row>
    <row r="69" spans="1:8" ht="13">
      <c r="A69" s="45" t="s">
        <v>1076</v>
      </c>
      <c r="B69" s="45" t="s">
        <v>1077</v>
      </c>
      <c r="C69" s="45" t="s">
        <v>1078</v>
      </c>
      <c r="D69" s="45" t="s">
        <v>83</v>
      </c>
      <c r="E69" s="45">
        <v>2</v>
      </c>
      <c r="F69" s="45">
        <v>0.37049486123899233</v>
      </c>
      <c r="G69" s="45">
        <v>2.3469014929639971</v>
      </c>
      <c r="H69" s="45">
        <v>1.6775409478604819</v>
      </c>
    </row>
    <row r="70" spans="1:8" ht="13">
      <c r="A70" s="45" t="s">
        <v>1095</v>
      </c>
      <c r="B70" s="45" t="s">
        <v>124</v>
      </c>
      <c r="C70" s="45" t="s">
        <v>1096</v>
      </c>
      <c r="D70" s="45" t="s">
        <v>83</v>
      </c>
      <c r="E70" s="45">
        <v>1.8888888888888888</v>
      </c>
      <c r="F70" s="45">
        <v>0.35328353234479398</v>
      </c>
      <c r="G70" s="45">
        <v>2.2557113893004246</v>
      </c>
      <c r="H70" s="45">
        <v>1.6767167305342219</v>
      </c>
    </row>
    <row r="71" spans="1:8" ht="13">
      <c r="A71" s="45" t="s">
        <v>217</v>
      </c>
      <c r="B71" s="45" t="s">
        <v>218</v>
      </c>
      <c r="C71" s="45" t="s">
        <v>219</v>
      </c>
      <c r="D71" s="45" t="s">
        <v>83</v>
      </c>
      <c r="E71" s="45">
        <v>1.8888888888888888</v>
      </c>
      <c r="F71" s="45">
        <v>0.35152861377577282</v>
      </c>
      <c r="G71" s="45">
        <v>2.2466147907995495</v>
      </c>
      <c r="H71" s="45">
        <v>1.6699150690603319</v>
      </c>
    </row>
    <row r="72" spans="1:8" ht="13">
      <c r="A72" s="45" t="s">
        <v>391</v>
      </c>
      <c r="B72" s="45" t="s">
        <v>392</v>
      </c>
      <c r="C72" s="45" t="s">
        <v>317</v>
      </c>
      <c r="D72" s="45" t="s">
        <v>1386</v>
      </c>
      <c r="E72" s="45">
        <v>1.5555555555555556</v>
      </c>
      <c r="F72" s="45">
        <v>0.2608686347454347</v>
      </c>
      <c r="G72" s="45">
        <v>1.8233440943662056</v>
      </c>
      <c r="H72" s="45">
        <v>1.6626230032133342</v>
      </c>
    </row>
    <row r="73" spans="1:8" ht="13">
      <c r="A73" s="45" t="s">
        <v>784</v>
      </c>
      <c r="B73" s="45" t="s">
        <v>785</v>
      </c>
      <c r="C73" s="45" t="s">
        <v>786</v>
      </c>
      <c r="D73" s="45" t="s">
        <v>787</v>
      </c>
      <c r="E73" s="45">
        <v>1.6666666666666667</v>
      </c>
      <c r="F73" s="45">
        <v>0.29851514102914373</v>
      </c>
      <c r="G73" s="45">
        <v>1.9884521336051837</v>
      </c>
      <c r="H73" s="45">
        <v>1.6597636573339043</v>
      </c>
    </row>
    <row r="74" spans="1:8" ht="13">
      <c r="A74" s="45" t="s">
        <v>489</v>
      </c>
      <c r="B74" s="45" t="s">
        <v>360</v>
      </c>
      <c r="C74" s="45" t="s">
        <v>490</v>
      </c>
      <c r="D74" s="45" t="s">
        <v>152</v>
      </c>
      <c r="E74" s="45">
        <v>1.6666666666666667</v>
      </c>
      <c r="F74" s="45">
        <v>0.29851514102914373</v>
      </c>
      <c r="G74" s="45">
        <v>1.9884521336051837</v>
      </c>
      <c r="H74" s="45">
        <v>1.6597636573339043</v>
      </c>
    </row>
    <row r="75" spans="1:8" ht="13">
      <c r="A75" s="45" t="s">
        <v>538</v>
      </c>
      <c r="B75" s="45" t="s">
        <v>429</v>
      </c>
      <c r="C75" s="45" t="s">
        <v>539</v>
      </c>
      <c r="D75" s="45" t="s">
        <v>152</v>
      </c>
      <c r="E75" s="45">
        <v>1.7777777777777777</v>
      </c>
      <c r="F75" s="45">
        <v>0.3262793047078133</v>
      </c>
      <c r="G75" s="45">
        <v>2.1197239398915784</v>
      </c>
      <c r="H75" s="45">
        <v>1.6575912831757249</v>
      </c>
    </row>
    <row r="76" spans="1:8" ht="13">
      <c r="A76" s="45" t="s">
        <v>394</v>
      </c>
      <c r="B76" s="45" t="s">
        <v>395</v>
      </c>
      <c r="C76" s="45" t="s">
        <v>396</v>
      </c>
      <c r="D76" s="45" t="s">
        <v>83</v>
      </c>
      <c r="E76" s="45">
        <v>1.7777777777777777</v>
      </c>
      <c r="F76" s="45">
        <v>0.32551936866095421</v>
      </c>
      <c r="G76" s="45">
        <v>2.1160180532885651</v>
      </c>
      <c r="H76" s="45">
        <v>1.6550901654471355</v>
      </c>
    </row>
    <row r="77" spans="1:8" ht="13">
      <c r="A77" s="45" t="s">
        <v>733</v>
      </c>
      <c r="B77" s="45" t="s">
        <v>429</v>
      </c>
      <c r="C77" s="45" t="s">
        <v>734</v>
      </c>
      <c r="D77" s="45" t="s">
        <v>152</v>
      </c>
      <c r="E77" s="45">
        <v>1.6666666666666667</v>
      </c>
      <c r="F77" s="45">
        <v>0.29669398367490268</v>
      </c>
      <c r="G77" s="45">
        <v>1.9801312769348589</v>
      </c>
      <c r="H77" s="45">
        <v>1.6548217722170973</v>
      </c>
    </row>
    <row r="78" spans="1:8" ht="13">
      <c r="A78" s="45" t="s">
        <v>283</v>
      </c>
      <c r="B78" s="45" t="s">
        <v>284</v>
      </c>
      <c r="C78" s="45" t="s">
        <v>285</v>
      </c>
      <c r="D78" s="45" t="s">
        <v>286</v>
      </c>
      <c r="E78" s="45">
        <v>1.8888888888888888</v>
      </c>
      <c r="F78" s="45">
        <v>0.34732988478806176</v>
      </c>
      <c r="G78" s="45">
        <v>2.2249993312677327</v>
      </c>
      <c r="H78" s="45">
        <v>1.6538413656820175</v>
      </c>
    </row>
    <row r="79" spans="1:8" ht="13">
      <c r="A79" s="45" t="s">
        <v>911</v>
      </c>
      <c r="B79" s="45" t="s">
        <v>906</v>
      </c>
      <c r="C79" s="45" t="s">
        <v>912</v>
      </c>
      <c r="D79" s="45" t="s">
        <v>152</v>
      </c>
      <c r="E79" s="45">
        <v>1.5555555555555556</v>
      </c>
      <c r="F79" s="45">
        <v>0.25626944750563196</v>
      </c>
      <c r="G79" s="45">
        <v>1.804136726689499</v>
      </c>
      <c r="H79" s="45">
        <v>1.6531955807760077</v>
      </c>
    </row>
    <row r="80" spans="1:8" ht="13">
      <c r="A80" s="45" t="s">
        <v>439</v>
      </c>
      <c r="B80" s="45" t="s">
        <v>124</v>
      </c>
      <c r="C80" s="45" t="s">
        <v>440</v>
      </c>
      <c r="D80" s="45" t="s">
        <v>83</v>
      </c>
      <c r="E80" s="45">
        <v>1.8888888888888888</v>
      </c>
      <c r="F80" s="45">
        <v>0.34584500017050829</v>
      </c>
      <c r="G80" s="45">
        <v>2.2174048860973308</v>
      </c>
      <c r="H80" s="45">
        <v>1.6482240618096264</v>
      </c>
    </row>
    <row r="81" spans="1:8" ht="13">
      <c r="A81" s="45" t="s">
        <v>1309</v>
      </c>
      <c r="B81" s="45" t="s">
        <v>1310</v>
      </c>
      <c r="C81" s="45" t="s">
        <v>304</v>
      </c>
      <c r="D81" s="45" t="s">
        <v>1447</v>
      </c>
      <c r="E81" s="45">
        <v>1.8888888888888888</v>
      </c>
      <c r="F81" s="45">
        <v>0.34584500017050829</v>
      </c>
      <c r="G81" s="45">
        <v>2.2174048860973308</v>
      </c>
      <c r="H81" s="45">
        <v>1.6482240618096264</v>
      </c>
    </row>
    <row r="82" spans="1:8" ht="13">
      <c r="A82" s="45" t="s">
        <v>100</v>
      </c>
      <c r="B82" s="45" t="s">
        <v>101</v>
      </c>
      <c r="C82" s="45" t="s">
        <v>102</v>
      </c>
      <c r="D82" s="45" t="s">
        <v>83</v>
      </c>
      <c r="E82" s="45">
        <v>1.7777777777777777</v>
      </c>
      <c r="F82" s="45">
        <v>0.32316500209762772</v>
      </c>
      <c r="G82" s="45">
        <v>2.1045778830490995</v>
      </c>
      <c r="H82" s="45">
        <v>1.6473977844513017</v>
      </c>
    </row>
    <row r="83" spans="1:8" ht="13">
      <c r="A83" s="45" t="s">
        <v>315</v>
      </c>
      <c r="B83" s="45" t="s">
        <v>316</v>
      </c>
      <c r="C83" s="45" t="s">
        <v>317</v>
      </c>
      <c r="D83" s="45" t="s">
        <v>318</v>
      </c>
      <c r="E83" s="45">
        <v>1.5555555555555556</v>
      </c>
      <c r="F83" s="45">
        <v>0.24842710591833109</v>
      </c>
      <c r="G83" s="45">
        <v>1.7718506242161367</v>
      </c>
      <c r="H83" s="45">
        <v>1.6377341478974112</v>
      </c>
    </row>
    <row r="84" spans="1:8" ht="13">
      <c r="A84" s="45" t="s">
        <v>905</v>
      </c>
      <c r="B84" s="45" t="s">
        <v>906</v>
      </c>
      <c r="C84" s="45" t="s">
        <v>907</v>
      </c>
      <c r="D84" s="45" t="s">
        <v>152</v>
      </c>
      <c r="E84" s="45">
        <v>1.5555555555555556</v>
      </c>
      <c r="F84" s="45">
        <v>0.24811067893246153</v>
      </c>
      <c r="G84" s="45">
        <v>1.770560123930192</v>
      </c>
      <c r="H84" s="45">
        <v>1.6371263413914432</v>
      </c>
    </row>
    <row r="85" spans="1:8" ht="13">
      <c r="A85" s="45" t="s">
        <v>508</v>
      </c>
      <c r="B85" s="45" t="s">
        <v>395</v>
      </c>
      <c r="C85" s="45" t="s">
        <v>509</v>
      </c>
      <c r="D85" s="45" t="s">
        <v>83</v>
      </c>
      <c r="E85" s="45">
        <v>1.8888888888888888</v>
      </c>
      <c r="F85" s="45">
        <v>0.34273069754825897</v>
      </c>
      <c r="G85" s="45">
        <v>2.201560869834077</v>
      </c>
      <c r="H85" s="45">
        <v>1.6365562700839196</v>
      </c>
    </row>
    <row r="86" spans="1:8" ht="13">
      <c r="A86" s="45" t="s">
        <v>704</v>
      </c>
      <c r="B86" s="45" t="s">
        <v>705</v>
      </c>
      <c r="C86" s="45" t="s">
        <v>706</v>
      </c>
      <c r="D86" s="45" t="s">
        <v>707</v>
      </c>
      <c r="E86" s="45">
        <v>1.5555555555555556</v>
      </c>
      <c r="F86" s="45">
        <v>0.24238736566026528</v>
      </c>
      <c r="G86" s="45">
        <v>1.7473800203733192</v>
      </c>
      <c r="H86" s="45">
        <v>1.6263445661789024</v>
      </c>
    </row>
    <row r="87" spans="1:8" ht="13">
      <c r="A87" s="45" t="s">
        <v>123</v>
      </c>
      <c r="B87" s="45" t="s">
        <v>124</v>
      </c>
      <c r="C87" s="45" t="s">
        <v>125</v>
      </c>
      <c r="D87" s="45" t="s">
        <v>83</v>
      </c>
      <c r="E87" s="45">
        <v>1.8888888888888888</v>
      </c>
      <c r="F87" s="45">
        <v>0.33940145052010801</v>
      </c>
      <c r="G87" s="45">
        <v>2.1847485034088359</v>
      </c>
      <c r="H87" s="45">
        <v>1.6242527258909079</v>
      </c>
    </row>
    <row r="88" spans="1:8" ht="13">
      <c r="A88" s="45" t="s">
        <v>1211</v>
      </c>
      <c r="B88" s="45" t="s">
        <v>343</v>
      </c>
      <c r="C88" s="45" t="s">
        <v>1212</v>
      </c>
      <c r="D88" s="45" t="s">
        <v>152</v>
      </c>
      <c r="E88" s="45">
        <v>1.5555555555555556</v>
      </c>
      <c r="F88" s="45">
        <v>0.23981805467724998</v>
      </c>
      <c r="G88" s="45">
        <v>1.7370729389807014</v>
      </c>
      <c r="H88" s="45">
        <v>1.6216338274912954</v>
      </c>
    </row>
    <row r="89" spans="1:8" ht="13">
      <c r="A89" s="45" t="s">
        <v>628</v>
      </c>
      <c r="B89" s="45" t="s">
        <v>94</v>
      </c>
      <c r="C89" s="45" t="s">
        <v>629</v>
      </c>
      <c r="D89" s="45" t="s">
        <v>83</v>
      </c>
      <c r="E89" s="45">
        <v>1.8888888888888888</v>
      </c>
      <c r="F89" s="45">
        <v>0.33764653193040617</v>
      </c>
      <c r="G89" s="45">
        <v>2.1759380765568483</v>
      </c>
      <c r="H89" s="45">
        <v>1.6178375261845017</v>
      </c>
    </row>
    <row r="90" spans="1:8" ht="13">
      <c r="A90" s="45" t="s">
        <v>1243</v>
      </c>
      <c r="B90" s="45" t="s">
        <v>316</v>
      </c>
      <c r="C90" s="45" t="s">
        <v>418</v>
      </c>
      <c r="D90" s="45" t="s">
        <v>318</v>
      </c>
      <c r="E90" s="45">
        <v>1.7777777777777777</v>
      </c>
      <c r="F90" s="45">
        <v>0.31239722287451038</v>
      </c>
      <c r="G90" s="45">
        <v>2.0530391109397983</v>
      </c>
      <c r="H90" s="45">
        <v>1.6132943096852193</v>
      </c>
    </row>
    <row r="91" spans="1:8" ht="13">
      <c r="A91" s="45" t="s">
        <v>254</v>
      </c>
      <c r="B91" s="45" t="s">
        <v>255</v>
      </c>
      <c r="C91" s="45" t="s">
        <v>256</v>
      </c>
      <c r="D91" s="45" t="s">
        <v>257</v>
      </c>
      <c r="E91" s="45">
        <v>1.8888888888888888</v>
      </c>
      <c r="F91" s="45">
        <v>0.33582537457616518</v>
      </c>
      <c r="G91" s="45">
        <v>2.1668326681074612</v>
      </c>
      <c r="H91" s="45">
        <v>1.6112313231182371</v>
      </c>
    </row>
    <row r="92" spans="1:8" ht="13">
      <c r="A92" s="45" t="s">
        <v>986</v>
      </c>
      <c r="B92" s="45" t="s">
        <v>360</v>
      </c>
      <c r="C92" s="45" t="s">
        <v>987</v>
      </c>
      <c r="D92" s="45" t="s">
        <v>152</v>
      </c>
      <c r="E92" s="45">
        <v>1.5555555555555556</v>
      </c>
      <c r="F92" s="45">
        <v>0.23337450501306256</v>
      </c>
      <c r="G92" s="45">
        <v>1.7114905479932347</v>
      </c>
      <c r="H92" s="45">
        <v>1.6101672437887107</v>
      </c>
    </row>
    <row r="93" spans="1:8" ht="13">
      <c r="A93" s="45" t="s">
        <v>129</v>
      </c>
      <c r="B93" s="45" t="s">
        <v>130</v>
      </c>
      <c r="C93" s="45" t="s">
        <v>131</v>
      </c>
      <c r="D93" s="45" t="s">
        <v>132</v>
      </c>
      <c r="E93" s="45">
        <v>1.6666666666666667</v>
      </c>
      <c r="F93" s="45">
        <v>0.27894944557851242</v>
      </c>
      <c r="G93" s="45">
        <v>1.9008569961559401</v>
      </c>
      <c r="H93" s="45">
        <v>1.6091367577993116</v>
      </c>
    </row>
    <row r="94" spans="1:8" ht="13">
      <c r="A94" s="45" t="s">
        <v>1253</v>
      </c>
      <c r="B94" s="45" t="s">
        <v>1254</v>
      </c>
      <c r="C94" s="45" t="s">
        <v>1255</v>
      </c>
      <c r="D94" s="45" t="s">
        <v>1256</v>
      </c>
      <c r="E94" s="45">
        <v>1.6666666666666667</v>
      </c>
      <c r="F94" s="45">
        <v>0.27894944557851242</v>
      </c>
      <c r="G94" s="45">
        <v>1.9008569961559401</v>
      </c>
      <c r="H94" s="45">
        <v>1.6091367577993116</v>
      </c>
    </row>
    <row r="95" spans="1:8" ht="13">
      <c r="A95" s="45" t="s">
        <v>267</v>
      </c>
      <c r="B95" s="45" t="s">
        <v>268</v>
      </c>
      <c r="C95" s="45" t="s">
        <v>269</v>
      </c>
      <c r="D95" s="45" t="s">
        <v>184</v>
      </c>
      <c r="E95" s="45">
        <v>2</v>
      </c>
      <c r="F95" s="45">
        <v>0.35152861377577282</v>
      </c>
      <c r="G95" s="45">
        <v>2.2466147907995495</v>
      </c>
      <c r="H95" s="45">
        <v>1.5981390542253213</v>
      </c>
    </row>
    <row r="96" spans="1:8" ht="13">
      <c r="A96" s="45" t="s">
        <v>210</v>
      </c>
      <c r="B96" s="45" t="s">
        <v>211</v>
      </c>
      <c r="C96" s="45" t="s">
        <v>212</v>
      </c>
      <c r="D96" s="45" t="s">
        <v>177</v>
      </c>
      <c r="E96" s="45">
        <v>1.8888888888888888</v>
      </c>
      <c r="F96" s="45">
        <v>0.33196291832514163</v>
      </c>
      <c r="G96" s="45">
        <v>2.1476470922214639</v>
      </c>
      <c r="H96" s="45">
        <v>1.5973921714841817</v>
      </c>
    </row>
    <row r="97" spans="1:8" ht="13">
      <c r="A97" s="45" t="s">
        <v>382</v>
      </c>
      <c r="B97" s="45" t="s">
        <v>211</v>
      </c>
      <c r="C97" s="45" t="s">
        <v>383</v>
      </c>
      <c r="D97" s="45" t="s">
        <v>177</v>
      </c>
      <c r="E97" s="45">
        <v>1.8888888888888888</v>
      </c>
      <c r="F97" s="45">
        <v>0.33196291832514163</v>
      </c>
      <c r="G97" s="45">
        <v>2.1476470922214639</v>
      </c>
      <c r="H97" s="45">
        <v>1.5973921714841817</v>
      </c>
    </row>
    <row r="98" spans="1:8" ht="13">
      <c r="A98" s="45" t="s">
        <v>950</v>
      </c>
      <c r="B98" s="45" t="s">
        <v>951</v>
      </c>
      <c r="C98" s="45" t="s">
        <v>952</v>
      </c>
      <c r="D98" s="45" t="s">
        <v>184</v>
      </c>
      <c r="E98" s="45">
        <v>1.8888888888888888</v>
      </c>
      <c r="F98" s="45">
        <v>0.33196291832514163</v>
      </c>
      <c r="G98" s="45">
        <v>2.1476470922214639</v>
      </c>
      <c r="H98" s="45">
        <v>1.5973921714841817</v>
      </c>
    </row>
    <row r="99" spans="1:8" ht="13">
      <c r="A99" s="45" t="s">
        <v>1336</v>
      </c>
      <c r="B99" s="45" t="s">
        <v>124</v>
      </c>
      <c r="C99" s="45" t="s">
        <v>1337</v>
      </c>
      <c r="D99" s="45" t="s">
        <v>83</v>
      </c>
      <c r="E99" s="45">
        <v>1.8888888888888888</v>
      </c>
      <c r="F99" s="45">
        <v>0.33196291832514163</v>
      </c>
      <c r="G99" s="45">
        <v>2.1476470922214639</v>
      </c>
      <c r="H99" s="45">
        <v>1.5973921714841817</v>
      </c>
    </row>
    <row r="100" spans="1:8" ht="13">
      <c r="A100" s="45" t="s">
        <v>1072</v>
      </c>
      <c r="B100" s="45" t="s">
        <v>529</v>
      </c>
      <c r="C100" s="45" t="s">
        <v>1073</v>
      </c>
      <c r="D100" s="45" t="s">
        <v>83</v>
      </c>
      <c r="E100" s="45">
        <v>1.7777777777777777</v>
      </c>
      <c r="F100" s="45">
        <v>0.30671360926924573</v>
      </c>
      <c r="G100" s="45">
        <v>2.0263460271828193</v>
      </c>
      <c r="H100" s="45">
        <v>1.5959991629094872</v>
      </c>
    </row>
    <row r="101" spans="1:8" ht="13">
      <c r="A101" s="45" t="s">
        <v>1165</v>
      </c>
      <c r="B101" s="45" t="s">
        <v>1166</v>
      </c>
      <c r="C101" s="45" t="s">
        <v>1167</v>
      </c>
      <c r="D101" s="45" t="s">
        <v>277</v>
      </c>
      <c r="E101" s="45">
        <v>1.7777777777777777</v>
      </c>
      <c r="F101" s="45">
        <v>0.30671360926924573</v>
      </c>
      <c r="G101" s="45">
        <v>2.0263460271828193</v>
      </c>
      <c r="H101" s="45">
        <v>1.5959991629094872</v>
      </c>
    </row>
    <row r="102" spans="1:8" ht="13">
      <c r="A102" s="45" t="s">
        <v>918</v>
      </c>
      <c r="B102" s="45" t="s">
        <v>360</v>
      </c>
      <c r="C102" s="45" t="s">
        <v>919</v>
      </c>
      <c r="D102" s="45" t="s">
        <v>152</v>
      </c>
      <c r="E102" s="45">
        <v>1.6666666666666667</v>
      </c>
      <c r="F102" s="45">
        <v>0.27326583197324783</v>
      </c>
      <c r="G102" s="45">
        <v>1.876142544912387</v>
      </c>
      <c r="H102" s="45">
        <v>1.5954320846665118</v>
      </c>
    </row>
    <row r="103" spans="1:8" ht="13">
      <c r="A103" s="45" t="s">
        <v>1237</v>
      </c>
      <c r="B103" s="45" t="s">
        <v>1238</v>
      </c>
      <c r="C103" s="45" t="s">
        <v>1239</v>
      </c>
      <c r="D103" s="45" t="s">
        <v>1240</v>
      </c>
      <c r="E103" s="45">
        <v>1.6666666666666667</v>
      </c>
      <c r="F103" s="45">
        <v>0.27326583197324783</v>
      </c>
      <c r="G103" s="45">
        <v>1.876142544912387</v>
      </c>
      <c r="H103" s="45">
        <v>1.5954320846665118</v>
      </c>
    </row>
    <row r="104" spans="1:8" ht="13">
      <c r="A104" s="45" t="s">
        <v>251</v>
      </c>
      <c r="B104" s="45" t="s">
        <v>205</v>
      </c>
      <c r="C104" s="45" t="s">
        <v>252</v>
      </c>
      <c r="D104" s="45" t="s">
        <v>184</v>
      </c>
      <c r="E104" s="45">
        <v>1.6666666666666667</v>
      </c>
      <c r="F104" s="45">
        <v>0.272505895914325</v>
      </c>
      <c r="G104" s="45">
        <v>1.8728625085350243</v>
      </c>
      <c r="H104" s="45">
        <v>1.5936331875886098</v>
      </c>
    </row>
    <row r="105" spans="1:8" ht="13">
      <c r="A105" s="45" t="s">
        <v>1234</v>
      </c>
      <c r="B105" s="45" t="s">
        <v>429</v>
      </c>
      <c r="C105" s="45" t="s">
        <v>1235</v>
      </c>
      <c r="D105" s="45" t="s">
        <v>152</v>
      </c>
      <c r="E105" s="45">
        <v>1.7777777777777777</v>
      </c>
      <c r="F105" s="45">
        <v>0.30251488027276108</v>
      </c>
      <c r="G105" s="45">
        <v>2.0068498497257474</v>
      </c>
      <c r="H105" s="45">
        <v>1.5835320585282091</v>
      </c>
    </row>
    <row r="106" spans="1:8" ht="13">
      <c r="A106" s="45" t="s">
        <v>167</v>
      </c>
      <c r="B106" s="45" t="s">
        <v>168</v>
      </c>
      <c r="C106" s="45" t="s">
        <v>169</v>
      </c>
      <c r="D106" s="45" t="s">
        <v>170</v>
      </c>
      <c r="E106" s="45">
        <v>1.7777777777777777</v>
      </c>
      <c r="F106" s="45">
        <v>0.30237759728759106</v>
      </c>
      <c r="G106" s="45">
        <v>2.0062155731929914</v>
      </c>
      <c r="H106" s="45">
        <v>1.5831288451133494</v>
      </c>
    </row>
    <row r="107" spans="1:8" ht="13">
      <c r="A107" s="45" t="s">
        <v>770</v>
      </c>
      <c r="B107" s="45" t="s">
        <v>268</v>
      </c>
      <c r="C107" s="45" t="s">
        <v>771</v>
      </c>
      <c r="D107" s="45" t="s">
        <v>184</v>
      </c>
      <c r="E107" s="45">
        <v>1.8888888888888888</v>
      </c>
      <c r="F107" s="45">
        <v>0.32776418933743051</v>
      </c>
      <c r="G107" s="45">
        <v>2.1269838352177937</v>
      </c>
      <c r="H107" s="45">
        <v>1.5826119126547653</v>
      </c>
    </row>
    <row r="108" spans="1:8" ht="13">
      <c r="A108" s="45" t="s">
        <v>550</v>
      </c>
      <c r="B108" s="45" t="s">
        <v>392</v>
      </c>
      <c r="C108" s="45" t="s">
        <v>551</v>
      </c>
      <c r="D108" s="45" t="s">
        <v>1386</v>
      </c>
      <c r="E108" s="45">
        <v>1.5555555555555556</v>
      </c>
      <c r="F108" s="45">
        <v>0.21380880957621842</v>
      </c>
      <c r="G108" s="45">
        <v>1.6360961006451569</v>
      </c>
      <c r="H108" s="45">
        <v>1.5783022531639475</v>
      </c>
    </row>
    <row r="109" spans="1:8" ht="13">
      <c r="A109" s="45" t="s">
        <v>1029</v>
      </c>
      <c r="B109" s="45" t="s">
        <v>1030</v>
      </c>
      <c r="C109" s="45" t="s">
        <v>1031</v>
      </c>
      <c r="D109" s="45" t="s">
        <v>170</v>
      </c>
      <c r="E109" s="45">
        <v>1.8888888888888888</v>
      </c>
      <c r="F109" s="45">
        <v>0.32627930471987709</v>
      </c>
      <c r="G109" s="45">
        <v>2.1197239399504597</v>
      </c>
      <c r="H109" s="45">
        <v>1.5774503488011116</v>
      </c>
    </row>
    <row r="110" spans="1:8" ht="13">
      <c r="A110" s="45" t="s">
        <v>1053</v>
      </c>
      <c r="B110" s="45" t="s">
        <v>158</v>
      </c>
      <c r="C110" s="45" t="s">
        <v>1054</v>
      </c>
      <c r="D110" s="45" t="s">
        <v>160</v>
      </c>
      <c r="E110" s="45">
        <v>1.8888888888888888</v>
      </c>
      <c r="F110" s="45">
        <v>0.32627930471987704</v>
      </c>
      <c r="G110" s="45">
        <v>2.1197239399504597</v>
      </c>
      <c r="H110" s="45">
        <v>1.5774503488011116</v>
      </c>
    </row>
    <row r="111" spans="1:8" ht="13">
      <c r="A111" s="45" t="s">
        <v>1027</v>
      </c>
      <c r="B111" s="45" t="s">
        <v>981</v>
      </c>
      <c r="C111" s="45" t="s">
        <v>1028</v>
      </c>
      <c r="D111" s="45" t="s">
        <v>152</v>
      </c>
      <c r="E111" s="45">
        <v>1.7777777777777777</v>
      </c>
      <c r="F111" s="45">
        <v>0.30027005960505831</v>
      </c>
      <c r="G111" s="45">
        <v>1.9965034251941491</v>
      </c>
      <c r="H111" s="45">
        <v>1.5769737591087236</v>
      </c>
    </row>
    <row r="112" spans="1:8" ht="13">
      <c r="A112" s="45" t="s">
        <v>1136</v>
      </c>
      <c r="B112" s="45" t="s">
        <v>268</v>
      </c>
      <c r="C112" s="45" t="s">
        <v>230</v>
      </c>
      <c r="D112" s="45" t="s">
        <v>184</v>
      </c>
      <c r="E112" s="45">
        <v>2</v>
      </c>
      <c r="F112" s="45">
        <v>0.34584500017050829</v>
      </c>
      <c r="G112" s="45">
        <v>2.2174048860973308</v>
      </c>
      <c r="H112" s="45">
        <v>1.5754601412583102</v>
      </c>
    </row>
    <row r="113" spans="1:8" ht="13">
      <c r="A113" s="45" t="s">
        <v>1300</v>
      </c>
      <c r="B113" s="45" t="s">
        <v>1285</v>
      </c>
      <c r="C113" s="45" t="s">
        <v>1301</v>
      </c>
      <c r="D113" s="45" t="s">
        <v>83</v>
      </c>
      <c r="E113" s="45">
        <v>2</v>
      </c>
      <c r="F113" s="45">
        <v>0.34584500017050829</v>
      </c>
      <c r="G113" s="45">
        <v>2.2174048860973308</v>
      </c>
      <c r="H113" s="45">
        <v>1.5754601412583102</v>
      </c>
    </row>
    <row r="114" spans="1:8" ht="13">
      <c r="A114" s="45" t="s">
        <v>515</v>
      </c>
      <c r="B114" s="45" t="s">
        <v>268</v>
      </c>
      <c r="C114" s="45" t="s">
        <v>516</v>
      </c>
      <c r="D114" s="45" t="s">
        <v>184</v>
      </c>
      <c r="E114" s="45">
        <v>2</v>
      </c>
      <c r="F114" s="45">
        <v>0.34584500015844455</v>
      </c>
      <c r="G114" s="45">
        <v>2.2174048860357365</v>
      </c>
      <c r="H114" s="45">
        <v>1.5754601412107145</v>
      </c>
    </row>
    <row r="115" spans="1:8" ht="13">
      <c r="A115" s="45" t="s">
        <v>722</v>
      </c>
      <c r="B115" s="45" t="s">
        <v>268</v>
      </c>
      <c r="C115" s="45" t="s">
        <v>723</v>
      </c>
      <c r="D115" s="45" t="s">
        <v>184</v>
      </c>
      <c r="E115" s="45">
        <v>2</v>
      </c>
      <c r="F115" s="45">
        <v>0.34584500015844455</v>
      </c>
      <c r="G115" s="45">
        <v>2.2174048860357365</v>
      </c>
      <c r="H115" s="45">
        <v>1.5754601412107145</v>
      </c>
    </row>
    <row r="116" spans="1:8" ht="13">
      <c r="A116" s="45" t="s">
        <v>791</v>
      </c>
      <c r="B116" s="45" t="s">
        <v>792</v>
      </c>
      <c r="C116" s="45" t="s">
        <v>793</v>
      </c>
      <c r="D116" s="45" t="s">
        <v>794</v>
      </c>
      <c r="E116" s="45">
        <v>1.7777777777777777</v>
      </c>
      <c r="F116" s="45">
        <v>0.29851514102914373</v>
      </c>
      <c r="G116" s="45">
        <v>1.9884521336051837</v>
      </c>
      <c r="H116" s="45">
        <v>1.5718984639353992</v>
      </c>
    </row>
    <row r="117" spans="1:8" ht="13">
      <c r="A117" s="45" t="s">
        <v>457</v>
      </c>
      <c r="B117" s="45" t="s">
        <v>168</v>
      </c>
      <c r="C117" s="45" t="s">
        <v>458</v>
      </c>
      <c r="D117" s="45" t="s">
        <v>170</v>
      </c>
      <c r="E117" s="45">
        <v>1.7777777777777777</v>
      </c>
      <c r="F117" s="45">
        <v>0.29851514102914373</v>
      </c>
      <c r="G117" s="45">
        <v>1.9884521336051837</v>
      </c>
      <c r="H117" s="45">
        <v>1.5718984639353992</v>
      </c>
    </row>
    <row r="118" spans="1:8" ht="13">
      <c r="A118" s="45" t="s">
        <v>1340</v>
      </c>
      <c r="B118" s="45" t="s">
        <v>124</v>
      </c>
      <c r="C118" s="45" t="s">
        <v>1341</v>
      </c>
      <c r="D118" s="45" t="s">
        <v>83</v>
      </c>
      <c r="E118" s="45">
        <v>1.7777777777777777</v>
      </c>
      <c r="F118" s="45">
        <v>0.29791569305138288</v>
      </c>
      <c r="G118" s="45">
        <v>1.985709406239998</v>
      </c>
      <c r="H118" s="45">
        <v>1.5701752112563223</v>
      </c>
    </row>
    <row r="119" spans="1:8" ht="13">
      <c r="A119" s="45" t="s">
        <v>937</v>
      </c>
      <c r="B119" s="45" t="s">
        <v>94</v>
      </c>
      <c r="C119" s="45" t="s">
        <v>938</v>
      </c>
      <c r="D119" s="45" t="s">
        <v>83</v>
      </c>
      <c r="E119" s="45">
        <v>2</v>
      </c>
      <c r="F119" s="45">
        <v>0.34273069754825897</v>
      </c>
      <c r="G119" s="45">
        <v>2.201560869834077</v>
      </c>
      <c r="H119" s="45">
        <v>1.5632493479660956</v>
      </c>
    </row>
    <row r="120" spans="1:8" ht="13">
      <c r="A120" s="45" t="s">
        <v>443</v>
      </c>
      <c r="B120" s="45" t="s">
        <v>444</v>
      </c>
      <c r="C120" s="45" t="s">
        <v>445</v>
      </c>
      <c r="D120" s="45" t="s">
        <v>152</v>
      </c>
      <c r="E120" s="45">
        <v>1.7777777777777777</v>
      </c>
      <c r="F120" s="45">
        <v>0.29431641204143261</v>
      </c>
      <c r="G120" s="45">
        <v>1.9693205464719923</v>
      </c>
      <c r="H120" s="45">
        <v>1.5599389354415734</v>
      </c>
    </row>
    <row r="121" spans="1:8" ht="13">
      <c r="A121" s="45" t="s">
        <v>873</v>
      </c>
      <c r="B121" s="45" t="s">
        <v>158</v>
      </c>
      <c r="C121" s="45" t="s">
        <v>874</v>
      </c>
      <c r="D121" s="45" t="s">
        <v>160</v>
      </c>
      <c r="E121" s="45">
        <v>1.7777777777777777</v>
      </c>
      <c r="F121" s="45">
        <v>0.29283152742387908</v>
      </c>
      <c r="G121" s="45">
        <v>1.9625987930301132</v>
      </c>
      <c r="H121" s="45">
        <v>1.5557710618329608</v>
      </c>
    </row>
    <row r="122" spans="1:8" ht="13">
      <c r="A122" s="45" t="s">
        <v>1156</v>
      </c>
      <c r="B122" s="45" t="s">
        <v>365</v>
      </c>
      <c r="C122" s="45" t="s">
        <v>930</v>
      </c>
      <c r="D122" s="45" t="s">
        <v>83</v>
      </c>
      <c r="E122" s="45">
        <v>1.7777777777777777</v>
      </c>
      <c r="F122" s="45">
        <v>0.29283152742387908</v>
      </c>
      <c r="G122" s="45">
        <v>1.9625987930301132</v>
      </c>
      <c r="H122" s="45">
        <v>1.5557710618329608</v>
      </c>
    </row>
    <row r="123" spans="1:8" ht="13">
      <c r="A123" s="45" t="s">
        <v>1080</v>
      </c>
      <c r="B123" s="45" t="s">
        <v>906</v>
      </c>
      <c r="C123" s="45" t="s">
        <v>1081</v>
      </c>
      <c r="D123" s="45" t="s">
        <v>152</v>
      </c>
      <c r="E123" s="45">
        <v>1.7777777777777777</v>
      </c>
      <c r="F123" s="45">
        <v>0.28863279843616801</v>
      </c>
      <c r="G123" s="45">
        <v>1.9437159498468202</v>
      </c>
      <c r="H123" s="45">
        <v>1.5441589796679336</v>
      </c>
    </row>
    <row r="124" spans="1:8" ht="13">
      <c r="A124" s="45" t="s">
        <v>414</v>
      </c>
      <c r="B124" s="45" t="s">
        <v>360</v>
      </c>
      <c r="C124" s="45" t="s">
        <v>322</v>
      </c>
      <c r="D124" s="45" t="s">
        <v>152</v>
      </c>
      <c r="E124" s="45">
        <v>1.7777777777777777</v>
      </c>
      <c r="F124" s="45">
        <v>0.28849551543480056</v>
      </c>
      <c r="G124" s="45">
        <v>1.9431016270767654</v>
      </c>
      <c r="H124" s="45">
        <v>1.5437836116142281</v>
      </c>
    </row>
    <row r="125" spans="1:8" ht="13">
      <c r="A125" s="45" t="s">
        <v>517</v>
      </c>
      <c r="B125" s="45" t="s">
        <v>316</v>
      </c>
      <c r="C125" s="45" t="s">
        <v>518</v>
      </c>
      <c r="D125" s="45" t="s">
        <v>318</v>
      </c>
      <c r="E125" s="45">
        <v>1.6666666666666667</v>
      </c>
      <c r="F125" s="45">
        <v>0.24842710591833109</v>
      </c>
      <c r="G125" s="45">
        <v>1.7718506242161367</v>
      </c>
      <c r="H125" s="45">
        <v>1.5406268736720834</v>
      </c>
    </row>
    <row r="126" spans="1:8" ht="13">
      <c r="A126" s="45" t="s">
        <v>541</v>
      </c>
      <c r="B126" s="45" t="s">
        <v>124</v>
      </c>
      <c r="C126" s="45" t="s">
        <v>542</v>
      </c>
      <c r="D126" s="45" t="s">
        <v>83</v>
      </c>
      <c r="E126" s="45">
        <v>1.8888888888888888</v>
      </c>
      <c r="F126" s="45">
        <v>0.31415214144353143</v>
      </c>
      <c r="G126" s="45">
        <v>2.0613519167555943</v>
      </c>
      <c r="H126" s="45">
        <v>1.5365662343144673</v>
      </c>
    </row>
    <row r="127" spans="1:8" ht="13">
      <c r="A127" s="45" t="s">
        <v>1375</v>
      </c>
      <c r="B127" s="45" t="s">
        <v>349</v>
      </c>
      <c r="C127" s="45" t="s">
        <v>1376</v>
      </c>
      <c r="D127" s="45" t="s">
        <v>318</v>
      </c>
      <c r="E127" s="45">
        <v>1.6666666666666667</v>
      </c>
      <c r="F127" s="45">
        <v>0.24274349231306655</v>
      </c>
      <c r="G127" s="45">
        <v>1.7488134804690769</v>
      </c>
      <c r="H127" s="45">
        <v>1.5292152910267378</v>
      </c>
    </row>
    <row r="128" spans="1:8" ht="13">
      <c r="A128" s="45" t="s">
        <v>348</v>
      </c>
      <c r="B128" s="45" t="s">
        <v>349</v>
      </c>
      <c r="C128" s="45" t="s">
        <v>350</v>
      </c>
      <c r="D128" s="45" t="s">
        <v>318</v>
      </c>
      <c r="E128" s="45">
        <v>1.7777777777777777</v>
      </c>
      <c r="F128" s="45">
        <v>0.28187488321432902</v>
      </c>
      <c r="G128" s="45">
        <v>1.9137045225470504</v>
      </c>
      <c r="H128" s="45">
        <v>1.5260023312619022</v>
      </c>
    </row>
    <row r="129" spans="1:8" ht="13">
      <c r="A129" s="45" t="s">
        <v>459</v>
      </c>
      <c r="B129" s="45" t="s">
        <v>392</v>
      </c>
      <c r="C129" s="45" t="s">
        <v>460</v>
      </c>
      <c r="D129" s="45" t="s">
        <v>1386</v>
      </c>
      <c r="E129" s="45">
        <v>1.7777777777777777</v>
      </c>
      <c r="F129" s="45">
        <v>0.28043433019606595</v>
      </c>
      <c r="G129" s="45">
        <v>1.9073672885813748</v>
      </c>
      <c r="H129" s="45">
        <v>1.5222163305132892</v>
      </c>
    </row>
    <row r="130" spans="1:8" ht="13">
      <c r="A130" s="45" t="s">
        <v>119</v>
      </c>
      <c r="B130" s="45" t="s">
        <v>101</v>
      </c>
      <c r="C130" s="45" t="s">
        <v>120</v>
      </c>
      <c r="D130" s="45" t="s">
        <v>83</v>
      </c>
      <c r="E130" s="45">
        <v>2</v>
      </c>
      <c r="F130" s="45">
        <v>0.33196291832514158</v>
      </c>
      <c r="G130" s="45">
        <v>2.1476470922214634</v>
      </c>
      <c r="H130" s="45">
        <v>1.5222003311930989</v>
      </c>
    </row>
    <row r="131" spans="1:8" ht="13">
      <c r="A131" s="45" t="s">
        <v>364</v>
      </c>
      <c r="B131" s="45" t="s">
        <v>365</v>
      </c>
      <c r="C131" s="45" t="s">
        <v>366</v>
      </c>
      <c r="D131" s="45" t="s">
        <v>83</v>
      </c>
      <c r="E131" s="45">
        <v>2</v>
      </c>
      <c r="F131" s="45">
        <v>0.33196291832514158</v>
      </c>
      <c r="G131" s="45">
        <v>2.1476470922214634</v>
      </c>
      <c r="H131" s="45">
        <v>1.5222003311930989</v>
      </c>
    </row>
    <row r="132" spans="1:8" ht="13">
      <c r="A132" s="45" t="s">
        <v>204</v>
      </c>
      <c r="B132" s="45" t="s">
        <v>205</v>
      </c>
      <c r="C132" s="45" t="s">
        <v>206</v>
      </c>
      <c r="D132" s="45" t="s">
        <v>184</v>
      </c>
      <c r="E132" s="45">
        <v>1.7777777777777777</v>
      </c>
      <c r="F132" s="45">
        <v>0.27894944557851242</v>
      </c>
      <c r="G132" s="45">
        <v>1.9008569961559401</v>
      </c>
      <c r="H132" s="45">
        <v>1.5183446538967793</v>
      </c>
    </row>
    <row r="133" spans="1:8" ht="13">
      <c r="A133" s="45" t="s">
        <v>1367</v>
      </c>
      <c r="B133" s="45" t="s">
        <v>168</v>
      </c>
      <c r="C133" s="45" t="s">
        <v>1368</v>
      </c>
      <c r="D133" s="45" t="s">
        <v>170</v>
      </c>
      <c r="E133" s="45">
        <v>1.7777777777777777</v>
      </c>
      <c r="F133" s="45">
        <v>0.27894944557851242</v>
      </c>
      <c r="G133" s="45">
        <v>1.9008569961559401</v>
      </c>
      <c r="H133" s="45">
        <v>1.5183446538967793</v>
      </c>
    </row>
    <row r="134" spans="1:8" ht="13">
      <c r="A134" s="45" t="s">
        <v>181</v>
      </c>
      <c r="B134" s="45" t="s">
        <v>182</v>
      </c>
      <c r="C134" s="45" t="s">
        <v>183</v>
      </c>
      <c r="D134" s="45" t="s">
        <v>184</v>
      </c>
      <c r="E134" s="45">
        <v>1.6666666666666667</v>
      </c>
      <c r="F134" s="45">
        <v>0.23670375205500069</v>
      </c>
      <c r="G134" s="45">
        <v>1.7246610370911426</v>
      </c>
      <c r="H134" s="45">
        <v>1.5175346442357711</v>
      </c>
    </row>
    <row r="135" spans="1:8" ht="13">
      <c r="A135" s="45" t="s">
        <v>1067</v>
      </c>
      <c r="B135" s="45" t="s">
        <v>1068</v>
      </c>
      <c r="C135" s="45" t="s">
        <v>1069</v>
      </c>
      <c r="D135" s="45" t="s">
        <v>819</v>
      </c>
      <c r="E135" s="45">
        <v>1.8888888888888888</v>
      </c>
      <c r="F135" s="45">
        <v>0.30671360926924573</v>
      </c>
      <c r="G135" s="45">
        <v>2.0263460271828193</v>
      </c>
      <c r="H135" s="45">
        <v>1.5125984492747981</v>
      </c>
    </row>
    <row r="136" spans="1:8" ht="13">
      <c r="A136" s="45" t="s">
        <v>881</v>
      </c>
      <c r="B136" s="45" t="s">
        <v>349</v>
      </c>
      <c r="C136" s="45" t="s">
        <v>882</v>
      </c>
      <c r="D136" s="45" t="s">
        <v>318</v>
      </c>
      <c r="E136" s="45">
        <v>1.7777777777777777</v>
      </c>
      <c r="F136" s="45">
        <v>0.27619126960906448</v>
      </c>
      <c r="G136" s="45">
        <v>1.8888230310867766</v>
      </c>
      <c r="H136" s="45">
        <v>1.5112357662138995</v>
      </c>
    </row>
    <row r="137" spans="1:8" ht="13">
      <c r="A137" s="45" t="s">
        <v>662</v>
      </c>
      <c r="B137" s="45" t="s">
        <v>395</v>
      </c>
      <c r="C137" s="45" t="s">
        <v>663</v>
      </c>
      <c r="D137" s="45" t="s">
        <v>83</v>
      </c>
      <c r="E137" s="45">
        <v>1.7777777777777777</v>
      </c>
      <c r="F137" s="45">
        <v>0.27583514295626316</v>
      </c>
      <c r="G137" s="45">
        <v>1.8872748085500397</v>
      </c>
      <c r="H137" s="45">
        <v>1.5103257087070117</v>
      </c>
    </row>
    <row r="138" spans="1:8" ht="13">
      <c r="A138" s="45" t="s">
        <v>533</v>
      </c>
      <c r="B138" s="45" t="s">
        <v>477</v>
      </c>
      <c r="C138" s="45" t="s">
        <v>534</v>
      </c>
      <c r="D138" s="45" t="s">
        <v>152</v>
      </c>
      <c r="E138" s="45">
        <v>1.7777777777777777</v>
      </c>
      <c r="F138" s="45">
        <v>0.27583514295626316</v>
      </c>
      <c r="G138" s="45">
        <v>1.8872748085500397</v>
      </c>
      <c r="H138" s="45">
        <v>1.5103257087070117</v>
      </c>
    </row>
    <row r="139" spans="1:8" ht="13">
      <c r="A139" s="45" t="s">
        <v>476</v>
      </c>
      <c r="B139" s="45" t="s">
        <v>477</v>
      </c>
      <c r="C139" s="45" t="s">
        <v>478</v>
      </c>
      <c r="D139" s="45" t="s">
        <v>152</v>
      </c>
      <c r="E139" s="45">
        <v>1.7777777777777777</v>
      </c>
      <c r="F139" s="45">
        <v>0.27583514295626316</v>
      </c>
      <c r="G139" s="45">
        <v>1.8872748085500397</v>
      </c>
      <c r="H139" s="45">
        <v>1.5103257087070117</v>
      </c>
    </row>
    <row r="140" spans="1:8" ht="13">
      <c r="A140" s="45" t="s">
        <v>359</v>
      </c>
      <c r="B140" s="45" t="s">
        <v>360</v>
      </c>
      <c r="C140" s="45" t="s">
        <v>361</v>
      </c>
      <c r="D140" s="45" t="s">
        <v>152</v>
      </c>
      <c r="E140" s="45">
        <v>1.7777777777777777</v>
      </c>
      <c r="F140" s="45">
        <v>0.27475071658202777</v>
      </c>
      <c r="G140" s="45">
        <v>1.8825681921607529</v>
      </c>
      <c r="H140" s="45">
        <v>1.5075655124430669</v>
      </c>
    </row>
    <row r="141" spans="1:8" ht="13">
      <c r="A141" s="45" t="s">
        <v>447</v>
      </c>
      <c r="B141" s="45" t="s">
        <v>448</v>
      </c>
      <c r="C141" s="45" t="s">
        <v>449</v>
      </c>
      <c r="D141" s="45" t="s">
        <v>160</v>
      </c>
      <c r="E141" s="45">
        <v>1.8888888888888888</v>
      </c>
      <c r="F141" s="45">
        <v>0.30419875463440826</v>
      </c>
      <c r="G141" s="45">
        <v>2.0146460405870323</v>
      </c>
      <c r="H141" s="45">
        <v>1.5046841824494299</v>
      </c>
    </row>
    <row r="142" spans="1:8" ht="13">
      <c r="A142" s="45" t="s">
        <v>242</v>
      </c>
      <c r="B142" s="45" t="s">
        <v>243</v>
      </c>
      <c r="C142" s="45" t="s">
        <v>244</v>
      </c>
      <c r="D142" s="45" t="s">
        <v>245</v>
      </c>
      <c r="E142" s="45">
        <v>1.7777777777777777</v>
      </c>
      <c r="F142" s="45">
        <v>0.272505895914325</v>
      </c>
      <c r="G142" s="45">
        <v>1.8728625085350243</v>
      </c>
      <c r="H142" s="45">
        <v>1.5019041644858313</v>
      </c>
    </row>
    <row r="143" spans="1:8" ht="13">
      <c r="A143" s="45" t="s">
        <v>498</v>
      </c>
      <c r="B143" s="45" t="s">
        <v>499</v>
      </c>
      <c r="C143" s="45" t="s">
        <v>500</v>
      </c>
      <c r="D143" s="45" t="s">
        <v>277</v>
      </c>
      <c r="E143" s="45">
        <v>1.7777777777777777</v>
      </c>
      <c r="F143" s="45">
        <v>0.272505895914325</v>
      </c>
      <c r="G143" s="45">
        <v>1.8728625085350243</v>
      </c>
      <c r="H143" s="45">
        <v>1.5019041644858313</v>
      </c>
    </row>
    <row r="144" spans="1:8" ht="13">
      <c r="A144" s="45" t="s">
        <v>928</v>
      </c>
      <c r="B144" s="45" t="s">
        <v>929</v>
      </c>
      <c r="C144" s="45" t="s">
        <v>930</v>
      </c>
      <c r="D144" s="45" t="s">
        <v>83</v>
      </c>
      <c r="E144" s="45">
        <v>2</v>
      </c>
      <c r="F144" s="45">
        <v>0.32627930471987704</v>
      </c>
      <c r="G144" s="45">
        <v>2.1197239399504597</v>
      </c>
      <c r="H144" s="45">
        <v>1.5012600380008057</v>
      </c>
    </row>
    <row r="145" spans="1:8" ht="13">
      <c r="A145" s="45" t="s">
        <v>1179</v>
      </c>
      <c r="B145" s="45" t="s">
        <v>1180</v>
      </c>
      <c r="C145" s="45" t="s">
        <v>1181</v>
      </c>
      <c r="D145" s="45" t="s">
        <v>170</v>
      </c>
      <c r="E145" s="45">
        <v>2</v>
      </c>
      <c r="F145" s="45">
        <v>0.32627930471987704</v>
      </c>
      <c r="G145" s="45">
        <v>2.1197239399504597</v>
      </c>
      <c r="H145" s="45">
        <v>1.5012600380008057</v>
      </c>
    </row>
    <row r="146" spans="1:8" ht="13">
      <c r="A146" s="45" t="s">
        <v>262</v>
      </c>
      <c r="B146" s="45" t="s">
        <v>263</v>
      </c>
      <c r="C146" s="45" t="s">
        <v>264</v>
      </c>
      <c r="D146" s="45" t="s">
        <v>177</v>
      </c>
      <c r="E146" s="45">
        <v>1.8888888888888888</v>
      </c>
      <c r="F146" s="45">
        <v>0.30144057866496027</v>
      </c>
      <c r="G146" s="45">
        <v>2.0018916986622153</v>
      </c>
      <c r="H146" s="45">
        <v>1.4961132567699635</v>
      </c>
    </row>
    <row r="147" spans="1:8" ht="13">
      <c r="A147" s="45" t="s">
        <v>1122</v>
      </c>
      <c r="B147" s="45" t="s">
        <v>1123</v>
      </c>
      <c r="C147" s="45" t="s">
        <v>1124</v>
      </c>
      <c r="D147" s="45" t="s">
        <v>277</v>
      </c>
      <c r="E147" s="45">
        <v>1.7777777777777777</v>
      </c>
      <c r="F147" s="45">
        <v>0.26906710297676312</v>
      </c>
      <c r="G147" s="45">
        <v>1.8580915272186183</v>
      </c>
      <c r="H147" s="45">
        <v>1.493368082415788</v>
      </c>
    </row>
    <row r="148" spans="1:8" ht="13">
      <c r="A148" s="45" t="s">
        <v>259</v>
      </c>
      <c r="B148" s="45" t="s">
        <v>108</v>
      </c>
      <c r="C148" s="45" t="s">
        <v>260</v>
      </c>
      <c r="D148" s="45" t="s">
        <v>1386</v>
      </c>
      <c r="E148" s="45">
        <v>1.6666666666666667</v>
      </c>
      <c r="F148" s="45">
        <v>0.22282167020963403</v>
      </c>
      <c r="G148" s="45">
        <v>1.6704045727505736</v>
      </c>
      <c r="H148" s="45">
        <v>1.4923873722806209</v>
      </c>
    </row>
    <row r="149" spans="1:8" ht="13">
      <c r="A149" s="45" t="s">
        <v>827</v>
      </c>
      <c r="B149" s="45" t="s">
        <v>386</v>
      </c>
      <c r="C149" s="45" t="s">
        <v>828</v>
      </c>
      <c r="D149" s="45" t="s">
        <v>170</v>
      </c>
      <c r="E149" s="45">
        <v>1.6666666666666667</v>
      </c>
      <c r="F149" s="45">
        <v>0.22173724384417223</v>
      </c>
      <c r="G149" s="45">
        <v>1.6662388023817318</v>
      </c>
      <c r="H149" s="45">
        <v>1.4905206874031711</v>
      </c>
    </row>
    <row r="150" spans="1:8" ht="13">
      <c r="A150" s="45" t="s">
        <v>229</v>
      </c>
      <c r="B150" s="45" t="s">
        <v>101</v>
      </c>
      <c r="C150" s="45" t="s">
        <v>230</v>
      </c>
      <c r="D150" s="45" t="s">
        <v>83</v>
      </c>
      <c r="E150" s="45">
        <v>2</v>
      </c>
      <c r="F150" s="45">
        <v>0.32316500209762772</v>
      </c>
      <c r="G150" s="45">
        <v>2.1045778830490995</v>
      </c>
      <c r="H150" s="45">
        <v>1.489997416011595</v>
      </c>
    </row>
    <row r="151" spans="1:8" ht="13">
      <c r="A151" s="45" t="s">
        <v>759</v>
      </c>
      <c r="B151" s="45" t="s">
        <v>237</v>
      </c>
      <c r="C151" s="45" t="s">
        <v>760</v>
      </c>
      <c r="D151" s="45" t="s">
        <v>177</v>
      </c>
      <c r="E151" s="45">
        <v>1.8888888888888888</v>
      </c>
      <c r="F151" s="45">
        <v>0.29851514102914373</v>
      </c>
      <c r="G151" s="45">
        <v>1.9884521336051837</v>
      </c>
      <c r="H151" s="45">
        <v>1.4871467720649527</v>
      </c>
    </row>
    <row r="152" spans="1:8" ht="13">
      <c r="A152" s="45" t="s">
        <v>388</v>
      </c>
      <c r="B152" s="45" t="s">
        <v>158</v>
      </c>
      <c r="C152" s="45" t="s">
        <v>389</v>
      </c>
      <c r="D152" s="45" t="s">
        <v>160</v>
      </c>
      <c r="E152" s="45">
        <v>1.8888888888888888</v>
      </c>
      <c r="F152" s="45">
        <v>0.29851514102914373</v>
      </c>
      <c r="G152" s="45">
        <v>1.9884521336051837</v>
      </c>
      <c r="H152" s="45">
        <v>1.4871467720649527</v>
      </c>
    </row>
    <row r="153" spans="1:8" ht="13">
      <c r="A153" s="45" t="s">
        <v>933</v>
      </c>
      <c r="B153" s="45" t="s">
        <v>570</v>
      </c>
      <c r="C153" s="45" t="s">
        <v>934</v>
      </c>
      <c r="D153" s="45" t="s">
        <v>160</v>
      </c>
      <c r="E153" s="45">
        <v>1.8888888888888888</v>
      </c>
      <c r="F153" s="45">
        <v>0.29851514102914373</v>
      </c>
      <c r="G153" s="45">
        <v>1.9884521336051837</v>
      </c>
      <c r="H153" s="45">
        <v>1.4871467720649527</v>
      </c>
    </row>
    <row r="154" spans="1:8" ht="13">
      <c r="A154" s="45" t="s">
        <v>424</v>
      </c>
      <c r="B154" s="45" t="s">
        <v>425</v>
      </c>
      <c r="C154" s="45" t="s">
        <v>426</v>
      </c>
      <c r="D154" s="45" t="s">
        <v>83</v>
      </c>
      <c r="E154" s="45">
        <v>1.6666666666666667</v>
      </c>
      <c r="F154" s="45">
        <v>0.21949242318148299</v>
      </c>
      <c r="G154" s="45">
        <v>1.6576484168158081</v>
      </c>
      <c r="H154" s="45">
        <v>1.4867007829143417</v>
      </c>
    </row>
    <row r="155" spans="1:8" ht="13">
      <c r="A155" s="45" t="s">
        <v>1195</v>
      </c>
      <c r="B155" s="45" t="s">
        <v>1139</v>
      </c>
      <c r="C155" s="45" t="s">
        <v>1196</v>
      </c>
      <c r="D155" s="45" t="s">
        <v>1141</v>
      </c>
      <c r="E155" s="45">
        <v>1.6666666666666667</v>
      </c>
      <c r="F155" s="45">
        <v>0.2194924231676959</v>
      </c>
      <c r="G155" s="45">
        <v>1.6576484167631844</v>
      </c>
      <c r="H155" s="45">
        <v>1.4867007828910632</v>
      </c>
    </row>
    <row r="156" spans="1:8" ht="13">
      <c r="A156" s="45" t="s">
        <v>803</v>
      </c>
      <c r="B156" s="45" t="s">
        <v>804</v>
      </c>
      <c r="C156" s="45" t="s">
        <v>805</v>
      </c>
      <c r="D156" s="45" t="s">
        <v>184</v>
      </c>
      <c r="E156" s="45">
        <v>1.7777777777777777</v>
      </c>
      <c r="F156" s="45">
        <v>0.26506736373314577</v>
      </c>
      <c r="G156" s="45">
        <v>1.841057547098748</v>
      </c>
      <c r="H156" s="45">
        <v>1.4836458330833509</v>
      </c>
    </row>
    <row r="157" spans="1:8" ht="13">
      <c r="A157" s="45" t="s">
        <v>1177</v>
      </c>
      <c r="B157" s="45" t="s">
        <v>429</v>
      </c>
      <c r="C157" s="45" t="s">
        <v>1178</v>
      </c>
      <c r="D157" s="45" t="s">
        <v>152</v>
      </c>
      <c r="E157" s="45">
        <v>1.7777777777777777</v>
      </c>
      <c r="F157" s="45">
        <v>0.26446791575538497</v>
      </c>
      <c r="G157" s="45">
        <v>1.8385181251886245</v>
      </c>
      <c r="H157" s="45">
        <v>1.4822077475049418</v>
      </c>
    </row>
    <row r="158" spans="1:8" ht="13">
      <c r="A158" s="45" t="s">
        <v>763</v>
      </c>
      <c r="B158" s="45" t="s">
        <v>764</v>
      </c>
      <c r="C158" s="45" t="s">
        <v>765</v>
      </c>
      <c r="D158" s="45" t="s">
        <v>355</v>
      </c>
      <c r="E158" s="45">
        <v>1.8888888888888888</v>
      </c>
      <c r="F158" s="45">
        <v>0.29575696505401861</v>
      </c>
      <c r="G158" s="45">
        <v>1.9758636203109188</v>
      </c>
      <c r="H158" s="45">
        <v>1.4788095572726399</v>
      </c>
    </row>
    <row r="159" spans="1:8" ht="13">
      <c r="A159" s="45" t="s">
        <v>80</v>
      </c>
      <c r="B159" s="45" t="s">
        <v>81</v>
      </c>
      <c r="C159" s="45" t="s">
        <v>82</v>
      </c>
      <c r="D159" s="45" t="s">
        <v>83</v>
      </c>
      <c r="E159" s="45">
        <v>2</v>
      </c>
      <c r="F159" s="45">
        <v>0.31983575506947676</v>
      </c>
      <c r="G159" s="45">
        <v>2.0885061336711472</v>
      </c>
      <c r="H159" s="45">
        <v>1.4781223234359562</v>
      </c>
    </row>
    <row r="160" spans="1:8" ht="13">
      <c r="A160" s="45" t="s">
        <v>411</v>
      </c>
      <c r="B160" s="45" t="s">
        <v>365</v>
      </c>
      <c r="C160" s="45" t="s">
        <v>412</v>
      </c>
      <c r="D160" s="45" t="s">
        <v>83</v>
      </c>
      <c r="E160" s="45">
        <v>2</v>
      </c>
      <c r="F160" s="45">
        <v>0.31983575506947676</v>
      </c>
      <c r="G160" s="45">
        <v>2.0885061336711472</v>
      </c>
      <c r="H160" s="45">
        <v>1.4781223234359562</v>
      </c>
    </row>
    <row r="161" spans="1:8" ht="13">
      <c r="A161" s="45" t="s">
        <v>432</v>
      </c>
      <c r="B161" s="45" t="s">
        <v>237</v>
      </c>
      <c r="C161" s="45" t="s">
        <v>433</v>
      </c>
      <c r="D161" s="45" t="s">
        <v>177</v>
      </c>
      <c r="E161" s="45">
        <v>1.8888888888888888</v>
      </c>
      <c r="F161" s="45">
        <v>0.29540083840689441</v>
      </c>
      <c r="G161" s="45">
        <v>1.9742440527350311</v>
      </c>
      <c r="H161" s="45">
        <v>1.4777413087290163</v>
      </c>
    </row>
    <row r="162" spans="1:8" ht="13">
      <c r="A162" s="45" t="s">
        <v>274</v>
      </c>
      <c r="B162" s="45" t="s">
        <v>275</v>
      </c>
      <c r="C162" s="45" t="s">
        <v>276</v>
      </c>
      <c r="D162" s="45" t="s">
        <v>277</v>
      </c>
      <c r="E162" s="45">
        <v>1.7777777777777777</v>
      </c>
      <c r="F162" s="45">
        <v>0.2608686347454347</v>
      </c>
      <c r="G162" s="45">
        <v>1.8233440943662056</v>
      </c>
      <c r="H162" s="45">
        <v>1.473676578568559</v>
      </c>
    </row>
    <row r="163" spans="1:8" ht="13">
      <c r="A163" s="45" t="s">
        <v>1063</v>
      </c>
      <c r="B163" s="45" t="s">
        <v>1064</v>
      </c>
      <c r="C163" s="45" t="s">
        <v>1065</v>
      </c>
      <c r="D163" s="45" t="s">
        <v>372</v>
      </c>
      <c r="E163" s="45">
        <v>1.6666666666666667</v>
      </c>
      <c r="F163" s="45">
        <v>0.21145444299910487</v>
      </c>
      <c r="G163" s="45">
        <v>1.6272506099369244</v>
      </c>
      <c r="H163" s="45">
        <v>1.4735063981686749</v>
      </c>
    </row>
    <row r="164" spans="1:8" ht="13">
      <c r="A164" s="45" t="s">
        <v>1209</v>
      </c>
      <c r="B164" s="45" t="s">
        <v>395</v>
      </c>
      <c r="C164" s="45" t="s">
        <v>1210</v>
      </c>
      <c r="D164" s="45" t="s">
        <v>83</v>
      </c>
      <c r="E164" s="45">
        <v>1.7777777777777777</v>
      </c>
      <c r="F164" s="45">
        <v>0.25938375012788117</v>
      </c>
      <c r="G164" s="45">
        <v>1.8171205928321394</v>
      </c>
      <c r="H164" s="45">
        <v>1.4702085647023604</v>
      </c>
    </row>
    <row r="165" spans="1:8" ht="13">
      <c r="A165" s="45" t="s">
        <v>1228</v>
      </c>
      <c r="B165" s="45" t="s">
        <v>1229</v>
      </c>
      <c r="C165" s="45" t="s">
        <v>1230</v>
      </c>
      <c r="D165" s="45" t="s">
        <v>1231</v>
      </c>
      <c r="E165" s="45">
        <v>1.7777777777777777</v>
      </c>
      <c r="F165" s="45">
        <v>0.25938375012788117</v>
      </c>
      <c r="G165" s="45">
        <v>1.8171205928321394</v>
      </c>
      <c r="H165" s="45">
        <v>1.4702085647023604</v>
      </c>
    </row>
    <row r="166" spans="1:8" ht="13">
      <c r="A166" s="45" t="s">
        <v>1330</v>
      </c>
      <c r="B166" s="45" t="s">
        <v>429</v>
      </c>
      <c r="C166" s="45" t="s">
        <v>534</v>
      </c>
      <c r="D166" s="45" t="s">
        <v>152</v>
      </c>
      <c r="E166" s="45">
        <v>1.7777777777777777</v>
      </c>
      <c r="F166" s="45">
        <v>0.25878430215012044</v>
      </c>
      <c r="G166" s="45">
        <v>1.8146141878291857</v>
      </c>
      <c r="H166" s="45">
        <v>1.4688170190688938</v>
      </c>
    </row>
    <row r="167" spans="1:8" ht="13">
      <c r="A167" s="45" t="s">
        <v>767</v>
      </c>
      <c r="B167" s="45" t="s">
        <v>395</v>
      </c>
      <c r="C167" s="45" t="s">
        <v>768</v>
      </c>
      <c r="D167" s="45" t="s">
        <v>83</v>
      </c>
      <c r="E167" s="45">
        <v>1.7777777777777777</v>
      </c>
      <c r="F167" s="45">
        <v>0.25626944750563196</v>
      </c>
      <c r="G167" s="45">
        <v>1.804136726689499</v>
      </c>
      <c r="H167" s="45">
        <v>1.4630321376185587</v>
      </c>
    </row>
    <row r="168" spans="1:8" ht="13">
      <c r="A168" s="45" t="s">
        <v>469</v>
      </c>
      <c r="B168" s="45" t="s">
        <v>218</v>
      </c>
      <c r="C168" s="45" t="s">
        <v>470</v>
      </c>
      <c r="D168" s="45" t="s">
        <v>83</v>
      </c>
      <c r="E168" s="45">
        <v>1.8888888888888888</v>
      </c>
      <c r="F168" s="45">
        <v>0.28971722481128082</v>
      </c>
      <c r="G168" s="45">
        <v>1.9485754419975816</v>
      </c>
      <c r="H168" s="45">
        <v>1.4609460189875174</v>
      </c>
    </row>
    <row r="169" spans="1:8" ht="13">
      <c r="A169" s="45" t="s">
        <v>838</v>
      </c>
      <c r="B169" s="45" t="s">
        <v>839</v>
      </c>
      <c r="C169" s="45" t="s">
        <v>840</v>
      </c>
      <c r="D169" s="45" t="s">
        <v>841</v>
      </c>
      <c r="E169" s="45">
        <v>1.8888888888888888</v>
      </c>
      <c r="F169" s="45">
        <v>0.28971722480162981</v>
      </c>
      <c r="G169" s="45">
        <v>1.94857544195428</v>
      </c>
      <c r="H169" s="45">
        <v>1.4609460189594021</v>
      </c>
    </row>
    <row r="170" spans="1:8" ht="13">
      <c r="A170" s="45" t="s">
        <v>1352</v>
      </c>
      <c r="B170" s="45" t="s">
        <v>444</v>
      </c>
      <c r="C170" s="45" t="s">
        <v>1353</v>
      </c>
      <c r="D170" s="45" t="s">
        <v>152</v>
      </c>
      <c r="E170" s="45">
        <v>1.7777777777777777</v>
      </c>
      <c r="F170" s="45">
        <v>0.25518502114017011</v>
      </c>
      <c r="G170" s="45">
        <v>1.7996374458326421</v>
      </c>
      <c r="H170" s="45">
        <v>1.4605640024564412</v>
      </c>
    </row>
    <row r="171" spans="1:8" ht="13">
      <c r="A171" s="45" t="s">
        <v>1091</v>
      </c>
      <c r="B171" s="45" t="s">
        <v>1092</v>
      </c>
      <c r="C171" s="45" t="s">
        <v>1093</v>
      </c>
      <c r="D171" s="45" t="s">
        <v>372</v>
      </c>
      <c r="E171" s="45">
        <v>1.7777777777777777</v>
      </c>
      <c r="F171" s="45">
        <v>0.25370013652261664</v>
      </c>
      <c r="G171" s="45">
        <v>1.7934948606565868</v>
      </c>
      <c r="H171" s="45">
        <v>1.4572100927396308</v>
      </c>
    </row>
    <row r="172" spans="1:8" ht="13">
      <c r="A172" s="45" t="s">
        <v>1216</v>
      </c>
      <c r="B172" s="45" t="s">
        <v>444</v>
      </c>
      <c r="C172" s="45" t="s">
        <v>1217</v>
      </c>
      <c r="D172" s="45" t="s">
        <v>152</v>
      </c>
      <c r="E172" s="45">
        <v>1.7777777777777777</v>
      </c>
      <c r="F172" s="45">
        <v>0.25294020046369375</v>
      </c>
      <c r="G172" s="45">
        <v>1.7903593161844895</v>
      </c>
      <c r="H172" s="45">
        <v>1.4555050701297614</v>
      </c>
    </row>
    <row r="173" spans="1:8" ht="13">
      <c r="A173" s="45" t="s">
        <v>188</v>
      </c>
      <c r="B173" s="45" t="s">
        <v>189</v>
      </c>
      <c r="C173" s="45" t="s">
        <v>190</v>
      </c>
      <c r="D173" s="45" t="s">
        <v>152</v>
      </c>
      <c r="E173" s="45">
        <v>1.8888888888888888</v>
      </c>
      <c r="F173" s="45">
        <v>0.28724206983372402</v>
      </c>
      <c r="G173" s="45">
        <v>1.9375016000550482</v>
      </c>
      <c r="H173" s="45">
        <v>1.4537802967918996</v>
      </c>
    </row>
    <row r="174" spans="1:8" ht="13">
      <c r="A174" s="45" t="s">
        <v>1262</v>
      </c>
      <c r="B174" s="45" t="s">
        <v>150</v>
      </c>
      <c r="C174" s="45" t="s">
        <v>199</v>
      </c>
      <c r="D174" s="45" t="s">
        <v>152</v>
      </c>
      <c r="E174" s="45">
        <v>1.6666666666666667</v>
      </c>
      <c r="F174" s="45">
        <v>0.19757236116338917</v>
      </c>
      <c r="G174" s="45">
        <v>1.5760586001842609</v>
      </c>
      <c r="H174" s="45">
        <v>1.4524535409520085</v>
      </c>
    </row>
    <row r="175" spans="1:8" ht="13">
      <c r="A175" s="45" t="s">
        <v>977</v>
      </c>
      <c r="B175" s="45" t="s">
        <v>263</v>
      </c>
      <c r="C175" s="45" t="s">
        <v>978</v>
      </c>
      <c r="D175" s="45" t="s">
        <v>177</v>
      </c>
      <c r="E175" s="45">
        <v>1.8888888888888888</v>
      </c>
      <c r="F175" s="45">
        <v>0.28638797775969166</v>
      </c>
      <c r="G175" s="45">
        <v>1.9336950155616275</v>
      </c>
      <c r="H175" s="45">
        <v>1.4513284546646206</v>
      </c>
    </row>
    <row r="176" spans="1:8" ht="13">
      <c r="A176" s="45" t="s">
        <v>697</v>
      </c>
      <c r="B176" s="45" t="s">
        <v>698</v>
      </c>
      <c r="C176" s="45" t="s">
        <v>699</v>
      </c>
      <c r="D176" s="45" t="s">
        <v>355</v>
      </c>
      <c r="E176" s="45">
        <v>2</v>
      </c>
      <c r="F176" s="45">
        <v>0.31163728681558756</v>
      </c>
      <c r="G176" s="45">
        <v>2.0494498085244293</v>
      </c>
      <c r="H176" s="45">
        <v>1.4496016351439318</v>
      </c>
    </row>
    <row r="177" spans="1:8" ht="13">
      <c r="A177" s="45" t="s">
        <v>711</v>
      </c>
      <c r="B177" s="45" t="s">
        <v>237</v>
      </c>
      <c r="C177" s="45" t="s">
        <v>712</v>
      </c>
      <c r="D177" s="45" t="s">
        <v>177</v>
      </c>
      <c r="E177" s="45">
        <v>1.8888888888888888</v>
      </c>
      <c r="F177" s="45">
        <v>0.28463305918377707</v>
      </c>
      <c r="G177" s="45">
        <v>1.9258970112016289</v>
      </c>
      <c r="H177" s="45">
        <v>1.4463240219904658</v>
      </c>
    </row>
    <row r="178" spans="1:8" ht="13">
      <c r="A178" s="45" t="s">
        <v>1128</v>
      </c>
      <c r="B178" s="45" t="s">
        <v>360</v>
      </c>
      <c r="C178" s="45" t="s">
        <v>1129</v>
      </c>
      <c r="D178" s="45" t="s">
        <v>152</v>
      </c>
      <c r="E178" s="45">
        <v>1.7777777777777777</v>
      </c>
      <c r="F178" s="45">
        <v>0.24725658685153565</v>
      </c>
      <c r="G178" s="45">
        <v>1.7670815271813818</v>
      </c>
      <c r="H178" s="45">
        <v>1.4429973076332292</v>
      </c>
    </row>
    <row r="179" spans="1:8" ht="13">
      <c r="A179" s="45" t="s">
        <v>692</v>
      </c>
      <c r="B179" s="45" t="s">
        <v>158</v>
      </c>
      <c r="C179" s="45" t="s">
        <v>693</v>
      </c>
      <c r="D179" s="45" t="s">
        <v>160</v>
      </c>
      <c r="E179" s="45">
        <v>2</v>
      </c>
      <c r="F179" s="45">
        <v>0.30928292025226106</v>
      </c>
      <c r="G179" s="45">
        <v>2.038369536940583</v>
      </c>
      <c r="H179" s="45">
        <v>1.4416002550104521</v>
      </c>
    </row>
    <row r="180" spans="1:8" ht="13">
      <c r="A180" s="45" t="s">
        <v>648</v>
      </c>
      <c r="B180" s="45" t="s">
        <v>158</v>
      </c>
      <c r="C180" s="45" t="s">
        <v>649</v>
      </c>
      <c r="D180" s="45" t="s">
        <v>160</v>
      </c>
      <c r="E180" s="45">
        <v>1.7777777777777777</v>
      </c>
      <c r="F180" s="45">
        <v>0.24550166828251452</v>
      </c>
      <c r="G180" s="45">
        <v>1.7599554244151641</v>
      </c>
      <c r="H180" s="45">
        <v>1.4392218062522051</v>
      </c>
    </row>
    <row r="181" spans="1:8" ht="13">
      <c r="A181" s="45" t="s">
        <v>1144</v>
      </c>
      <c r="B181" s="45" t="s">
        <v>395</v>
      </c>
      <c r="C181" s="45" t="s">
        <v>1145</v>
      </c>
      <c r="D181" s="45" t="s">
        <v>83</v>
      </c>
      <c r="E181" s="45">
        <v>1.7777777777777777</v>
      </c>
      <c r="F181" s="45">
        <v>0.24550166828251452</v>
      </c>
      <c r="G181" s="45">
        <v>1.7599554244151641</v>
      </c>
      <c r="H181" s="45">
        <v>1.4392218062522051</v>
      </c>
    </row>
    <row r="182" spans="1:8" ht="13">
      <c r="A182" s="45" t="s">
        <v>1049</v>
      </c>
      <c r="B182" s="45" t="s">
        <v>429</v>
      </c>
      <c r="C182" s="45" t="s">
        <v>1050</v>
      </c>
      <c r="D182" s="45" t="s">
        <v>152</v>
      </c>
      <c r="E182" s="45">
        <v>1.7777777777777777</v>
      </c>
      <c r="F182" s="45">
        <v>0.24490222029510278</v>
      </c>
      <c r="G182" s="45">
        <v>1.7575278688808205</v>
      </c>
      <c r="H182" s="45">
        <v>1.4379414566055688</v>
      </c>
    </row>
    <row r="183" spans="1:8" ht="13">
      <c r="A183" s="45" t="s">
        <v>1117</v>
      </c>
      <c r="B183" s="45" t="s">
        <v>1092</v>
      </c>
      <c r="C183" s="45" t="s">
        <v>1118</v>
      </c>
      <c r="D183" s="45" t="s">
        <v>372</v>
      </c>
      <c r="E183" s="45">
        <v>1.7777777777777777</v>
      </c>
      <c r="F183" s="45">
        <v>0.24490222029510278</v>
      </c>
      <c r="G183" s="45">
        <v>1.7575278688808205</v>
      </c>
      <c r="H183" s="45">
        <v>1.4379414566055688</v>
      </c>
    </row>
    <row r="184" spans="1:8" ht="13">
      <c r="A184" s="45" t="s">
        <v>1313</v>
      </c>
      <c r="B184" s="45" t="s">
        <v>108</v>
      </c>
      <c r="C184" s="45" t="s">
        <v>1314</v>
      </c>
      <c r="D184" s="45" t="s">
        <v>110</v>
      </c>
      <c r="E184" s="45">
        <v>1.6666666666666667</v>
      </c>
      <c r="F184" s="45">
        <v>0.18680458191855706</v>
      </c>
      <c r="G184" s="45">
        <v>1.537462677533062</v>
      </c>
      <c r="H184" s="45">
        <v>1.4375826611081486</v>
      </c>
    </row>
    <row r="185" spans="1:8" ht="13">
      <c r="A185" s="45" t="s">
        <v>1320</v>
      </c>
      <c r="B185" s="45" t="s">
        <v>1321</v>
      </c>
      <c r="C185" s="45" t="s">
        <v>1322</v>
      </c>
      <c r="D185" s="45" t="s">
        <v>184</v>
      </c>
      <c r="E185" s="45">
        <v>2</v>
      </c>
      <c r="F185" s="45">
        <v>0.30671360926924573</v>
      </c>
      <c r="G185" s="45">
        <v>2.0263460271828193</v>
      </c>
      <c r="H185" s="45">
        <v>1.4329641194091205</v>
      </c>
    </row>
    <row r="186" spans="1:8" ht="13">
      <c r="A186" s="45" t="s">
        <v>462</v>
      </c>
      <c r="B186" s="45" t="s">
        <v>463</v>
      </c>
      <c r="C186" s="45" t="s">
        <v>464</v>
      </c>
      <c r="D186" s="45" t="s">
        <v>184</v>
      </c>
      <c r="E186" s="45">
        <v>1.8888888888888888</v>
      </c>
      <c r="F186" s="45">
        <v>0.27894944557851242</v>
      </c>
      <c r="G186" s="45">
        <v>1.9008569961559401</v>
      </c>
      <c r="H186" s="45">
        <v>1.430423443864673</v>
      </c>
    </row>
    <row r="187" spans="1:8" ht="13">
      <c r="A187" s="45" t="s">
        <v>1284</v>
      </c>
      <c r="B187" s="45" t="s">
        <v>1285</v>
      </c>
      <c r="C187" s="45" t="s">
        <v>1286</v>
      </c>
      <c r="D187" s="45" t="s">
        <v>83</v>
      </c>
      <c r="E187" s="45">
        <v>1.8888888888888888</v>
      </c>
      <c r="F187" s="45">
        <v>0.27894944557851242</v>
      </c>
      <c r="G187" s="45">
        <v>1.9008569961559401</v>
      </c>
      <c r="H187" s="45">
        <v>1.430423443864673</v>
      </c>
    </row>
    <row r="188" spans="1:8" ht="13">
      <c r="A188" s="45" t="s">
        <v>898</v>
      </c>
      <c r="B188" s="45" t="s">
        <v>899</v>
      </c>
      <c r="C188" s="45" t="s">
        <v>900</v>
      </c>
      <c r="D188" s="45" t="s">
        <v>170</v>
      </c>
      <c r="E188" s="45">
        <v>1.7777777777777777</v>
      </c>
      <c r="F188" s="45">
        <v>0.23981805467724998</v>
      </c>
      <c r="G188" s="45">
        <v>1.7370729389807014</v>
      </c>
      <c r="H188" s="45">
        <v>1.4272714100238524</v>
      </c>
    </row>
    <row r="189" spans="1:8" ht="13">
      <c r="A189" s="45" t="s">
        <v>1185</v>
      </c>
      <c r="B189" s="45" t="s">
        <v>483</v>
      </c>
      <c r="C189" s="45" t="s">
        <v>1186</v>
      </c>
      <c r="D189" s="45" t="s">
        <v>286</v>
      </c>
      <c r="E189" s="45">
        <v>1.7777777777777777</v>
      </c>
      <c r="F189" s="45">
        <v>0.23981805467724998</v>
      </c>
      <c r="G189" s="45">
        <v>1.7370729389807014</v>
      </c>
      <c r="H189" s="45">
        <v>1.4272714100238524</v>
      </c>
    </row>
    <row r="190" spans="1:8" ht="13">
      <c r="A190" s="45" t="s">
        <v>1325</v>
      </c>
      <c r="B190" s="45" t="s">
        <v>899</v>
      </c>
      <c r="C190" s="45" t="s">
        <v>1326</v>
      </c>
      <c r="D190" s="45" t="s">
        <v>170</v>
      </c>
      <c r="E190" s="45">
        <v>1.7777777777777777</v>
      </c>
      <c r="F190" s="45">
        <v>0.23981805467724998</v>
      </c>
      <c r="G190" s="45">
        <v>1.7370729389807014</v>
      </c>
      <c r="H190" s="45">
        <v>1.4272714100238524</v>
      </c>
    </row>
    <row r="191" spans="1:8" ht="13">
      <c r="A191" s="45" t="s">
        <v>953</v>
      </c>
      <c r="B191" s="45" t="s">
        <v>954</v>
      </c>
      <c r="C191" s="45" t="s">
        <v>955</v>
      </c>
      <c r="D191" s="45" t="s">
        <v>160</v>
      </c>
      <c r="E191" s="45">
        <v>1.8888888888888888</v>
      </c>
      <c r="F191" s="45">
        <v>0.27619126960338736</v>
      </c>
      <c r="G191" s="45">
        <v>1.8888230310620857</v>
      </c>
      <c r="H191" s="45">
        <v>1.4228753570783921</v>
      </c>
    </row>
    <row r="192" spans="1:8" ht="13">
      <c r="A192" s="45" t="s">
        <v>1270</v>
      </c>
      <c r="B192" s="45" t="s">
        <v>1271</v>
      </c>
      <c r="C192" s="45" t="s">
        <v>396</v>
      </c>
      <c r="D192" s="45" t="s">
        <v>83</v>
      </c>
      <c r="E192" s="45">
        <v>2</v>
      </c>
      <c r="F192" s="45">
        <v>0.30359930664699647</v>
      </c>
      <c r="G192" s="45">
        <v>2.0118671831922796</v>
      </c>
      <c r="H192" s="45">
        <v>1.4226296764869903</v>
      </c>
    </row>
    <row r="193" spans="1:8" ht="13">
      <c r="A193" s="45" t="s">
        <v>564</v>
      </c>
      <c r="B193" s="45" t="s">
        <v>565</v>
      </c>
      <c r="C193" s="45" t="s">
        <v>120</v>
      </c>
      <c r="D193" s="45" t="s">
        <v>160</v>
      </c>
      <c r="E193" s="45">
        <v>1.8888888888888888</v>
      </c>
      <c r="F193" s="45">
        <v>0.27475071659080136</v>
      </c>
      <c r="G193" s="45">
        <v>1.8825681921987845</v>
      </c>
      <c r="H193" s="45">
        <v>1.4189765731384005</v>
      </c>
    </row>
    <row r="194" spans="1:8" ht="13">
      <c r="A194" s="45" t="s">
        <v>1011</v>
      </c>
      <c r="B194" s="45" t="s">
        <v>429</v>
      </c>
      <c r="C194" s="45" t="s">
        <v>1012</v>
      </c>
      <c r="D194" s="45" t="s">
        <v>152</v>
      </c>
      <c r="E194" s="45">
        <v>1.7777777777777777</v>
      </c>
      <c r="F194" s="45">
        <v>0.23413444107198536</v>
      </c>
      <c r="G194" s="45">
        <v>1.7144879657061456</v>
      </c>
      <c r="H194" s="45">
        <v>1.4157401645897929</v>
      </c>
    </row>
    <row r="195" spans="1:8" ht="13">
      <c r="A195" s="45" t="s">
        <v>995</v>
      </c>
      <c r="B195" s="45" t="s">
        <v>268</v>
      </c>
      <c r="C195" s="45" t="s">
        <v>996</v>
      </c>
      <c r="D195" s="45" t="s">
        <v>184</v>
      </c>
      <c r="E195" s="45">
        <v>1.8888888888888888</v>
      </c>
      <c r="F195" s="45">
        <v>0.27326583197324783</v>
      </c>
      <c r="G195" s="45">
        <v>1.876142544912387</v>
      </c>
      <c r="H195" s="45">
        <v>1.4149889258365671</v>
      </c>
    </row>
    <row r="196" spans="1:8" ht="13">
      <c r="A196" s="45" t="s">
        <v>522</v>
      </c>
      <c r="B196" s="45" t="s">
        <v>499</v>
      </c>
      <c r="C196" s="45" t="s">
        <v>523</v>
      </c>
      <c r="D196" s="45" t="s">
        <v>277</v>
      </c>
      <c r="E196" s="45">
        <v>1.7777777777777777</v>
      </c>
      <c r="F196" s="45">
        <v>0.23337450501306256</v>
      </c>
      <c r="G196" s="45">
        <v>1.7114905479932347</v>
      </c>
      <c r="H196" s="45">
        <v>1.4142298117270546</v>
      </c>
    </row>
    <row r="197" spans="1:8" ht="13">
      <c r="A197" s="45" t="s">
        <v>428</v>
      </c>
      <c r="B197" s="45" t="s">
        <v>429</v>
      </c>
      <c r="C197" s="45" t="s">
        <v>430</v>
      </c>
      <c r="D197" s="45" t="s">
        <v>152</v>
      </c>
      <c r="E197" s="45">
        <v>1.7777777777777777</v>
      </c>
      <c r="F197" s="45">
        <v>0.22979842908290685</v>
      </c>
      <c r="G197" s="45">
        <v>1.6974556224115793</v>
      </c>
      <c r="H197" s="45">
        <v>1.4072211999992577</v>
      </c>
    </row>
    <row r="198" spans="1:8" ht="13">
      <c r="A198" s="45" t="s">
        <v>1205</v>
      </c>
      <c r="B198" s="45" t="s">
        <v>237</v>
      </c>
      <c r="C198" s="45" t="s">
        <v>1206</v>
      </c>
      <c r="D198" s="45" t="s">
        <v>177</v>
      </c>
      <c r="E198" s="45">
        <v>1.8888888888888888</v>
      </c>
      <c r="F198" s="45">
        <v>0.27015152935099862</v>
      </c>
      <c r="G198" s="45">
        <v>1.8627369493983936</v>
      </c>
      <c r="H198" s="45">
        <v>1.4067277437698507</v>
      </c>
    </row>
    <row r="199" spans="1:8" ht="13">
      <c r="A199" s="45" t="s">
        <v>321</v>
      </c>
      <c r="B199" s="45" t="s">
        <v>101</v>
      </c>
      <c r="C199" s="45" t="s">
        <v>322</v>
      </c>
      <c r="D199" s="45" t="s">
        <v>83</v>
      </c>
      <c r="E199" s="45">
        <v>2</v>
      </c>
      <c r="F199" s="45">
        <v>0.29851514102914373</v>
      </c>
      <c r="G199" s="45">
        <v>1.9884521336051837</v>
      </c>
      <c r="H199" s="45">
        <v>1.4060716981820807</v>
      </c>
    </row>
    <row r="200" spans="1:8" ht="13">
      <c r="A200" s="45" t="s">
        <v>416</v>
      </c>
      <c r="B200" s="45" t="s">
        <v>417</v>
      </c>
      <c r="C200" s="45" t="s">
        <v>418</v>
      </c>
      <c r="D200" s="45" t="s">
        <v>184</v>
      </c>
      <c r="E200" s="45">
        <v>2</v>
      </c>
      <c r="F200" s="45">
        <v>0.29851514102914373</v>
      </c>
      <c r="G200" s="45">
        <v>1.9884521336051837</v>
      </c>
      <c r="H200" s="45">
        <v>1.4060716981820807</v>
      </c>
    </row>
    <row r="201" spans="1:8" ht="13">
      <c r="A201" s="45" t="s">
        <v>830</v>
      </c>
      <c r="B201" s="45" t="s">
        <v>205</v>
      </c>
      <c r="C201" s="45" t="s">
        <v>831</v>
      </c>
      <c r="D201" s="45" t="s">
        <v>184</v>
      </c>
      <c r="E201" s="45">
        <v>2</v>
      </c>
      <c r="F201" s="45">
        <v>0.29851514102914373</v>
      </c>
      <c r="G201" s="45">
        <v>1.9884521336051837</v>
      </c>
      <c r="H201" s="45">
        <v>1.4060716981820807</v>
      </c>
    </row>
    <row r="202" spans="1:8" ht="13">
      <c r="A202" s="45" t="s">
        <v>451</v>
      </c>
      <c r="B202" s="45" t="s">
        <v>452</v>
      </c>
      <c r="C202" s="45" t="s">
        <v>453</v>
      </c>
      <c r="D202" s="45" t="s">
        <v>277</v>
      </c>
      <c r="E202" s="45">
        <v>1.7777777777777777</v>
      </c>
      <c r="F202" s="45">
        <v>0.2274208574494368</v>
      </c>
      <c r="G202" s="45">
        <v>1.6881881887720407</v>
      </c>
      <c r="H202" s="45">
        <v>1.402651112593281</v>
      </c>
    </row>
    <row r="203" spans="1:8" ht="13">
      <c r="A203" s="45" t="s">
        <v>505</v>
      </c>
      <c r="B203" s="45" t="s">
        <v>395</v>
      </c>
      <c r="C203" s="45" t="s">
        <v>506</v>
      </c>
      <c r="D203" s="45" t="s">
        <v>83</v>
      </c>
      <c r="E203" s="45">
        <v>1.7777777777777777</v>
      </c>
      <c r="F203" s="45">
        <v>0.22593597283188332</v>
      </c>
      <c r="G203" s="45">
        <v>1.682426006079768</v>
      </c>
      <c r="H203" s="45">
        <v>1.3998329951347093</v>
      </c>
    </row>
    <row r="204" spans="1:8" ht="13">
      <c r="A204" s="45" t="s">
        <v>1097</v>
      </c>
      <c r="B204" s="45" t="s">
        <v>395</v>
      </c>
      <c r="C204" s="45" t="s">
        <v>1098</v>
      </c>
      <c r="D204" s="45" t="s">
        <v>83</v>
      </c>
      <c r="E204" s="45">
        <v>1.7777777777777777</v>
      </c>
      <c r="F204" s="45">
        <v>0.22593597283188332</v>
      </c>
      <c r="G204" s="45">
        <v>1.682426006079768</v>
      </c>
      <c r="H204" s="45">
        <v>1.3998329951347093</v>
      </c>
    </row>
    <row r="205" spans="1:8" ht="13">
      <c r="A205" s="45" t="s">
        <v>1111</v>
      </c>
      <c r="B205" s="45" t="s">
        <v>263</v>
      </c>
      <c r="C205" s="45" t="s">
        <v>1112</v>
      </c>
      <c r="D205" s="45" t="s">
        <v>177</v>
      </c>
      <c r="E205" s="45">
        <v>1.7777777777777777</v>
      </c>
      <c r="F205" s="45">
        <v>0.22593597283188332</v>
      </c>
      <c r="G205" s="45">
        <v>1.682426006079768</v>
      </c>
      <c r="H205" s="45">
        <v>1.3998329951347093</v>
      </c>
    </row>
    <row r="206" spans="1:8" ht="13">
      <c r="A206" s="45" t="s">
        <v>1170</v>
      </c>
      <c r="B206" s="45" t="s">
        <v>349</v>
      </c>
      <c r="C206" s="45" t="s">
        <v>1171</v>
      </c>
      <c r="D206" s="45" t="s">
        <v>318</v>
      </c>
      <c r="E206" s="45">
        <v>1.7777777777777777</v>
      </c>
      <c r="F206" s="45">
        <v>0.22593597283188332</v>
      </c>
      <c r="G206" s="45">
        <v>1.682426006079768</v>
      </c>
      <c r="H206" s="45">
        <v>1.3998329951347093</v>
      </c>
    </row>
    <row r="207" spans="1:8" ht="13">
      <c r="A207" s="45" t="s">
        <v>1108</v>
      </c>
      <c r="B207" s="45" t="s">
        <v>1016</v>
      </c>
      <c r="C207" s="45" t="s">
        <v>1109</v>
      </c>
      <c r="D207" s="45" t="s">
        <v>160</v>
      </c>
      <c r="E207" s="45">
        <v>1.8888888888888888</v>
      </c>
      <c r="F207" s="45">
        <v>0.26682228230216687</v>
      </c>
      <c r="G207" s="45">
        <v>1.8485120343528814</v>
      </c>
      <c r="H207" s="45">
        <v>1.3980488452397626</v>
      </c>
    </row>
    <row r="208" spans="1:8" ht="13">
      <c r="A208" s="45" t="s">
        <v>1317</v>
      </c>
      <c r="B208" s="45" t="s">
        <v>237</v>
      </c>
      <c r="C208" s="45" t="s">
        <v>1318</v>
      </c>
      <c r="D208" s="45" t="s">
        <v>177</v>
      </c>
      <c r="E208" s="45">
        <v>1.8888888888888888</v>
      </c>
      <c r="F208" s="45">
        <v>0.26682228230216687</v>
      </c>
      <c r="G208" s="45">
        <v>1.8485120343528814</v>
      </c>
      <c r="H208" s="45">
        <v>1.3980488452397626</v>
      </c>
    </row>
    <row r="209" spans="1:8" ht="13">
      <c r="A209" s="45" t="s">
        <v>816</v>
      </c>
      <c r="B209" s="45" t="s">
        <v>817</v>
      </c>
      <c r="C209" s="45" t="s">
        <v>818</v>
      </c>
      <c r="D209" s="45" t="s">
        <v>819</v>
      </c>
      <c r="E209" s="45">
        <v>1.7777777777777777</v>
      </c>
      <c r="F209" s="45">
        <v>0.22282167020963403</v>
      </c>
      <c r="G209" s="45">
        <v>1.6704045727505736</v>
      </c>
      <c r="H209" s="45">
        <v>1.3940119983912285</v>
      </c>
    </row>
    <row r="210" spans="1:8" ht="13">
      <c r="A210" s="45" t="s">
        <v>745</v>
      </c>
      <c r="B210" s="45" t="s">
        <v>386</v>
      </c>
      <c r="C210" s="45" t="s">
        <v>304</v>
      </c>
      <c r="D210" s="45" t="s">
        <v>170</v>
      </c>
      <c r="E210" s="45">
        <v>1.7777777777777777</v>
      </c>
      <c r="F210" s="45">
        <v>0.22173724384417223</v>
      </c>
      <c r="G210" s="45">
        <v>1.6662388023817318</v>
      </c>
      <c r="H210" s="45">
        <v>1.3920133987476098</v>
      </c>
    </row>
    <row r="211" spans="1:8" ht="13">
      <c r="A211" s="45" t="s">
        <v>1276</v>
      </c>
      <c r="B211" s="45" t="s">
        <v>392</v>
      </c>
      <c r="C211" s="45" t="s">
        <v>1277</v>
      </c>
      <c r="D211" s="45" t="s">
        <v>110</v>
      </c>
      <c r="E211" s="45">
        <v>1.7777777777777777</v>
      </c>
      <c r="F211" s="45">
        <v>0.22025235921455499</v>
      </c>
      <c r="G211" s="45">
        <v>1.6605515380530249</v>
      </c>
      <c r="H211" s="45">
        <v>1.3893003616633965</v>
      </c>
    </row>
    <row r="212" spans="1:8" ht="13">
      <c r="A212" s="45" t="s">
        <v>1222</v>
      </c>
      <c r="B212" s="45" t="s">
        <v>463</v>
      </c>
      <c r="C212" s="45" t="s">
        <v>1223</v>
      </c>
      <c r="D212" s="45" t="s">
        <v>184</v>
      </c>
      <c r="E212" s="45">
        <v>1.8888888888888888</v>
      </c>
      <c r="F212" s="45">
        <v>0.26324620637890478</v>
      </c>
      <c r="G212" s="45">
        <v>1.8333534763231274</v>
      </c>
      <c r="H212" s="45">
        <v>1.3889009747762471</v>
      </c>
    </row>
    <row r="213" spans="1:8" ht="13">
      <c r="A213" s="45" t="s">
        <v>1173</v>
      </c>
      <c r="B213" s="45" t="s">
        <v>124</v>
      </c>
      <c r="C213" s="45" t="s">
        <v>1174</v>
      </c>
      <c r="D213" s="45" t="s">
        <v>83</v>
      </c>
      <c r="E213" s="45">
        <v>2</v>
      </c>
      <c r="F213" s="45">
        <v>0.29283152742387908</v>
      </c>
      <c r="G213" s="45">
        <v>1.9625987930301132</v>
      </c>
      <c r="H213" s="45">
        <v>1.3880188890440326</v>
      </c>
    </row>
    <row r="214" spans="1:8" ht="13">
      <c r="A214" s="45" t="s">
        <v>834</v>
      </c>
      <c r="B214" s="45" t="s">
        <v>835</v>
      </c>
      <c r="C214" s="45" t="s">
        <v>836</v>
      </c>
      <c r="D214" s="45" t="s">
        <v>83</v>
      </c>
      <c r="E214" s="45">
        <v>2</v>
      </c>
      <c r="F214" s="45">
        <v>0.2928315274118154</v>
      </c>
      <c r="G214" s="45">
        <v>1.9625987929755968</v>
      </c>
      <c r="H214" s="45">
        <v>1.3880188890062253</v>
      </c>
    </row>
    <row r="215" spans="1:8" ht="13">
      <c r="A215" s="45" t="s">
        <v>741</v>
      </c>
      <c r="B215" s="45" t="s">
        <v>742</v>
      </c>
      <c r="C215" s="45" t="s">
        <v>117</v>
      </c>
      <c r="D215" s="45" t="s">
        <v>83</v>
      </c>
      <c r="E215" s="45">
        <v>1.7777777777777777</v>
      </c>
      <c r="F215" s="45">
        <v>0.21949242318148299</v>
      </c>
      <c r="G215" s="45">
        <v>1.6576484168158081</v>
      </c>
      <c r="H215" s="45">
        <v>1.3879224043995277</v>
      </c>
    </row>
    <row r="216" spans="1:8" ht="13">
      <c r="A216" s="45" t="s">
        <v>1138</v>
      </c>
      <c r="B216" s="45" t="s">
        <v>1139</v>
      </c>
      <c r="C216" s="45" t="s">
        <v>1140</v>
      </c>
      <c r="D216" s="45" t="s">
        <v>1141</v>
      </c>
      <c r="E216" s="45">
        <v>1.7777777777777777</v>
      </c>
      <c r="F216" s="45">
        <v>0.2194924231676959</v>
      </c>
      <c r="G216" s="45">
        <v>1.6576484167631844</v>
      </c>
      <c r="H216" s="45">
        <v>1.3879224043745928</v>
      </c>
    </row>
    <row r="217" spans="1:8" ht="13">
      <c r="A217" s="45" t="s">
        <v>513</v>
      </c>
      <c r="B217" s="45" t="s">
        <v>395</v>
      </c>
      <c r="C217" s="45" t="s">
        <v>514</v>
      </c>
      <c r="D217" s="45" t="s">
        <v>83</v>
      </c>
      <c r="E217" s="45">
        <v>1.8888888888888888</v>
      </c>
      <c r="F217" s="45">
        <v>0.25938375011581744</v>
      </c>
      <c r="G217" s="45">
        <v>1.8171205927816638</v>
      </c>
      <c r="H217" s="45">
        <v>1.3792222316879996</v>
      </c>
    </row>
    <row r="218" spans="1:8" ht="13">
      <c r="A218" s="45" t="s">
        <v>634</v>
      </c>
      <c r="B218" s="45" t="s">
        <v>635</v>
      </c>
      <c r="C218" s="45" t="s">
        <v>636</v>
      </c>
      <c r="D218" s="45" t="s">
        <v>637</v>
      </c>
      <c r="E218" s="45">
        <v>2</v>
      </c>
      <c r="F218" s="45">
        <v>0.28971722480162987</v>
      </c>
      <c r="G218" s="45">
        <v>1.9485754419542802</v>
      </c>
      <c r="H218" s="45">
        <v>1.3783306457736322</v>
      </c>
    </row>
    <row r="219" spans="1:8" ht="13">
      <c r="A219" s="45" t="s">
        <v>947</v>
      </c>
      <c r="B219" s="45" t="s">
        <v>237</v>
      </c>
      <c r="C219" s="45" t="s">
        <v>948</v>
      </c>
      <c r="D219" s="45" t="s">
        <v>177</v>
      </c>
      <c r="E219" s="45">
        <v>1.7777777777777777</v>
      </c>
      <c r="F219" s="45">
        <v>0.20929571501706862</v>
      </c>
      <c r="G219" s="45">
        <v>1.6191821780734417</v>
      </c>
      <c r="H219" s="45">
        <v>1.3701144952658513</v>
      </c>
    </row>
    <row r="220" spans="1:8" ht="13">
      <c r="A220" s="45" t="s">
        <v>992</v>
      </c>
      <c r="B220" s="45" t="s">
        <v>386</v>
      </c>
      <c r="C220" s="45" t="s">
        <v>982</v>
      </c>
      <c r="D220" s="45" t="s">
        <v>170</v>
      </c>
      <c r="E220" s="45">
        <v>1.8888888888888888</v>
      </c>
      <c r="F220" s="45">
        <v>0.25370013652261664</v>
      </c>
      <c r="G220" s="45">
        <v>1.7934948606565868</v>
      </c>
      <c r="H220" s="45">
        <v>1.3653578267703248</v>
      </c>
    </row>
    <row r="221" spans="1:8" ht="13">
      <c r="A221" s="45" t="s">
        <v>1085</v>
      </c>
      <c r="B221" s="45" t="s">
        <v>94</v>
      </c>
      <c r="C221" s="45" t="s">
        <v>1086</v>
      </c>
      <c r="D221" s="45" t="s">
        <v>83</v>
      </c>
      <c r="E221" s="45">
        <v>1.8888888888888888</v>
      </c>
      <c r="F221" s="45">
        <v>0.25294020046369375</v>
      </c>
      <c r="G221" s="45">
        <v>1.7903593161844895</v>
      </c>
      <c r="H221" s="45">
        <v>1.3635379532356926</v>
      </c>
    </row>
    <row r="222" spans="1:8" ht="13">
      <c r="A222" s="45" t="s">
        <v>198</v>
      </c>
      <c r="B222" s="45" t="s">
        <v>130</v>
      </c>
      <c r="C222" s="45" t="s">
        <v>199</v>
      </c>
      <c r="D222" s="45" t="s">
        <v>132</v>
      </c>
      <c r="E222" s="45">
        <v>1.8888888888888888</v>
      </c>
      <c r="F222" s="45">
        <v>0.25058583390036732</v>
      </c>
      <c r="G222" s="45">
        <v>1.7806798073848689</v>
      </c>
      <c r="H222" s="45">
        <v>1.3579502431580635</v>
      </c>
    </row>
    <row r="223" spans="1:8" ht="13">
      <c r="A223" s="45" t="s">
        <v>369</v>
      </c>
      <c r="B223" s="45" t="s">
        <v>370</v>
      </c>
      <c r="C223" s="45" t="s">
        <v>371</v>
      </c>
      <c r="D223" s="45" t="s">
        <v>372</v>
      </c>
      <c r="E223" s="45">
        <v>1.8888888888888888</v>
      </c>
      <c r="F223" s="45">
        <v>0.25058583390036732</v>
      </c>
      <c r="G223" s="45">
        <v>1.7806798073848689</v>
      </c>
      <c r="H223" s="45">
        <v>1.3579502431580635</v>
      </c>
    </row>
    <row r="224" spans="1:8" ht="13">
      <c r="A224" s="45" t="s">
        <v>399</v>
      </c>
      <c r="B224" s="45" t="s">
        <v>353</v>
      </c>
      <c r="C224" s="45" t="s">
        <v>400</v>
      </c>
      <c r="D224" s="45" t="s">
        <v>355</v>
      </c>
      <c r="E224" s="45">
        <v>1.8888888888888888</v>
      </c>
      <c r="F224" s="45">
        <v>0.24550166828251452</v>
      </c>
      <c r="G224" s="45">
        <v>1.7599554244151641</v>
      </c>
      <c r="H224" s="45">
        <v>1.3461426924113951</v>
      </c>
    </row>
    <row r="225" spans="1:8" ht="13">
      <c r="A225" s="45" t="s">
        <v>1015</v>
      </c>
      <c r="B225" s="45" t="s">
        <v>1016</v>
      </c>
      <c r="C225" s="45" t="s">
        <v>1017</v>
      </c>
      <c r="D225" s="45" t="s">
        <v>160</v>
      </c>
      <c r="E225" s="45">
        <v>1.8888888888888888</v>
      </c>
      <c r="F225" s="45">
        <v>0.24550166828251452</v>
      </c>
      <c r="G225" s="45">
        <v>1.7599554244151641</v>
      </c>
      <c r="H225" s="45">
        <v>1.3461426924113951</v>
      </c>
    </row>
    <row r="226" spans="1:8" ht="13">
      <c r="A226" s="45" t="s">
        <v>1267</v>
      </c>
      <c r="B226" s="45" t="s">
        <v>205</v>
      </c>
      <c r="C226" s="45" t="s">
        <v>1268</v>
      </c>
      <c r="D226" s="45" t="s">
        <v>184</v>
      </c>
      <c r="E226" s="45">
        <v>1.8888888888888888</v>
      </c>
      <c r="F226" s="45">
        <v>0.24550166828251452</v>
      </c>
      <c r="G226" s="45">
        <v>1.7599554244151641</v>
      </c>
      <c r="H226" s="45">
        <v>1.3461426924113951</v>
      </c>
    </row>
    <row r="227" spans="1:8" ht="13">
      <c r="A227" s="45" t="s">
        <v>889</v>
      </c>
      <c r="B227" s="45" t="s">
        <v>81</v>
      </c>
      <c r="C227" s="45" t="s">
        <v>890</v>
      </c>
      <c r="D227" s="45" t="s">
        <v>83</v>
      </c>
      <c r="E227" s="45">
        <v>1.7777777777777777</v>
      </c>
      <c r="F227" s="45">
        <v>0.19248819553588539</v>
      </c>
      <c r="G227" s="45">
        <v>1.5577156943237602</v>
      </c>
      <c r="H227" s="45">
        <v>1.3434559747862456</v>
      </c>
    </row>
    <row r="228" spans="1:8" ht="13">
      <c r="A228" s="45" t="s">
        <v>116</v>
      </c>
      <c r="B228" s="45" t="s">
        <v>94</v>
      </c>
      <c r="C228" s="45" t="s">
        <v>117</v>
      </c>
      <c r="D228" s="45" t="s">
        <v>83</v>
      </c>
      <c r="E228" s="45">
        <v>2</v>
      </c>
      <c r="F228" s="45">
        <v>0.27583514295626316</v>
      </c>
      <c r="G228" s="45">
        <v>1.8872748085500397</v>
      </c>
      <c r="H228" s="45">
        <v>1.3368831608960858</v>
      </c>
    </row>
    <row r="229" spans="1:8" ht="13">
      <c r="A229" s="45" t="s">
        <v>299</v>
      </c>
      <c r="B229" s="45" t="s">
        <v>94</v>
      </c>
      <c r="C229" s="45" t="s">
        <v>300</v>
      </c>
      <c r="D229" s="45" t="s">
        <v>83</v>
      </c>
      <c r="E229" s="45">
        <v>2</v>
      </c>
      <c r="F229" s="45">
        <v>0.27583514295626316</v>
      </c>
      <c r="G229" s="45">
        <v>1.8872748085500397</v>
      </c>
      <c r="H229" s="45">
        <v>1.3368831608960858</v>
      </c>
    </row>
    <row r="230" spans="1:8" ht="13">
      <c r="A230" s="45" t="s">
        <v>967</v>
      </c>
      <c r="B230" s="45" t="s">
        <v>968</v>
      </c>
      <c r="C230" s="45" t="s">
        <v>969</v>
      </c>
      <c r="D230" s="45" t="s">
        <v>970</v>
      </c>
      <c r="E230" s="45">
        <v>1.7777777777777777</v>
      </c>
      <c r="F230" s="45">
        <v>0.1868045819306208</v>
      </c>
      <c r="G230" s="45">
        <v>1.5374626775757694</v>
      </c>
      <c r="H230" s="45">
        <v>1.3351753780986013</v>
      </c>
    </row>
    <row r="231" spans="1:8" ht="13">
      <c r="A231" s="45" t="s">
        <v>959</v>
      </c>
      <c r="B231" s="45" t="s">
        <v>929</v>
      </c>
      <c r="C231" s="45" t="s">
        <v>530</v>
      </c>
      <c r="D231" s="45" t="s">
        <v>83</v>
      </c>
      <c r="E231" s="45">
        <v>1.8888888888888888</v>
      </c>
      <c r="F231" s="45">
        <v>0.23981805467724998</v>
      </c>
      <c r="G231" s="45">
        <v>1.7370729389807014</v>
      </c>
      <c r="H231" s="45">
        <v>1.333358323412059</v>
      </c>
    </row>
    <row r="232" spans="1:8" ht="13">
      <c r="A232" s="45" t="s">
        <v>1042</v>
      </c>
      <c r="B232" s="45" t="s">
        <v>1043</v>
      </c>
      <c r="C232" s="45" t="s">
        <v>169</v>
      </c>
      <c r="D232" s="45" t="s">
        <v>152</v>
      </c>
      <c r="E232" s="45">
        <v>1.8888888888888888</v>
      </c>
      <c r="F232" s="45">
        <v>0.23981805467724998</v>
      </c>
      <c r="G232" s="45">
        <v>1.7370729389807014</v>
      </c>
      <c r="H232" s="45">
        <v>1.333358323412059</v>
      </c>
    </row>
    <row r="233" spans="1:8" ht="13">
      <c r="A233" s="45" t="s">
        <v>467</v>
      </c>
      <c r="B233" s="45" t="s">
        <v>182</v>
      </c>
      <c r="C233" s="45" t="s">
        <v>468</v>
      </c>
      <c r="D233" s="45" t="s">
        <v>184</v>
      </c>
      <c r="E233" s="45">
        <v>1.8888888888888888</v>
      </c>
      <c r="F233" s="45">
        <v>0.23981805466518624</v>
      </c>
      <c r="G233" s="45">
        <v>1.7370729389324493</v>
      </c>
      <c r="H233" s="45">
        <v>1.3333583233853854</v>
      </c>
    </row>
    <row r="234" spans="1:8" ht="13">
      <c r="A234" s="45" t="s">
        <v>1057</v>
      </c>
      <c r="B234" s="45" t="s">
        <v>158</v>
      </c>
      <c r="C234" s="45" t="s">
        <v>1058</v>
      </c>
      <c r="D234" s="45" t="s">
        <v>160</v>
      </c>
      <c r="E234" s="45">
        <v>2</v>
      </c>
      <c r="F234" s="45">
        <v>0.27326583197324783</v>
      </c>
      <c r="G234" s="45">
        <v>1.876142544912387</v>
      </c>
      <c r="H234" s="45">
        <v>1.329520875731387</v>
      </c>
    </row>
    <row r="235" spans="1:8" ht="13">
      <c r="A235" s="45" t="s">
        <v>800</v>
      </c>
      <c r="B235" s="45" t="s">
        <v>124</v>
      </c>
      <c r="C235" s="45" t="s">
        <v>801</v>
      </c>
      <c r="D235" s="45" t="s">
        <v>83</v>
      </c>
      <c r="E235" s="45">
        <v>2.1111111111111112</v>
      </c>
      <c r="F235" s="45">
        <v>0.29851514102914373</v>
      </c>
      <c r="G235" s="45">
        <v>1.9884521336051837</v>
      </c>
      <c r="H235" s="45">
        <v>1.3293461088891649</v>
      </c>
    </row>
    <row r="236" spans="1:8" ht="13">
      <c r="A236" s="45" t="s">
        <v>879</v>
      </c>
      <c r="B236" s="45" t="s">
        <v>429</v>
      </c>
      <c r="C236" s="45" t="s">
        <v>880</v>
      </c>
      <c r="D236" s="45" t="s">
        <v>152</v>
      </c>
      <c r="E236" s="45">
        <v>1.7777777777777777</v>
      </c>
      <c r="F236" s="45">
        <v>0.18260585294290971</v>
      </c>
      <c r="G236" s="45">
        <v>1.5226702163025172</v>
      </c>
      <c r="H236" s="45">
        <v>1.3292897786049314</v>
      </c>
    </row>
    <row r="237" spans="1:8" ht="13">
      <c r="A237" s="45" t="s">
        <v>352</v>
      </c>
      <c r="B237" s="45" t="s">
        <v>353</v>
      </c>
      <c r="C237" s="45" t="s">
        <v>354</v>
      </c>
      <c r="D237" s="45" t="s">
        <v>355</v>
      </c>
      <c r="E237" s="45">
        <v>2</v>
      </c>
      <c r="F237" s="45">
        <v>0.272505895914325</v>
      </c>
      <c r="G237" s="45">
        <v>1.8728625085350243</v>
      </c>
      <c r="H237" s="45">
        <v>1.3273616533582908</v>
      </c>
    </row>
    <row r="238" spans="1:8" ht="13">
      <c r="A238" s="45" t="s">
        <v>682</v>
      </c>
      <c r="B238" s="45" t="s">
        <v>222</v>
      </c>
      <c r="C238" s="45" t="s">
        <v>683</v>
      </c>
      <c r="D238" s="45" t="s">
        <v>224</v>
      </c>
      <c r="E238" s="45">
        <v>1.8888888888888888</v>
      </c>
      <c r="F238" s="45">
        <v>0.23670375206465166</v>
      </c>
      <c r="G238" s="45">
        <v>1.7246610371294684</v>
      </c>
      <c r="H238" s="45">
        <v>1.3265374174775941</v>
      </c>
    </row>
    <row r="239" spans="1:8" ht="13">
      <c r="A239" s="45" t="s">
        <v>525</v>
      </c>
      <c r="B239" s="45" t="s">
        <v>205</v>
      </c>
      <c r="C239" s="45" t="s">
        <v>526</v>
      </c>
      <c r="D239" s="45" t="s">
        <v>184</v>
      </c>
      <c r="E239" s="45">
        <v>1.8888888888888888</v>
      </c>
      <c r="F239" s="45">
        <v>0.23670375206465166</v>
      </c>
      <c r="G239" s="45">
        <v>1.7246610371294684</v>
      </c>
      <c r="H239" s="45">
        <v>1.3265374174775941</v>
      </c>
    </row>
    <row r="240" spans="1:8" ht="13">
      <c r="A240" s="45" t="s">
        <v>1034</v>
      </c>
      <c r="B240" s="45" t="s">
        <v>1035</v>
      </c>
      <c r="C240" s="45" t="s">
        <v>1036</v>
      </c>
      <c r="D240" s="45" t="s">
        <v>277</v>
      </c>
      <c r="E240" s="45">
        <v>1.7777777777777777</v>
      </c>
      <c r="F240" s="45">
        <v>0.17292250008525414</v>
      </c>
      <c r="G240" s="45">
        <v>1.4890953247181091</v>
      </c>
      <c r="H240" s="45">
        <v>1.3164503018173301</v>
      </c>
    </row>
    <row r="241" spans="1:8" ht="13">
      <c r="A241" s="45" t="s">
        <v>221</v>
      </c>
      <c r="B241" s="45" t="s">
        <v>222</v>
      </c>
      <c r="C241" s="45" t="s">
        <v>223</v>
      </c>
      <c r="D241" s="45" t="s">
        <v>224</v>
      </c>
      <c r="E241" s="45">
        <v>1.8888888888888888</v>
      </c>
      <c r="F241" s="45">
        <v>0.23161958643714786</v>
      </c>
      <c r="G241" s="45">
        <v>1.7045886267243979</v>
      </c>
      <c r="H241" s="45">
        <v>1.3156796852364716</v>
      </c>
    </row>
    <row r="242" spans="1:8" ht="13">
      <c r="A242" s="45" t="s">
        <v>233</v>
      </c>
      <c r="B242" s="45" t="s">
        <v>218</v>
      </c>
      <c r="C242" s="45" t="s">
        <v>234</v>
      </c>
      <c r="D242" s="45" t="s">
        <v>83</v>
      </c>
      <c r="E242" s="45">
        <v>2</v>
      </c>
      <c r="F242" s="45">
        <v>0.26506736373314577</v>
      </c>
      <c r="G242" s="45">
        <v>1.841057547098748</v>
      </c>
      <c r="H242" s="45">
        <v>1.3066666742255895</v>
      </c>
    </row>
    <row r="243" spans="1:8" ht="13">
      <c r="A243" s="45" t="s">
        <v>1089</v>
      </c>
      <c r="B243" s="45" t="s">
        <v>94</v>
      </c>
      <c r="C243" s="45" t="s">
        <v>1090</v>
      </c>
      <c r="D243" s="45" t="s">
        <v>83</v>
      </c>
      <c r="E243" s="45">
        <v>2</v>
      </c>
      <c r="F243" s="45">
        <v>0.26506736373314577</v>
      </c>
      <c r="G243" s="45">
        <v>1.841057547098748</v>
      </c>
      <c r="H243" s="45">
        <v>1.3066666742255895</v>
      </c>
    </row>
    <row r="244" spans="1:8" ht="13">
      <c r="A244" s="45" t="s">
        <v>107</v>
      </c>
      <c r="B244" s="45" t="s">
        <v>108</v>
      </c>
      <c r="C244" s="45" t="s">
        <v>109</v>
      </c>
      <c r="D244" s="45" t="s">
        <v>1386</v>
      </c>
      <c r="E244" s="45">
        <v>1.8888888888888888</v>
      </c>
      <c r="F244" s="45">
        <v>0.22282167020963403</v>
      </c>
      <c r="G244" s="45">
        <v>1.6704045727505736</v>
      </c>
      <c r="H244" s="45">
        <v>1.2976941829257953</v>
      </c>
    </row>
    <row r="245" spans="1:8" ht="13">
      <c r="A245" s="45" t="s">
        <v>480</v>
      </c>
      <c r="B245" s="45" t="s">
        <v>94</v>
      </c>
      <c r="C245" s="45" t="s">
        <v>481</v>
      </c>
      <c r="D245" s="45" t="s">
        <v>83</v>
      </c>
      <c r="E245" s="45">
        <v>2</v>
      </c>
      <c r="F245" s="45">
        <v>0.25118528188777911</v>
      </c>
      <c r="G245" s="45">
        <v>1.7831393411412606</v>
      </c>
      <c r="H245" s="45">
        <v>1.270160315725211</v>
      </c>
    </row>
    <row r="246" spans="1:8" ht="13">
      <c r="A246" s="45" t="s">
        <v>989</v>
      </c>
      <c r="B246" s="45" t="s">
        <v>81</v>
      </c>
      <c r="C246" s="45" t="s">
        <v>990</v>
      </c>
      <c r="D246" s="45" t="s">
        <v>83</v>
      </c>
      <c r="E246" s="45">
        <v>1.8888888888888888</v>
      </c>
      <c r="F246" s="45">
        <v>0.20637027738125205</v>
      </c>
      <c r="G246" s="45">
        <v>1.6083119076007948</v>
      </c>
      <c r="H246" s="45">
        <v>1.2667325203702184</v>
      </c>
    </row>
    <row r="247" spans="1:8" ht="13">
      <c r="A247" s="45" t="s">
        <v>1044</v>
      </c>
      <c r="B247" s="45" t="s">
        <v>1045</v>
      </c>
      <c r="C247" s="45" t="s">
        <v>1046</v>
      </c>
      <c r="D247" s="45" t="s">
        <v>83</v>
      </c>
      <c r="E247" s="45">
        <v>1.8888888888888888</v>
      </c>
      <c r="F247" s="45">
        <v>0.20637027738125205</v>
      </c>
      <c r="G247" s="45">
        <v>1.6083119076007948</v>
      </c>
      <c r="H247" s="45">
        <v>1.2667325203702184</v>
      </c>
    </row>
    <row r="248" spans="1:8" ht="13">
      <c r="A248" s="45" t="s">
        <v>1146</v>
      </c>
      <c r="B248" s="45" t="s">
        <v>158</v>
      </c>
      <c r="C248" s="45" t="s">
        <v>1147</v>
      </c>
      <c r="D248" s="45" t="s">
        <v>160</v>
      </c>
      <c r="E248" s="45">
        <v>1.8888888888888888</v>
      </c>
      <c r="F248" s="45">
        <v>0.20637027738125205</v>
      </c>
      <c r="G248" s="45">
        <v>1.6083119076007948</v>
      </c>
      <c r="H248" s="45">
        <v>1.2667325203702184</v>
      </c>
    </row>
    <row r="249" spans="1:8" ht="13">
      <c r="A249" s="45" t="s">
        <v>1303</v>
      </c>
      <c r="B249" s="45" t="s">
        <v>817</v>
      </c>
      <c r="C249" s="45" t="s">
        <v>1304</v>
      </c>
      <c r="D249" s="45" t="s">
        <v>819</v>
      </c>
      <c r="E249" s="45">
        <v>1.8888888888888888</v>
      </c>
      <c r="F249" s="45">
        <v>0.20637027738125205</v>
      </c>
      <c r="G249" s="45">
        <v>1.6083119076007948</v>
      </c>
      <c r="H249" s="45">
        <v>1.2667325203702184</v>
      </c>
    </row>
    <row r="250" spans="1:8" ht="13">
      <c r="A250" s="45" t="s">
        <v>1296</v>
      </c>
      <c r="B250" s="45" t="s">
        <v>1092</v>
      </c>
      <c r="C250" s="45" t="s">
        <v>1297</v>
      </c>
      <c r="D250" s="45" t="s">
        <v>372</v>
      </c>
      <c r="E250" s="45">
        <v>1.8888888888888888</v>
      </c>
      <c r="F250" s="45">
        <v>0.20068666377598746</v>
      </c>
      <c r="G250" s="45">
        <v>1.5874010519681994</v>
      </c>
      <c r="H250" s="45">
        <v>1.2568245291558864</v>
      </c>
    </row>
    <row r="251" spans="1:8" ht="13">
      <c r="A251" s="45" t="s">
        <v>980</v>
      </c>
      <c r="B251" s="45" t="s">
        <v>981</v>
      </c>
      <c r="C251" s="45" t="s">
        <v>982</v>
      </c>
      <c r="D251" s="45" t="s">
        <v>152</v>
      </c>
      <c r="E251" s="45">
        <v>1.8888888888888888</v>
      </c>
      <c r="F251" s="45">
        <v>0.19992672771706463</v>
      </c>
      <c r="G251" s="45">
        <v>1.584625818705653</v>
      </c>
      <c r="H251" s="45">
        <v>1.2555298678772333</v>
      </c>
    </row>
    <row r="252" spans="1:8" ht="13">
      <c r="A252" s="45" t="s">
        <v>1291</v>
      </c>
      <c r="B252" s="45" t="s">
        <v>1292</v>
      </c>
      <c r="C252" s="45" t="s">
        <v>1293</v>
      </c>
      <c r="D252" s="45" t="s">
        <v>160</v>
      </c>
      <c r="E252" s="45">
        <v>2.1111111111111112</v>
      </c>
      <c r="F252" s="45">
        <v>0.27326583197324783</v>
      </c>
      <c r="G252" s="45">
        <v>1.876142544912387</v>
      </c>
      <c r="H252" s="45">
        <v>1.2480982396412861</v>
      </c>
    </row>
    <row r="253" spans="1:8" ht="13">
      <c r="A253" s="45" t="s">
        <v>1039</v>
      </c>
      <c r="B253" s="45" t="s">
        <v>635</v>
      </c>
      <c r="C253" s="45" t="s">
        <v>1040</v>
      </c>
      <c r="D253" s="45" t="s">
        <v>637</v>
      </c>
      <c r="E253" s="45">
        <v>2</v>
      </c>
      <c r="F253" s="45">
        <v>0.23981805467724998</v>
      </c>
      <c r="G253" s="45">
        <v>1.7370729389807014</v>
      </c>
      <c r="H253" s="45">
        <v>1.2422868096287785</v>
      </c>
    </row>
    <row r="254" spans="1:8" ht="13">
      <c r="A254" s="45" t="s">
        <v>1149</v>
      </c>
      <c r="B254" s="45" t="s">
        <v>1077</v>
      </c>
      <c r="C254" s="45" t="s">
        <v>534</v>
      </c>
      <c r="D254" s="45" t="s">
        <v>83</v>
      </c>
      <c r="E254" s="45">
        <v>2</v>
      </c>
      <c r="F254" s="45">
        <v>0.22593597283188332</v>
      </c>
      <c r="G254" s="45">
        <v>1.682426006079768</v>
      </c>
      <c r="H254" s="45">
        <v>1.210663146285532</v>
      </c>
    </row>
    <row r="255" spans="1:8" ht="13">
      <c r="A255" s="45" t="s">
        <v>1159</v>
      </c>
      <c r="B255" s="45" t="s">
        <v>1160</v>
      </c>
      <c r="C255" s="45" t="s">
        <v>1161</v>
      </c>
      <c r="D255" s="45" t="s">
        <v>83</v>
      </c>
      <c r="E255" s="45">
        <v>2</v>
      </c>
      <c r="F255" s="45">
        <v>0.22593597283188332</v>
      </c>
      <c r="G255" s="45">
        <v>1.682426006079768</v>
      </c>
      <c r="H255" s="45">
        <v>1.210663146285532</v>
      </c>
    </row>
    <row r="256" spans="1:8" ht="13">
      <c r="A256" s="45" t="s">
        <v>1103</v>
      </c>
      <c r="B256" s="45" t="s">
        <v>1104</v>
      </c>
      <c r="C256" s="45" t="s">
        <v>1105</v>
      </c>
      <c r="D256" s="45" t="s">
        <v>355</v>
      </c>
      <c r="E256" s="45">
        <v>2</v>
      </c>
      <c r="F256" s="45">
        <v>0.22173724384417218</v>
      </c>
      <c r="G256" s="45">
        <v>1.6662388023817316</v>
      </c>
      <c r="H256" s="45">
        <v>1.2016131414889919</v>
      </c>
    </row>
    <row r="257" spans="1:8" ht="13">
      <c r="A257" s="45" t="s">
        <v>1132</v>
      </c>
      <c r="B257" s="45" t="s">
        <v>1133</v>
      </c>
      <c r="C257" s="45" t="s">
        <v>1134</v>
      </c>
      <c r="D257" s="45" t="s">
        <v>355</v>
      </c>
      <c r="E257" s="45">
        <v>2</v>
      </c>
      <c r="F257" s="45">
        <v>0.22173724384417218</v>
      </c>
      <c r="G257" s="45">
        <v>1.6662388023817316</v>
      </c>
      <c r="H257" s="45">
        <v>1.2016131414889919</v>
      </c>
    </row>
    <row r="258" spans="1:8" ht="13">
      <c r="A258" s="45" t="s">
        <v>1288</v>
      </c>
      <c r="B258" s="45" t="s">
        <v>353</v>
      </c>
      <c r="C258" s="45" t="s">
        <v>1289</v>
      </c>
      <c r="D258" s="45" t="s">
        <v>355</v>
      </c>
      <c r="E258" s="45">
        <v>2</v>
      </c>
      <c r="F258" s="45">
        <v>0.21713805660436941</v>
      </c>
      <c r="G258" s="45">
        <v>1.6486864043382532</v>
      </c>
      <c r="H258" s="45">
        <v>1.1919706586880785</v>
      </c>
    </row>
    <row r="259" spans="1:8" ht="13">
      <c r="A259" s="45" t="s">
        <v>1264</v>
      </c>
      <c r="B259" s="45" t="s">
        <v>529</v>
      </c>
      <c r="C259" s="45" t="s">
        <v>1265</v>
      </c>
      <c r="D259" s="45" t="s">
        <v>83</v>
      </c>
      <c r="E259" s="45">
        <v>2.1111111111111112</v>
      </c>
      <c r="F259" s="45">
        <v>0.23102013845938707</v>
      </c>
      <c r="G259" s="45">
        <v>1.7022374401939864</v>
      </c>
      <c r="H259" s="45">
        <v>1.1328110518530112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T21"/>
  <sheetViews>
    <sheetView workbookViewId="0"/>
  </sheetViews>
  <sheetFormatPr baseColWidth="10" defaultColWidth="12.6640625" defaultRowHeight="15.75" customHeight="1"/>
  <sheetData>
    <row r="1" spans="1:72" ht="15.75" customHeight="1">
      <c r="A1" s="145" t="s">
        <v>16</v>
      </c>
      <c r="B1" s="145" t="s">
        <v>18</v>
      </c>
      <c r="C1" s="145" t="s">
        <v>79</v>
      </c>
      <c r="D1" s="145"/>
      <c r="E1" s="145" t="s">
        <v>582</v>
      </c>
      <c r="F1" s="145" t="s">
        <v>20</v>
      </c>
      <c r="G1" s="145" t="s">
        <v>585</v>
      </c>
      <c r="H1" s="145" t="s">
        <v>586</v>
      </c>
      <c r="I1" s="145" t="s">
        <v>20</v>
      </c>
      <c r="J1" s="145" t="s">
        <v>21</v>
      </c>
      <c r="K1" s="145" t="s">
        <v>25</v>
      </c>
      <c r="L1" s="145" t="s">
        <v>26</v>
      </c>
      <c r="M1" s="145" t="s">
        <v>28</v>
      </c>
      <c r="N1" s="145" t="s">
        <v>35</v>
      </c>
      <c r="O1" s="145" t="s">
        <v>23</v>
      </c>
      <c r="P1" s="145" t="s">
        <v>29</v>
      </c>
      <c r="Q1" s="145" t="s">
        <v>30</v>
      </c>
      <c r="R1" s="145" t="s">
        <v>31</v>
      </c>
      <c r="S1" s="145" t="s">
        <v>32</v>
      </c>
      <c r="T1" s="145" t="s">
        <v>588</v>
      </c>
      <c r="U1" s="145" t="s">
        <v>34</v>
      </c>
      <c r="V1" s="145" t="s">
        <v>35</v>
      </c>
      <c r="W1" s="145" t="s">
        <v>23</v>
      </c>
      <c r="X1" s="145" t="s">
        <v>6</v>
      </c>
      <c r="Y1" s="145" t="s">
        <v>36</v>
      </c>
      <c r="Z1" s="145" t="s">
        <v>31</v>
      </c>
      <c r="AA1" s="145" t="s">
        <v>20</v>
      </c>
      <c r="AB1" s="145" t="s">
        <v>37</v>
      </c>
      <c r="AC1" s="145" t="s">
        <v>38</v>
      </c>
      <c r="AD1" s="145" t="s">
        <v>22</v>
      </c>
      <c r="AE1" s="145" t="s">
        <v>23</v>
      </c>
      <c r="AF1" s="145" t="s">
        <v>39</v>
      </c>
      <c r="AG1" s="145" t="s">
        <v>40</v>
      </c>
      <c r="AH1" s="145" t="s">
        <v>31</v>
      </c>
      <c r="AI1" s="145" t="s">
        <v>20</v>
      </c>
      <c r="AJ1" s="145" t="s">
        <v>41</v>
      </c>
      <c r="AK1" s="145" t="s">
        <v>42</v>
      </c>
      <c r="AL1" s="145" t="s">
        <v>589</v>
      </c>
      <c r="AM1" s="145" t="s">
        <v>23</v>
      </c>
      <c r="AN1" s="145" t="s">
        <v>590</v>
      </c>
      <c r="AO1" s="145" t="s">
        <v>591</v>
      </c>
      <c r="AP1" s="145" t="s">
        <v>592</v>
      </c>
      <c r="AQ1" s="145" t="s">
        <v>20</v>
      </c>
      <c r="AR1" s="145" t="s">
        <v>593</v>
      </c>
      <c r="AS1" s="145" t="s">
        <v>594</v>
      </c>
      <c r="AT1" s="145" t="s">
        <v>35</v>
      </c>
      <c r="AU1" s="145" t="s">
        <v>23</v>
      </c>
      <c r="AV1" s="145" t="s">
        <v>57</v>
      </c>
      <c r="AW1" s="145" t="s">
        <v>58</v>
      </c>
      <c r="AX1" s="145" t="s">
        <v>59</v>
      </c>
      <c r="AY1" s="145" t="s">
        <v>60</v>
      </c>
      <c r="AZ1" s="145" t="s">
        <v>35</v>
      </c>
      <c r="BA1" s="145" t="s">
        <v>595</v>
      </c>
      <c r="BB1" s="145" t="s">
        <v>61</v>
      </c>
      <c r="BC1" s="145" t="s">
        <v>62</v>
      </c>
      <c r="BD1" s="145" t="s">
        <v>63</v>
      </c>
      <c r="BE1" s="145" t="s">
        <v>22</v>
      </c>
      <c r="BF1" s="145" t="s">
        <v>23</v>
      </c>
      <c r="BG1" s="145" t="s">
        <v>65</v>
      </c>
      <c r="BH1" s="145" t="s">
        <v>66</v>
      </c>
      <c r="BI1" s="145" t="s">
        <v>67</v>
      </c>
      <c r="BJ1" s="145" t="s">
        <v>35</v>
      </c>
      <c r="BK1" s="145" t="s">
        <v>575</v>
      </c>
      <c r="BL1" s="145" t="s">
        <v>596</v>
      </c>
      <c r="BM1" s="145" t="s">
        <v>1452</v>
      </c>
      <c r="BN1" s="145" t="s">
        <v>48</v>
      </c>
      <c r="BO1" s="145" t="s">
        <v>53</v>
      </c>
      <c r="BP1" s="145" t="s">
        <v>23</v>
      </c>
      <c r="BQ1" s="145" t="s">
        <v>68</v>
      </c>
      <c r="BR1" s="145" t="s">
        <v>69</v>
      </c>
      <c r="BS1" s="145" t="s">
        <v>70</v>
      </c>
      <c r="BT1" s="145" t="s">
        <v>71</v>
      </c>
    </row>
    <row r="2" spans="1:72" ht="15.75" customHeight="1">
      <c r="A2" s="45" t="s">
        <v>614</v>
      </c>
      <c r="B2" s="45" t="s">
        <v>141</v>
      </c>
      <c r="C2" s="45">
        <v>2.1546683723935134</v>
      </c>
      <c r="E2" s="45">
        <v>5.03</v>
      </c>
      <c r="F2" s="45">
        <v>2</v>
      </c>
      <c r="G2" s="45">
        <v>2</v>
      </c>
      <c r="H2" s="45">
        <v>8.0500000000000007</v>
      </c>
      <c r="I2" s="45">
        <v>2</v>
      </c>
      <c r="J2" s="45">
        <v>2</v>
      </c>
      <c r="K2" s="45">
        <v>3.3</v>
      </c>
      <c r="L2" s="45">
        <v>2</v>
      </c>
      <c r="M2" s="45">
        <v>2</v>
      </c>
      <c r="N2" s="45">
        <v>1</v>
      </c>
      <c r="P2" s="45" t="s">
        <v>619</v>
      </c>
      <c r="Q2" s="45" t="s">
        <v>88</v>
      </c>
      <c r="R2" s="45">
        <v>0</v>
      </c>
      <c r="S2" s="45">
        <v>1</v>
      </c>
      <c r="T2" s="45">
        <v>2</v>
      </c>
      <c r="U2" s="45">
        <v>2</v>
      </c>
      <c r="V2" s="45">
        <v>1</v>
      </c>
      <c r="W2" s="45" t="s">
        <v>145</v>
      </c>
      <c r="X2" s="45">
        <v>210</v>
      </c>
      <c r="Y2" s="45" t="s">
        <v>88</v>
      </c>
      <c r="Z2" s="45">
        <v>0</v>
      </c>
      <c r="AA2" s="45">
        <v>1</v>
      </c>
      <c r="AB2" s="45">
        <v>2</v>
      </c>
      <c r="AC2" s="45">
        <v>2</v>
      </c>
      <c r="AF2" s="45">
        <v>0</v>
      </c>
      <c r="AG2" s="45" t="s">
        <v>88</v>
      </c>
      <c r="AH2" s="45">
        <v>0</v>
      </c>
      <c r="AI2" s="45">
        <v>3</v>
      </c>
      <c r="AJ2" s="45">
        <v>1</v>
      </c>
      <c r="AK2" s="45">
        <v>3</v>
      </c>
      <c r="AL2" s="45" t="s">
        <v>620</v>
      </c>
      <c r="AM2" s="45" t="s">
        <v>1453</v>
      </c>
      <c r="AN2" s="45" t="s">
        <v>622</v>
      </c>
      <c r="AO2" s="45" t="s">
        <v>622</v>
      </c>
      <c r="AP2" s="45" t="s">
        <v>623</v>
      </c>
      <c r="AQ2" s="45">
        <v>3</v>
      </c>
      <c r="AR2" s="45">
        <v>2</v>
      </c>
      <c r="AS2" s="45">
        <v>0.95424250943932487</v>
      </c>
      <c r="AT2" s="45" t="s">
        <v>605</v>
      </c>
      <c r="AU2" s="45" t="s">
        <v>624</v>
      </c>
      <c r="AV2" s="45" t="s">
        <v>90</v>
      </c>
      <c r="AW2" s="45">
        <v>1</v>
      </c>
      <c r="AX2" s="45">
        <v>1</v>
      </c>
      <c r="AY2" s="45">
        <v>0</v>
      </c>
      <c r="AZ2" s="45" t="s">
        <v>607</v>
      </c>
      <c r="BA2" s="45">
        <v>3.25</v>
      </c>
      <c r="BB2" s="45">
        <v>3</v>
      </c>
      <c r="BC2" s="45">
        <v>1</v>
      </c>
      <c r="BD2" s="45">
        <v>0.47712125471966244</v>
      </c>
      <c r="BG2" s="45">
        <v>1.75</v>
      </c>
      <c r="BH2" s="45">
        <v>1</v>
      </c>
      <c r="BI2" s="45">
        <v>0.24303804868629444</v>
      </c>
      <c r="BJ2" s="45" t="s">
        <v>99</v>
      </c>
      <c r="BK2" s="45">
        <v>89523</v>
      </c>
      <c r="BL2" s="45">
        <v>3</v>
      </c>
      <c r="BM2" s="45">
        <v>2</v>
      </c>
      <c r="BN2" s="45">
        <v>0.95424250943932487</v>
      </c>
      <c r="BQ2" s="45" t="s">
        <v>137</v>
      </c>
      <c r="BR2" s="45">
        <v>2</v>
      </c>
      <c r="BS2" s="45">
        <v>1</v>
      </c>
      <c r="BT2" s="45">
        <v>0.3010299956639812</v>
      </c>
    </row>
    <row r="3" spans="1:72" ht="15.75" customHeight="1">
      <c r="A3" s="45" t="s">
        <v>778</v>
      </c>
      <c r="B3" s="45" t="s">
        <v>141</v>
      </c>
      <c r="C3" s="45">
        <v>2.0441733100118151</v>
      </c>
      <c r="E3" s="45">
        <v>2.5</v>
      </c>
      <c r="F3" s="45">
        <v>3</v>
      </c>
      <c r="G3" s="45">
        <v>3</v>
      </c>
      <c r="H3" s="45">
        <v>6</v>
      </c>
      <c r="I3" s="45">
        <v>2</v>
      </c>
      <c r="J3" s="45">
        <v>2</v>
      </c>
      <c r="K3" s="45">
        <v>3.5</v>
      </c>
      <c r="L3" s="45">
        <v>2</v>
      </c>
      <c r="M3" s="45">
        <v>2</v>
      </c>
      <c r="N3" s="45">
        <v>1</v>
      </c>
      <c r="P3" s="45" t="s">
        <v>781</v>
      </c>
      <c r="Q3" s="45" t="s">
        <v>88</v>
      </c>
      <c r="R3" s="45">
        <v>0</v>
      </c>
      <c r="S3" s="45">
        <v>1</v>
      </c>
      <c r="T3" s="45">
        <v>2</v>
      </c>
      <c r="U3" s="45">
        <v>2</v>
      </c>
      <c r="V3" s="45">
        <v>1</v>
      </c>
      <c r="W3" s="45" t="s">
        <v>145</v>
      </c>
      <c r="X3" s="45">
        <v>600</v>
      </c>
      <c r="Y3" s="45" t="s">
        <v>88</v>
      </c>
      <c r="Z3" s="45">
        <v>0</v>
      </c>
      <c r="AA3" s="45">
        <v>1</v>
      </c>
      <c r="AB3" s="45">
        <v>2</v>
      </c>
      <c r="AC3" s="45">
        <v>2</v>
      </c>
      <c r="AF3" s="45">
        <v>21</v>
      </c>
      <c r="AG3" s="45" t="s">
        <v>146</v>
      </c>
      <c r="AH3" s="45">
        <v>2</v>
      </c>
      <c r="AI3" s="45">
        <v>2</v>
      </c>
      <c r="AJ3" s="45">
        <v>1</v>
      </c>
      <c r="AK3" s="45">
        <v>2</v>
      </c>
      <c r="AL3" s="45" t="s">
        <v>782</v>
      </c>
      <c r="AM3" s="45" t="s">
        <v>1454</v>
      </c>
      <c r="AN3" s="45" t="s">
        <v>602</v>
      </c>
      <c r="AO3" s="45" t="s">
        <v>603</v>
      </c>
      <c r="AP3" s="45" t="s">
        <v>604</v>
      </c>
      <c r="AQ3" s="45">
        <v>2</v>
      </c>
      <c r="AR3" s="45">
        <v>2</v>
      </c>
      <c r="AS3" s="45">
        <v>0.6020599913279624</v>
      </c>
      <c r="AT3" s="45" t="s">
        <v>605</v>
      </c>
      <c r="AU3" s="45" t="s">
        <v>606</v>
      </c>
      <c r="AV3" s="45" t="s">
        <v>90</v>
      </c>
      <c r="AW3" s="45">
        <v>1</v>
      </c>
      <c r="AX3" s="45">
        <v>1</v>
      </c>
      <c r="AY3" s="45">
        <v>0</v>
      </c>
      <c r="AZ3" s="45" t="s">
        <v>607</v>
      </c>
      <c r="BA3" s="45">
        <v>6.5</v>
      </c>
      <c r="BB3" s="45">
        <v>3</v>
      </c>
      <c r="BC3" s="45">
        <v>1</v>
      </c>
      <c r="BD3" s="45">
        <v>0.47712125471966244</v>
      </c>
      <c r="BE3" s="45">
        <v>1</v>
      </c>
      <c r="BG3" s="45">
        <v>1.3333333329999999</v>
      </c>
      <c r="BH3" s="45">
        <v>1</v>
      </c>
      <c r="BI3" s="45">
        <v>0.1249387364997263</v>
      </c>
      <c r="BJ3" s="45" t="s">
        <v>91</v>
      </c>
      <c r="BK3" s="45">
        <v>8605</v>
      </c>
      <c r="BL3" s="45">
        <v>3</v>
      </c>
      <c r="BM3" s="45">
        <v>2</v>
      </c>
      <c r="BN3" s="45">
        <v>0.95424250943932487</v>
      </c>
      <c r="BQ3" s="45" t="s">
        <v>92</v>
      </c>
      <c r="BR3" s="45">
        <v>3</v>
      </c>
      <c r="BS3" s="45">
        <v>1</v>
      </c>
      <c r="BT3" s="45">
        <v>0.47712125471966244</v>
      </c>
    </row>
    <row r="4" spans="1:72" ht="15.75" customHeight="1">
      <c r="A4" s="45" t="s">
        <v>333</v>
      </c>
      <c r="B4" s="45" t="s">
        <v>336</v>
      </c>
      <c r="C4" s="45">
        <v>1.9802896005019721</v>
      </c>
      <c r="E4" s="45">
        <v>6.5</v>
      </c>
      <c r="F4" s="45">
        <v>2</v>
      </c>
      <c r="G4" s="45">
        <v>2</v>
      </c>
      <c r="H4" s="45">
        <v>33</v>
      </c>
      <c r="I4" s="45">
        <v>1</v>
      </c>
      <c r="J4" s="45">
        <v>1</v>
      </c>
      <c r="K4" s="45">
        <v>3.4</v>
      </c>
      <c r="L4" s="45">
        <v>2</v>
      </c>
      <c r="M4" s="45">
        <v>2</v>
      </c>
      <c r="N4" s="45">
        <v>1</v>
      </c>
      <c r="P4" s="45" t="s">
        <v>338</v>
      </c>
      <c r="Q4" s="45" t="s">
        <v>88</v>
      </c>
      <c r="R4" s="45">
        <v>0</v>
      </c>
      <c r="S4" s="45">
        <v>3</v>
      </c>
      <c r="T4" s="45">
        <v>2</v>
      </c>
      <c r="U4" s="45">
        <v>6</v>
      </c>
      <c r="V4" s="45">
        <v>1</v>
      </c>
      <c r="W4" s="45" t="s">
        <v>165</v>
      </c>
      <c r="X4" s="45">
        <v>500</v>
      </c>
      <c r="Y4" s="45" t="s">
        <v>146</v>
      </c>
      <c r="Z4" s="45">
        <v>2</v>
      </c>
      <c r="AA4" s="45">
        <v>1</v>
      </c>
      <c r="AB4" s="45">
        <v>2</v>
      </c>
      <c r="AC4" s="45">
        <v>2</v>
      </c>
      <c r="AF4" s="45">
        <v>40.799999999999997</v>
      </c>
      <c r="AG4" s="45" t="s">
        <v>115</v>
      </c>
      <c r="AH4" s="45">
        <v>1</v>
      </c>
      <c r="AI4" s="45">
        <v>1</v>
      </c>
      <c r="AJ4" s="45">
        <v>1</v>
      </c>
      <c r="AK4" s="45">
        <v>1</v>
      </c>
      <c r="AL4" s="45" t="s">
        <v>340</v>
      </c>
      <c r="AM4" s="45" t="s">
        <v>341</v>
      </c>
      <c r="AN4" s="45" t="s">
        <v>602</v>
      </c>
      <c r="AO4" s="45" t="s">
        <v>603</v>
      </c>
      <c r="AP4" s="45" t="s">
        <v>604</v>
      </c>
      <c r="AQ4" s="45">
        <v>2</v>
      </c>
      <c r="AR4" s="45">
        <v>2</v>
      </c>
      <c r="AS4" s="45">
        <v>0.6020599913279624</v>
      </c>
      <c r="AT4" s="45" t="s">
        <v>605</v>
      </c>
      <c r="AU4" s="45" t="s">
        <v>606</v>
      </c>
      <c r="AV4" s="45" t="s">
        <v>90</v>
      </c>
      <c r="AW4" s="45">
        <v>1</v>
      </c>
      <c r="AX4" s="45">
        <v>1</v>
      </c>
      <c r="AY4" s="45">
        <v>0</v>
      </c>
      <c r="AZ4" s="45" t="s">
        <v>607</v>
      </c>
      <c r="BA4" s="45">
        <v>14</v>
      </c>
      <c r="BB4" s="45">
        <v>2</v>
      </c>
      <c r="BC4" s="45">
        <v>1</v>
      </c>
      <c r="BD4" s="45">
        <v>0.3010299956639812</v>
      </c>
      <c r="BG4" s="45">
        <v>2.25</v>
      </c>
      <c r="BH4" s="45">
        <v>1</v>
      </c>
      <c r="BI4" s="45">
        <v>0.35218251811136247</v>
      </c>
      <c r="BJ4" s="45" t="s">
        <v>99</v>
      </c>
      <c r="BK4" s="45">
        <v>13695</v>
      </c>
      <c r="BL4" s="45">
        <v>3</v>
      </c>
      <c r="BM4" s="45">
        <v>2</v>
      </c>
      <c r="BN4" s="45">
        <v>0.95424250943932487</v>
      </c>
      <c r="BQ4" s="45" t="s">
        <v>106</v>
      </c>
      <c r="BR4" s="45">
        <v>3</v>
      </c>
      <c r="BS4" s="45">
        <v>1</v>
      </c>
      <c r="BT4" s="45">
        <v>0.47712125471966244</v>
      </c>
    </row>
    <row r="5" spans="1:72" ht="15.75" customHeight="1">
      <c r="A5" s="45" t="s">
        <v>725</v>
      </c>
      <c r="B5" s="45" t="s">
        <v>132</v>
      </c>
      <c r="C5" s="45">
        <v>1.9540746949986123</v>
      </c>
      <c r="E5" s="45">
        <v>5</v>
      </c>
      <c r="F5" s="45">
        <v>2</v>
      </c>
      <c r="G5" s="45">
        <v>2</v>
      </c>
      <c r="H5" s="45">
        <v>13</v>
      </c>
      <c r="I5" s="45">
        <v>2</v>
      </c>
      <c r="J5" s="45">
        <v>2</v>
      </c>
      <c r="K5" s="45">
        <v>3.4</v>
      </c>
      <c r="L5" s="45">
        <v>2</v>
      </c>
      <c r="M5" s="45">
        <v>2</v>
      </c>
      <c r="N5" s="45">
        <v>1</v>
      </c>
      <c r="P5" s="45" t="s">
        <v>163</v>
      </c>
      <c r="Q5" s="45" t="s">
        <v>146</v>
      </c>
      <c r="R5" s="45">
        <v>2</v>
      </c>
      <c r="S5" s="45">
        <v>3</v>
      </c>
      <c r="T5" s="45">
        <v>2</v>
      </c>
      <c r="U5" s="45">
        <v>6</v>
      </c>
      <c r="V5" s="45" t="s">
        <v>645</v>
      </c>
      <c r="W5" s="45" t="s">
        <v>201</v>
      </c>
      <c r="X5" s="45">
        <v>21061</v>
      </c>
      <c r="Y5" s="45" t="s">
        <v>115</v>
      </c>
      <c r="Z5" s="45">
        <v>1</v>
      </c>
      <c r="AA5" s="45">
        <v>3</v>
      </c>
      <c r="AB5" s="45">
        <v>2</v>
      </c>
      <c r="AC5" s="45">
        <v>6</v>
      </c>
      <c r="AF5" s="45">
        <v>36</v>
      </c>
      <c r="AG5" s="45" t="s">
        <v>115</v>
      </c>
      <c r="AH5" s="45">
        <v>1</v>
      </c>
      <c r="AI5" s="45">
        <v>1</v>
      </c>
      <c r="AJ5" s="45">
        <v>1</v>
      </c>
      <c r="AK5" s="45">
        <v>1</v>
      </c>
      <c r="AL5" s="45" t="s">
        <v>203</v>
      </c>
      <c r="AM5" s="45" t="s">
        <v>129</v>
      </c>
      <c r="AN5" s="45" t="s">
        <v>622</v>
      </c>
      <c r="AO5" s="45" t="s">
        <v>622</v>
      </c>
      <c r="AP5" s="45" t="s">
        <v>623</v>
      </c>
      <c r="AQ5" s="45">
        <v>3</v>
      </c>
      <c r="AR5" s="45">
        <v>2</v>
      </c>
      <c r="AS5" s="45">
        <v>0.95424250943932487</v>
      </c>
      <c r="AT5" s="45" t="s">
        <v>605</v>
      </c>
      <c r="AU5" s="45" t="s">
        <v>728</v>
      </c>
      <c r="AV5" s="45" t="s">
        <v>90</v>
      </c>
      <c r="AW5" s="45">
        <v>1</v>
      </c>
      <c r="AX5" s="45">
        <v>1</v>
      </c>
      <c r="AY5" s="45">
        <v>0</v>
      </c>
      <c r="AZ5" s="45" t="s">
        <v>607</v>
      </c>
      <c r="BA5" s="45">
        <v>8.5</v>
      </c>
      <c r="BB5" s="45">
        <v>3</v>
      </c>
      <c r="BC5" s="45">
        <v>1</v>
      </c>
      <c r="BD5" s="45">
        <v>0.47712125471966244</v>
      </c>
      <c r="BG5" s="45">
        <v>3</v>
      </c>
      <c r="BH5" s="45">
        <v>1</v>
      </c>
      <c r="BI5" s="45">
        <v>0.47712125471966244</v>
      </c>
      <c r="BJ5" s="45">
        <v>46</v>
      </c>
      <c r="BK5" s="45">
        <v>13432</v>
      </c>
      <c r="BL5" s="45">
        <v>3</v>
      </c>
      <c r="BM5" s="45">
        <v>2</v>
      </c>
      <c r="BN5" s="45">
        <v>0.95424250943932487</v>
      </c>
      <c r="BQ5" s="45" t="s">
        <v>92</v>
      </c>
      <c r="BR5" s="45">
        <v>3</v>
      </c>
      <c r="BS5" s="45">
        <v>1</v>
      </c>
      <c r="BT5" s="45">
        <v>0.47712125471966244</v>
      </c>
    </row>
    <row r="6" spans="1:72" ht="15.75" customHeight="1">
      <c r="A6" s="45" t="s">
        <v>1345</v>
      </c>
      <c r="B6" s="45" t="s">
        <v>310</v>
      </c>
      <c r="C6" s="45">
        <v>1.9125639607313873</v>
      </c>
      <c r="E6" s="45">
        <v>20</v>
      </c>
      <c r="F6" s="45">
        <v>1</v>
      </c>
      <c r="G6" s="45">
        <v>1</v>
      </c>
      <c r="H6" s="45">
        <v>130</v>
      </c>
      <c r="I6" s="45">
        <v>1</v>
      </c>
      <c r="J6" s="45">
        <v>1</v>
      </c>
      <c r="K6" s="45">
        <v>4.5</v>
      </c>
      <c r="L6" s="45">
        <v>1</v>
      </c>
      <c r="M6" s="45">
        <v>1</v>
      </c>
      <c r="N6" s="45">
        <v>1</v>
      </c>
      <c r="P6" s="45" t="s">
        <v>1350</v>
      </c>
      <c r="Q6" s="45" t="s">
        <v>88</v>
      </c>
      <c r="R6" s="45">
        <v>0</v>
      </c>
      <c r="S6" s="45">
        <v>3</v>
      </c>
      <c r="T6" s="45">
        <v>2</v>
      </c>
      <c r="U6" s="45">
        <v>6</v>
      </c>
      <c r="V6" s="45">
        <v>1</v>
      </c>
      <c r="W6" s="45" t="s">
        <v>165</v>
      </c>
      <c r="X6" s="45">
        <v>200</v>
      </c>
      <c r="Y6" s="45" t="s">
        <v>88</v>
      </c>
      <c r="Z6" s="45">
        <v>0</v>
      </c>
      <c r="AA6" s="45">
        <v>1</v>
      </c>
      <c r="AB6" s="45">
        <v>2</v>
      </c>
      <c r="AC6" s="45">
        <v>2</v>
      </c>
      <c r="AE6" s="45" t="s">
        <v>1351</v>
      </c>
      <c r="AF6" s="45">
        <v>71</v>
      </c>
      <c r="AG6" s="45" t="s">
        <v>88</v>
      </c>
      <c r="AH6" s="45">
        <v>0</v>
      </c>
      <c r="AI6" s="45">
        <v>1</v>
      </c>
      <c r="AJ6" s="45">
        <v>1</v>
      </c>
      <c r="AK6" s="45">
        <v>1</v>
      </c>
      <c r="AN6" s="45" t="s">
        <v>602</v>
      </c>
      <c r="AO6" s="45" t="s">
        <v>603</v>
      </c>
      <c r="AP6" s="45" t="s">
        <v>609</v>
      </c>
      <c r="AQ6" s="45">
        <v>1</v>
      </c>
      <c r="AR6" s="45">
        <v>2</v>
      </c>
      <c r="AS6" s="45">
        <v>0</v>
      </c>
      <c r="AT6" s="45" t="s">
        <v>605</v>
      </c>
      <c r="AU6" s="45" t="s">
        <v>610</v>
      </c>
      <c r="AV6" s="45" t="s">
        <v>90</v>
      </c>
      <c r="AW6" s="45">
        <v>1</v>
      </c>
      <c r="AX6" s="45">
        <v>1</v>
      </c>
      <c r="AY6" s="45">
        <v>0</v>
      </c>
      <c r="AZ6" s="45" t="s">
        <v>607</v>
      </c>
      <c r="BA6" s="45">
        <v>29</v>
      </c>
      <c r="BB6" s="45">
        <v>2</v>
      </c>
      <c r="BC6" s="45">
        <v>1</v>
      </c>
      <c r="BD6" s="45">
        <v>0.3010299956639812</v>
      </c>
      <c r="BG6" s="45">
        <v>2.25</v>
      </c>
      <c r="BH6" s="45">
        <v>1</v>
      </c>
      <c r="BI6" s="45">
        <v>0.35218251811136247</v>
      </c>
      <c r="BJ6" s="45" t="s">
        <v>273</v>
      </c>
      <c r="BK6" s="45">
        <v>1902</v>
      </c>
      <c r="BL6" s="45">
        <v>2</v>
      </c>
      <c r="BM6" s="45">
        <v>2</v>
      </c>
      <c r="BN6" s="45">
        <v>0.6020599913279624</v>
      </c>
      <c r="BQ6" s="45" t="s">
        <v>106</v>
      </c>
      <c r="BR6" s="45">
        <v>3</v>
      </c>
      <c r="BS6" s="45">
        <v>1</v>
      </c>
      <c r="BT6" s="45">
        <v>0.47712125471966244</v>
      </c>
    </row>
    <row r="7" spans="1:72" ht="15.75" customHeight="1">
      <c r="A7" s="45" t="s">
        <v>174</v>
      </c>
      <c r="B7" s="45" t="s">
        <v>177</v>
      </c>
      <c r="C7" s="45">
        <v>1.9098851502571919</v>
      </c>
      <c r="E7" s="45">
        <v>10</v>
      </c>
      <c r="F7" s="45">
        <v>2</v>
      </c>
      <c r="G7" s="45">
        <v>2</v>
      </c>
      <c r="H7" s="45">
        <v>30.75</v>
      </c>
      <c r="I7" s="45">
        <v>1</v>
      </c>
      <c r="J7" s="45">
        <v>1</v>
      </c>
      <c r="K7" s="45">
        <v>3.4</v>
      </c>
      <c r="L7" s="45">
        <v>2</v>
      </c>
      <c r="M7" s="45">
        <v>2</v>
      </c>
      <c r="N7" s="45">
        <v>1</v>
      </c>
      <c r="P7" s="45" t="s">
        <v>179</v>
      </c>
      <c r="Q7" s="45" t="s">
        <v>88</v>
      </c>
      <c r="R7" s="45">
        <v>0</v>
      </c>
      <c r="S7" s="45">
        <v>3</v>
      </c>
      <c r="T7" s="45">
        <v>2</v>
      </c>
      <c r="U7" s="45">
        <v>6</v>
      </c>
      <c r="V7" s="45">
        <v>1</v>
      </c>
      <c r="W7" s="45" t="s">
        <v>135</v>
      </c>
      <c r="X7" s="45">
        <v>120000</v>
      </c>
      <c r="Y7" s="45" t="s">
        <v>88</v>
      </c>
      <c r="Z7" s="45">
        <v>0</v>
      </c>
      <c r="AA7" s="45">
        <v>3</v>
      </c>
      <c r="AB7" s="45">
        <v>2</v>
      </c>
      <c r="AC7" s="45">
        <v>6</v>
      </c>
      <c r="AF7" s="45">
        <v>37</v>
      </c>
      <c r="AG7" s="45" t="s">
        <v>88</v>
      </c>
      <c r="AH7" s="45">
        <v>0</v>
      </c>
      <c r="AI7" s="45">
        <v>1</v>
      </c>
      <c r="AJ7" s="45">
        <v>1</v>
      </c>
      <c r="AK7" s="45">
        <v>1</v>
      </c>
      <c r="AN7" s="45" t="s">
        <v>602</v>
      </c>
      <c r="AO7" s="45" t="s">
        <v>603</v>
      </c>
      <c r="AP7" s="45" t="s">
        <v>604</v>
      </c>
      <c r="AQ7" s="45">
        <v>2</v>
      </c>
      <c r="AR7" s="45">
        <v>2</v>
      </c>
      <c r="AS7" s="45">
        <v>0.6020599913279624</v>
      </c>
      <c r="AT7" s="45" t="s">
        <v>605</v>
      </c>
      <c r="AU7" s="45" t="s">
        <v>606</v>
      </c>
      <c r="AV7" s="45" t="s">
        <v>166</v>
      </c>
      <c r="AW7" s="45">
        <v>3</v>
      </c>
      <c r="AX7" s="45">
        <v>1</v>
      </c>
      <c r="AY7" s="45">
        <v>0.47712125471966244</v>
      </c>
      <c r="AZ7" s="45" t="s">
        <v>607</v>
      </c>
      <c r="BA7" s="45">
        <v>21</v>
      </c>
      <c r="BB7" s="45">
        <v>2</v>
      </c>
      <c r="BC7" s="45">
        <v>1</v>
      </c>
      <c r="BD7" s="45">
        <v>0.3010299956639812</v>
      </c>
      <c r="BG7" s="45">
        <v>2.25</v>
      </c>
      <c r="BH7" s="45">
        <v>1</v>
      </c>
      <c r="BI7" s="45">
        <v>0.35218251811136247</v>
      </c>
      <c r="BJ7" s="45" t="s">
        <v>99</v>
      </c>
      <c r="BK7" s="45">
        <v>72311</v>
      </c>
      <c r="BL7" s="45">
        <v>3</v>
      </c>
      <c r="BM7" s="45">
        <v>2</v>
      </c>
      <c r="BN7" s="45">
        <v>0.95424250943932487</v>
      </c>
      <c r="BQ7" s="45" t="s">
        <v>180</v>
      </c>
      <c r="BR7" s="45">
        <v>3</v>
      </c>
      <c r="BS7" s="45">
        <v>1</v>
      </c>
      <c r="BT7" s="45">
        <v>0.47712125471966244</v>
      </c>
    </row>
    <row r="8" spans="1:72" ht="15.75" customHeight="1">
      <c r="A8" s="45" t="s">
        <v>750</v>
      </c>
      <c r="B8" s="45" t="s">
        <v>184</v>
      </c>
      <c r="C8" s="45">
        <v>1.9004070358363387</v>
      </c>
      <c r="E8" s="45">
        <v>7</v>
      </c>
      <c r="F8" s="45">
        <v>2</v>
      </c>
      <c r="G8" s="45">
        <v>2</v>
      </c>
      <c r="H8" s="45">
        <v>8.25</v>
      </c>
      <c r="I8" s="45">
        <v>2</v>
      </c>
      <c r="J8" s="45">
        <v>2</v>
      </c>
      <c r="K8" s="45">
        <v>3.3</v>
      </c>
      <c r="L8" s="45">
        <v>2</v>
      </c>
      <c r="M8" s="45">
        <v>2</v>
      </c>
      <c r="N8" s="45">
        <v>1</v>
      </c>
      <c r="P8" s="45" t="s">
        <v>163</v>
      </c>
      <c r="Q8" s="45" t="s">
        <v>146</v>
      </c>
      <c r="R8" s="45">
        <v>2</v>
      </c>
      <c r="S8" s="45">
        <v>3</v>
      </c>
      <c r="T8" s="45">
        <v>2</v>
      </c>
      <c r="U8" s="45">
        <v>6</v>
      </c>
      <c r="V8" s="45" t="s">
        <v>645</v>
      </c>
      <c r="W8" s="45" t="s">
        <v>186</v>
      </c>
      <c r="X8" s="45">
        <v>700</v>
      </c>
      <c r="Y8" s="45" t="s">
        <v>115</v>
      </c>
      <c r="Z8" s="45">
        <v>1</v>
      </c>
      <c r="AA8" s="45">
        <v>1</v>
      </c>
      <c r="AB8" s="45">
        <v>2</v>
      </c>
      <c r="AC8" s="45">
        <v>2</v>
      </c>
      <c r="AE8" s="45" t="s">
        <v>753</v>
      </c>
      <c r="AF8" s="45">
        <v>33.799999999999997</v>
      </c>
      <c r="AG8" s="45" t="s">
        <v>88</v>
      </c>
      <c r="AH8" s="45">
        <v>0</v>
      </c>
      <c r="AI8" s="45">
        <v>1</v>
      </c>
      <c r="AJ8" s="45">
        <v>1</v>
      </c>
      <c r="AK8" s="45">
        <v>1</v>
      </c>
      <c r="AN8" s="45" t="s">
        <v>602</v>
      </c>
      <c r="AO8" s="45" t="s">
        <v>603</v>
      </c>
      <c r="AP8" s="45" t="s">
        <v>604</v>
      </c>
      <c r="AQ8" s="45">
        <v>2</v>
      </c>
      <c r="AR8" s="45">
        <v>2</v>
      </c>
      <c r="AS8" s="45">
        <v>0.6020599913279624</v>
      </c>
      <c r="AT8" s="45" t="s">
        <v>605</v>
      </c>
      <c r="AU8" s="45" t="s">
        <v>626</v>
      </c>
      <c r="AV8" s="45" t="s">
        <v>90</v>
      </c>
      <c r="AW8" s="45">
        <v>1</v>
      </c>
      <c r="AX8" s="45">
        <v>1</v>
      </c>
      <c r="AY8" s="45">
        <v>0</v>
      </c>
      <c r="AZ8" s="45" t="s">
        <v>607</v>
      </c>
      <c r="BA8" s="45">
        <v>16.5</v>
      </c>
      <c r="BB8" s="45">
        <v>2</v>
      </c>
      <c r="BC8" s="45">
        <v>1</v>
      </c>
      <c r="BD8" s="45">
        <v>0.3010299956639812</v>
      </c>
      <c r="BG8" s="45">
        <v>2.25</v>
      </c>
      <c r="BH8" s="45">
        <v>1</v>
      </c>
      <c r="BI8" s="45">
        <v>0.35218251811136247</v>
      </c>
      <c r="BJ8" s="45" t="s">
        <v>504</v>
      </c>
      <c r="BK8" s="45">
        <v>10507</v>
      </c>
      <c r="BL8" s="45">
        <v>3</v>
      </c>
      <c r="BM8" s="45">
        <v>2</v>
      </c>
      <c r="BN8" s="45">
        <v>0.95424250943932487</v>
      </c>
      <c r="BQ8" s="45" t="s">
        <v>92</v>
      </c>
      <c r="BR8" s="45">
        <v>3</v>
      </c>
      <c r="BS8" s="45">
        <v>1</v>
      </c>
      <c r="BT8" s="45">
        <v>0.47712125471966244</v>
      </c>
    </row>
    <row r="9" spans="1:72" ht="15.75" customHeight="1">
      <c r="A9" s="45" t="s">
        <v>557</v>
      </c>
      <c r="B9" s="45" t="s">
        <v>160</v>
      </c>
      <c r="C9" s="45">
        <v>1.8961498353828292</v>
      </c>
      <c r="E9" s="45">
        <v>21</v>
      </c>
      <c r="F9" s="45">
        <v>1</v>
      </c>
      <c r="G9" s="45">
        <v>1</v>
      </c>
      <c r="H9" s="45">
        <v>38.333333330000002</v>
      </c>
      <c r="I9" s="45">
        <v>1</v>
      </c>
      <c r="J9" s="45">
        <v>1</v>
      </c>
      <c r="K9" s="45">
        <v>2.7</v>
      </c>
      <c r="L9" s="45">
        <v>2</v>
      </c>
      <c r="M9" s="45">
        <v>2</v>
      </c>
      <c r="N9" s="45">
        <v>1</v>
      </c>
      <c r="P9" s="45" t="s">
        <v>163</v>
      </c>
      <c r="Q9" s="45" t="s">
        <v>146</v>
      </c>
      <c r="R9" s="45">
        <v>2</v>
      </c>
      <c r="S9" s="45">
        <v>3</v>
      </c>
      <c r="T9" s="45">
        <v>2</v>
      </c>
      <c r="U9" s="45">
        <v>6</v>
      </c>
      <c r="V9" s="45">
        <v>1</v>
      </c>
      <c r="W9" s="45" t="s">
        <v>165</v>
      </c>
      <c r="X9" s="45">
        <v>230000</v>
      </c>
      <c r="Y9" s="45" t="s">
        <v>88</v>
      </c>
      <c r="Z9" s="45">
        <v>0</v>
      </c>
      <c r="AA9" s="45">
        <v>3</v>
      </c>
      <c r="AB9" s="45">
        <v>2</v>
      </c>
      <c r="AC9" s="45">
        <v>6</v>
      </c>
      <c r="AF9" s="45">
        <v>19.5</v>
      </c>
      <c r="AG9" s="45" t="s">
        <v>88</v>
      </c>
      <c r="AH9" s="45">
        <v>0</v>
      </c>
      <c r="AI9" s="45">
        <v>2</v>
      </c>
      <c r="AJ9" s="45">
        <v>1</v>
      </c>
      <c r="AK9" s="45">
        <v>2</v>
      </c>
      <c r="AN9" s="45" t="s">
        <v>602</v>
      </c>
      <c r="AO9" s="45" t="s">
        <v>603</v>
      </c>
      <c r="AP9" s="45" t="s">
        <v>604</v>
      </c>
      <c r="AQ9" s="45">
        <v>2</v>
      </c>
      <c r="AR9" s="45">
        <v>2</v>
      </c>
      <c r="AS9" s="45">
        <v>0.6020599913279624</v>
      </c>
      <c r="AT9" s="45" t="s">
        <v>605</v>
      </c>
      <c r="AU9" s="45" t="s">
        <v>626</v>
      </c>
      <c r="AV9" s="45" t="s">
        <v>166</v>
      </c>
      <c r="AW9" s="45">
        <v>3</v>
      </c>
      <c r="AX9" s="45">
        <v>1</v>
      </c>
      <c r="AY9" s="45">
        <v>0.47712125471966244</v>
      </c>
      <c r="AZ9" s="45" t="s">
        <v>607</v>
      </c>
      <c r="BA9" s="45">
        <v>18</v>
      </c>
      <c r="BB9" s="45">
        <v>2</v>
      </c>
      <c r="BC9" s="45">
        <v>1</v>
      </c>
      <c r="BD9" s="45">
        <v>0.3010299956639812</v>
      </c>
      <c r="BG9" s="45">
        <v>2.125</v>
      </c>
      <c r="BH9" s="45">
        <v>1</v>
      </c>
      <c r="BI9" s="45">
        <v>0.32735893438633035</v>
      </c>
      <c r="BJ9" s="45" t="s">
        <v>99</v>
      </c>
      <c r="BK9" s="45">
        <v>11123</v>
      </c>
      <c r="BL9" s="45">
        <v>3</v>
      </c>
      <c r="BM9" s="45">
        <v>2</v>
      </c>
      <c r="BN9" s="45">
        <v>0.95424250943932487</v>
      </c>
      <c r="BQ9" s="45" t="s">
        <v>180</v>
      </c>
      <c r="BR9" s="45">
        <v>3</v>
      </c>
      <c r="BS9" s="45">
        <v>1</v>
      </c>
      <c r="BT9" s="45">
        <v>0.47712125471966244</v>
      </c>
    </row>
    <row r="10" spans="1:72" ht="15.75" customHeight="1">
      <c r="A10" s="45" t="s">
        <v>960</v>
      </c>
      <c r="B10" s="45" t="s">
        <v>141</v>
      </c>
      <c r="C10" s="45">
        <v>1.894228029100933</v>
      </c>
      <c r="E10" s="45">
        <v>1.5</v>
      </c>
      <c r="F10" s="45">
        <v>3</v>
      </c>
      <c r="G10" s="45">
        <v>3</v>
      </c>
      <c r="H10" s="45">
        <v>4</v>
      </c>
      <c r="I10" s="45">
        <v>3</v>
      </c>
      <c r="J10" s="45">
        <v>3</v>
      </c>
      <c r="K10" s="45">
        <v>3.2</v>
      </c>
      <c r="L10" s="45">
        <v>2</v>
      </c>
      <c r="M10" s="45">
        <v>2</v>
      </c>
      <c r="N10" s="45">
        <v>1</v>
      </c>
      <c r="P10" s="45" t="s">
        <v>549</v>
      </c>
      <c r="Q10" s="45" t="s">
        <v>88</v>
      </c>
      <c r="R10" s="45">
        <v>0</v>
      </c>
      <c r="S10" s="45">
        <v>1</v>
      </c>
      <c r="T10" s="45">
        <v>2</v>
      </c>
      <c r="U10" s="45">
        <v>2</v>
      </c>
      <c r="V10" s="45">
        <v>1</v>
      </c>
      <c r="W10" s="45" t="s">
        <v>145</v>
      </c>
      <c r="X10" s="45">
        <v>6294</v>
      </c>
      <c r="Y10" s="45" t="s">
        <v>115</v>
      </c>
      <c r="Z10" s="45">
        <v>1</v>
      </c>
      <c r="AA10" s="45">
        <v>2</v>
      </c>
      <c r="AB10" s="45">
        <v>2</v>
      </c>
      <c r="AC10" s="45">
        <v>4</v>
      </c>
      <c r="AE10" s="45" t="s">
        <v>888</v>
      </c>
      <c r="AF10" s="45">
        <v>23.67</v>
      </c>
      <c r="AG10" s="45" t="s">
        <v>115</v>
      </c>
      <c r="AH10" s="45">
        <v>1</v>
      </c>
      <c r="AI10" s="45">
        <v>2</v>
      </c>
      <c r="AJ10" s="45">
        <v>1</v>
      </c>
      <c r="AK10" s="45">
        <v>2</v>
      </c>
      <c r="AL10" s="45" t="s">
        <v>964</v>
      </c>
      <c r="AM10" s="45" t="s">
        <v>1455</v>
      </c>
      <c r="AN10" s="45" t="s">
        <v>602</v>
      </c>
      <c r="AO10" s="45" t="s">
        <v>603</v>
      </c>
      <c r="AP10" s="45" t="s">
        <v>604</v>
      </c>
      <c r="AQ10" s="45">
        <v>2</v>
      </c>
      <c r="AR10" s="45">
        <v>2</v>
      </c>
      <c r="AS10" s="45">
        <v>0.6020599913279624</v>
      </c>
      <c r="AT10" s="45" t="s">
        <v>605</v>
      </c>
      <c r="AU10" s="45" t="s">
        <v>966</v>
      </c>
      <c r="AV10" s="45" t="s">
        <v>90</v>
      </c>
      <c r="AW10" s="45">
        <v>1</v>
      </c>
      <c r="AX10" s="45">
        <v>1</v>
      </c>
      <c r="AY10" s="45">
        <v>0</v>
      </c>
      <c r="AZ10" s="45" t="s">
        <v>607</v>
      </c>
      <c r="BA10" s="45">
        <v>7</v>
      </c>
      <c r="BB10" s="45">
        <v>3</v>
      </c>
      <c r="BC10" s="45">
        <v>1</v>
      </c>
      <c r="BD10" s="45">
        <v>0.47712125471966244</v>
      </c>
      <c r="BE10" s="45">
        <v>1</v>
      </c>
      <c r="BG10" s="45">
        <v>5</v>
      </c>
      <c r="BH10" s="45">
        <v>1</v>
      </c>
      <c r="BI10" s="45">
        <v>0.69897000433601886</v>
      </c>
      <c r="BJ10" s="45">
        <v>46</v>
      </c>
      <c r="BK10" s="45">
        <v>4383</v>
      </c>
      <c r="BL10" s="45">
        <v>2</v>
      </c>
      <c r="BM10" s="45">
        <v>2</v>
      </c>
      <c r="BN10" s="45">
        <v>0.6020599913279624</v>
      </c>
      <c r="BQ10" s="45" t="s">
        <v>92</v>
      </c>
      <c r="BR10" s="45">
        <v>3</v>
      </c>
      <c r="BS10" s="45">
        <v>1</v>
      </c>
      <c r="BT10" s="45">
        <v>0.47712125471966244</v>
      </c>
    </row>
    <row r="11" spans="1:72" ht="15.75" customHeight="1">
      <c r="A11" s="45" t="s">
        <v>236</v>
      </c>
      <c r="B11" s="45" t="s">
        <v>177</v>
      </c>
      <c r="C11" s="45">
        <v>1.8918418771392806</v>
      </c>
      <c r="E11" s="45">
        <v>9</v>
      </c>
      <c r="F11" s="45">
        <v>2</v>
      </c>
      <c r="G11" s="45">
        <v>2</v>
      </c>
      <c r="H11" s="45">
        <v>21</v>
      </c>
      <c r="I11" s="45">
        <v>1</v>
      </c>
      <c r="J11" s="45">
        <v>1</v>
      </c>
      <c r="K11" s="45">
        <v>2.2999999999999998</v>
      </c>
      <c r="L11" s="45">
        <v>3</v>
      </c>
      <c r="M11" s="45">
        <v>3</v>
      </c>
      <c r="N11" s="45">
        <v>1</v>
      </c>
      <c r="P11" s="45" t="s">
        <v>163</v>
      </c>
      <c r="Q11" s="45" t="s">
        <v>146</v>
      </c>
      <c r="R11" s="45">
        <v>2</v>
      </c>
      <c r="S11" s="45">
        <v>3</v>
      </c>
      <c r="T11" s="45">
        <v>2</v>
      </c>
      <c r="U11" s="45">
        <v>6</v>
      </c>
      <c r="V11" s="45" t="s">
        <v>645</v>
      </c>
      <c r="W11" s="45" t="s">
        <v>240</v>
      </c>
      <c r="X11" s="45">
        <v>38487</v>
      </c>
      <c r="Y11" s="45" t="s">
        <v>146</v>
      </c>
      <c r="Z11" s="45">
        <v>2</v>
      </c>
      <c r="AA11" s="45">
        <v>3</v>
      </c>
      <c r="AB11" s="45">
        <v>2</v>
      </c>
      <c r="AC11" s="45">
        <v>6</v>
      </c>
      <c r="AF11" s="45">
        <v>53.1</v>
      </c>
      <c r="AG11" s="45" t="s">
        <v>115</v>
      </c>
      <c r="AH11" s="45">
        <v>1</v>
      </c>
      <c r="AI11" s="45">
        <v>1</v>
      </c>
      <c r="AJ11" s="45">
        <v>1</v>
      </c>
      <c r="AK11" s="45">
        <v>1</v>
      </c>
      <c r="AL11" s="45" t="s">
        <v>187</v>
      </c>
      <c r="AM11" s="45" t="s">
        <v>1456</v>
      </c>
      <c r="AN11" s="45" t="s">
        <v>642</v>
      </c>
      <c r="AO11" s="45" t="s">
        <v>643</v>
      </c>
      <c r="AP11" s="45" t="s">
        <v>609</v>
      </c>
      <c r="AQ11" s="45">
        <v>2</v>
      </c>
      <c r="AR11" s="45">
        <v>2</v>
      </c>
      <c r="AS11" s="45">
        <v>0.6020599913279624</v>
      </c>
      <c r="AT11" s="45" t="s">
        <v>605</v>
      </c>
      <c r="AU11" s="45" t="s">
        <v>644</v>
      </c>
      <c r="AV11" s="45" t="s">
        <v>166</v>
      </c>
      <c r="AW11" s="45">
        <v>3</v>
      </c>
      <c r="AX11" s="45">
        <v>1</v>
      </c>
      <c r="AY11" s="45">
        <v>0.47712125471966244</v>
      </c>
      <c r="AZ11" s="45" t="s">
        <v>607</v>
      </c>
      <c r="BA11" s="45">
        <v>12.5</v>
      </c>
      <c r="BB11" s="45">
        <v>2</v>
      </c>
      <c r="BC11" s="45">
        <v>1</v>
      </c>
      <c r="BD11" s="45">
        <v>0.3010299956639812</v>
      </c>
      <c r="BG11" s="45">
        <v>2.6666666669999999</v>
      </c>
      <c r="BH11" s="45">
        <v>1</v>
      </c>
      <c r="BI11" s="45">
        <v>0.42596873232656796</v>
      </c>
      <c r="BJ11" s="45" t="s">
        <v>91</v>
      </c>
      <c r="BK11" s="45">
        <v>23989</v>
      </c>
      <c r="BL11" s="45">
        <v>3</v>
      </c>
      <c r="BM11" s="45">
        <v>2</v>
      </c>
      <c r="BN11" s="45">
        <v>0.95424250943932487</v>
      </c>
      <c r="BQ11" s="45" t="s">
        <v>216</v>
      </c>
      <c r="BR11" s="45">
        <v>3</v>
      </c>
      <c r="BS11" s="45">
        <v>1</v>
      </c>
      <c r="BT11" s="45">
        <v>0.47712125471966244</v>
      </c>
    </row>
    <row r="12" spans="1:72" ht="15.75" customHeight="1">
      <c r="A12" s="45" t="s">
        <v>435</v>
      </c>
      <c r="B12" s="45" t="s">
        <v>177</v>
      </c>
      <c r="C12" s="45">
        <v>1.8578069913024231</v>
      </c>
      <c r="E12" s="45">
        <v>9</v>
      </c>
      <c r="F12" s="45">
        <v>2</v>
      </c>
      <c r="G12" s="45">
        <v>2</v>
      </c>
      <c r="H12" s="45">
        <v>16</v>
      </c>
      <c r="I12" s="45">
        <v>1</v>
      </c>
      <c r="J12" s="45">
        <v>1</v>
      </c>
      <c r="K12" s="45">
        <v>2</v>
      </c>
      <c r="L12" s="45">
        <v>3</v>
      </c>
      <c r="M12" s="45">
        <v>3</v>
      </c>
      <c r="N12" s="45" t="s">
        <v>812</v>
      </c>
      <c r="O12" s="45" t="s">
        <v>813</v>
      </c>
      <c r="P12" s="45" t="s">
        <v>163</v>
      </c>
      <c r="Q12" s="45" t="s">
        <v>146</v>
      </c>
      <c r="R12" s="45">
        <v>2</v>
      </c>
      <c r="S12" s="45">
        <v>3</v>
      </c>
      <c r="T12" s="45">
        <v>2</v>
      </c>
      <c r="U12" s="45">
        <v>6</v>
      </c>
      <c r="V12" s="45" t="s">
        <v>645</v>
      </c>
      <c r="W12" s="45" t="s">
        <v>240</v>
      </c>
      <c r="X12" s="45">
        <v>38487</v>
      </c>
      <c r="Y12" s="45" t="s">
        <v>146</v>
      </c>
      <c r="Z12" s="45">
        <v>2</v>
      </c>
      <c r="AA12" s="45">
        <v>3</v>
      </c>
      <c r="AB12" s="45">
        <v>2</v>
      </c>
      <c r="AC12" s="45">
        <v>6</v>
      </c>
      <c r="AF12" s="45">
        <v>58.5</v>
      </c>
      <c r="AG12" s="45" t="s">
        <v>115</v>
      </c>
      <c r="AH12" s="45">
        <v>1</v>
      </c>
      <c r="AI12" s="45">
        <v>1</v>
      </c>
      <c r="AJ12" s="45">
        <v>1</v>
      </c>
      <c r="AK12" s="45">
        <v>1</v>
      </c>
      <c r="AL12" s="45" t="s">
        <v>438</v>
      </c>
      <c r="AM12" s="45" t="s">
        <v>1457</v>
      </c>
      <c r="AN12" s="45" t="s">
        <v>602</v>
      </c>
      <c r="AO12" s="45" t="s">
        <v>603</v>
      </c>
      <c r="AP12" s="45" t="s">
        <v>604</v>
      </c>
      <c r="AQ12" s="45">
        <v>2</v>
      </c>
      <c r="AR12" s="45">
        <v>2</v>
      </c>
      <c r="AS12" s="45">
        <v>0.6020599913279624</v>
      </c>
      <c r="AT12" s="45" t="s">
        <v>605</v>
      </c>
      <c r="AU12" s="45" t="s">
        <v>815</v>
      </c>
      <c r="AV12" s="45" t="s">
        <v>166</v>
      </c>
      <c r="AW12" s="45">
        <v>3</v>
      </c>
      <c r="AX12" s="45">
        <v>1</v>
      </c>
      <c r="AY12" s="45">
        <v>0.47712125471966244</v>
      </c>
      <c r="AZ12" s="45" t="s">
        <v>607</v>
      </c>
      <c r="BA12" s="45">
        <v>24</v>
      </c>
      <c r="BB12" s="45">
        <v>2</v>
      </c>
      <c r="BC12" s="45">
        <v>1</v>
      </c>
      <c r="BD12" s="45">
        <v>0.3010299956639812</v>
      </c>
      <c r="BG12" s="45">
        <v>2.3333333330000001</v>
      </c>
      <c r="BH12" s="45">
        <v>1</v>
      </c>
      <c r="BI12" s="45">
        <v>0.36797678523255234</v>
      </c>
      <c r="BJ12" s="45" t="s">
        <v>91</v>
      </c>
      <c r="BK12" s="45">
        <v>7823</v>
      </c>
      <c r="BL12" s="45">
        <v>3</v>
      </c>
      <c r="BM12" s="45">
        <v>2</v>
      </c>
      <c r="BN12" s="45">
        <v>0.95424250943932487</v>
      </c>
      <c r="BQ12" s="45" t="s">
        <v>250</v>
      </c>
      <c r="BR12" s="45">
        <v>3</v>
      </c>
      <c r="BS12" s="45">
        <v>1</v>
      </c>
      <c r="BT12" s="45">
        <v>0.47712125471966244</v>
      </c>
    </row>
    <row r="13" spans="1:72" ht="15.75" customHeight="1">
      <c r="A13" s="45" t="s">
        <v>472</v>
      </c>
      <c r="B13" s="45" t="s">
        <v>160</v>
      </c>
      <c r="C13" s="45">
        <v>1.8578069913024231</v>
      </c>
      <c r="E13" s="45">
        <v>15</v>
      </c>
      <c r="F13" s="45">
        <v>2</v>
      </c>
      <c r="G13" s="45">
        <v>2</v>
      </c>
      <c r="H13" s="45">
        <v>10</v>
      </c>
      <c r="I13" s="45">
        <v>2</v>
      </c>
      <c r="J13" s="45">
        <v>2</v>
      </c>
      <c r="K13" s="45">
        <v>2.8</v>
      </c>
      <c r="L13" s="45">
        <v>2</v>
      </c>
      <c r="M13" s="45">
        <v>2</v>
      </c>
      <c r="N13" s="45">
        <v>1</v>
      </c>
      <c r="P13" s="45" t="s">
        <v>475</v>
      </c>
      <c r="Q13" s="45" t="s">
        <v>146</v>
      </c>
      <c r="R13" s="45">
        <v>2</v>
      </c>
      <c r="S13" s="45">
        <v>3</v>
      </c>
      <c r="T13" s="45">
        <v>2</v>
      </c>
      <c r="U13" s="45">
        <v>6</v>
      </c>
      <c r="V13" s="45">
        <v>1</v>
      </c>
      <c r="X13" s="45">
        <v>53556</v>
      </c>
      <c r="Y13" s="45" t="s">
        <v>115</v>
      </c>
      <c r="Z13" s="45">
        <v>1</v>
      </c>
      <c r="AA13" s="45">
        <v>3</v>
      </c>
      <c r="AB13" s="45">
        <v>2</v>
      </c>
      <c r="AC13" s="45">
        <v>6</v>
      </c>
      <c r="AF13" s="45">
        <v>38</v>
      </c>
      <c r="AG13" s="45" t="s">
        <v>88</v>
      </c>
      <c r="AH13" s="45">
        <v>0</v>
      </c>
      <c r="AI13" s="45">
        <v>1</v>
      </c>
      <c r="AJ13" s="45">
        <v>1</v>
      </c>
      <c r="AK13" s="45">
        <v>1</v>
      </c>
      <c r="AL13" s="45">
        <v>89</v>
      </c>
      <c r="AN13" s="45" t="s">
        <v>642</v>
      </c>
      <c r="AO13" s="45" t="s">
        <v>643</v>
      </c>
      <c r="AP13" s="45" t="s">
        <v>609</v>
      </c>
      <c r="AQ13" s="45">
        <v>2</v>
      </c>
      <c r="AR13" s="45">
        <v>2</v>
      </c>
      <c r="AS13" s="45">
        <v>0.6020599913279624</v>
      </c>
      <c r="AT13" s="45" t="s">
        <v>605</v>
      </c>
      <c r="AU13" s="45" t="s">
        <v>644</v>
      </c>
      <c r="AV13" s="45" t="s">
        <v>166</v>
      </c>
      <c r="AW13" s="45">
        <v>3</v>
      </c>
      <c r="AX13" s="45">
        <v>1</v>
      </c>
      <c r="AY13" s="45">
        <v>0.47712125471966244</v>
      </c>
      <c r="AZ13" s="45" t="s">
        <v>607</v>
      </c>
      <c r="BA13" s="45">
        <v>18</v>
      </c>
      <c r="BB13" s="45">
        <v>2</v>
      </c>
      <c r="BC13" s="45">
        <v>1</v>
      </c>
      <c r="BD13" s="45">
        <v>0.3010299956639812</v>
      </c>
      <c r="BE13" s="45">
        <v>1</v>
      </c>
      <c r="BG13" s="45">
        <v>2.3333333330000001</v>
      </c>
      <c r="BH13" s="45">
        <v>1</v>
      </c>
      <c r="BI13" s="45">
        <v>0.36797678523255234</v>
      </c>
      <c r="BJ13" s="45" t="s">
        <v>91</v>
      </c>
      <c r="BK13" s="45">
        <v>6051</v>
      </c>
      <c r="BL13" s="45">
        <v>3</v>
      </c>
      <c r="BM13" s="45">
        <v>2</v>
      </c>
      <c r="BN13" s="45">
        <v>0.95424250943932487</v>
      </c>
      <c r="BQ13" s="45" t="s">
        <v>92</v>
      </c>
      <c r="BR13" s="45">
        <v>3</v>
      </c>
      <c r="BS13" s="45">
        <v>1</v>
      </c>
      <c r="BT13" s="45">
        <v>0.47712125471966244</v>
      </c>
    </row>
    <row r="14" spans="1:72" ht="15.75" customHeight="1">
      <c r="A14" s="45" t="s">
        <v>1202</v>
      </c>
      <c r="B14" s="45" t="s">
        <v>286</v>
      </c>
      <c r="C14" s="45">
        <v>1.8526337486845774</v>
      </c>
      <c r="E14" s="45">
        <v>7.5</v>
      </c>
      <c r="F14" s="45">
        <v>2</v>
      </c>
      <c r="G14" s="45">
        <v>2</v>
      </c>
      <c r="H14" s="45">
        <v>26.5</v>
      </c>
      <c r="I14" s="45">
        <v>1</v>
      </c>
      <c r="J14" s="45">
        <v>1</v>
      </c>
      <c r="K14" s="45">
        <v>3</v>
      </c>
      <c r="L14" s="45">
        <v>2</v>
      </c>
      <c r="M14" s="45">
        <v>2</v>
      </c>
      <c r="N14" s="45">
        <v>1</v>
      </c>
      <c r="P14" s="45" t="s">
        <v>288</v>
      </c>
      <c r="Q14" s="45" t="s">
        <v>88</v>
      </c>
      <c r="R14" s="45">
        <v>0</v>
      </c>
      <c r="S14" s="45">
        <v>3</v>
      </c>
      <c r="T14" s="45">
        <v>2</v>
      </c>
      <c r="U14" s="45">
        <v>6</v>
      </c>
      <c r="V14" s="45">
        <v>1</v>
      </c>
      <c r="W14" s="45" t="s">
        <v>135</v>
      </c>
      <c r="X14" s="45">
        <v>10969</v>
      </c>
      <c r="Y14" s="45" t="s">
        <v>115</v>
      </c>
      <c r="Z14" s="45">
        <v>1</v>
      </c>
      <c r="AA14" s="45">
        <v>2</v>
      </c>
      <c r="AB14" s="45">
        <v>2</v>
      </c>
      <c r="AC14" s="45">
        <v>4</v>
      </c>
      <c r="AF14" s="45">
        <v>38.5</v>
      </c>
      <c r="AG14" s="45" t="s">
        <v>88</v>
      </c>
      <c r="AH14" s="45">
        <v>0</v>
      </c>
      <c r="AI14" s="45">
        <v>1</v>
      </c>
      <c r="AJ14" s="45">
        <v>1</v>
      </c>
      <c r="AK14" s="45">
        <v>1</v>
      </c>
      <c r="AN14" s="45" t="s">
        <v>602</v>
      </c>
      <c r="AO14" s="45" t="s">
        <v>603</v>
      </c>
      <c r="AP14" s="45" t="s">
        <v>604</v>
      </c>
      <c r="AQ14" s="45">
        <v>2</v>
      </c>
      <c r="AR14" s="45">
        <v>2</v>
      </c>
      <c r="AS14" s="45">
        <v>0.6020599913279624</v>
      </c>
      <c r="AT14" s="45" t="s">
        <v>605</v>
      </c>
      <c r="AU14" s="45" t="s">
        <v>946</v>
      </c>
      <c r="AV14" s="45" t="s">
        <v>166</v>
      </c>
      <c r="AW14" s="45">
        <v>3</v>
      </c>
      <c r="AX14" s="45">
        <v>1</v>
      </c>
      <c r="AY14" s="45">
        <v>0.47712125471966244</v>
      </c>
      <c r="AZ14" s="45" t="s">
        <v>607</v>
      </c>
      <c r="BA14" s="45">
        <v>15.25</v>
      </c>
      <c r="BB14" s="45">
        <v>2</v>
      </c>
      <c r="BC14" s="45">
        <v>1</v>
      </c>
      <c r="BD14" s="45">
        <v>0.3010299956639812</v>
      </c>
      <c r="BG14" s="45">
        <v>2</v>
      </c>
      <c r="BH14" s="45">
        <v>1</v>
      </c>
      <c r="BI14" s="45">
        <v>0.3010299956639812</v>
      </c>
      <c r="BJ14" s="45" t="s">
        <v>91</v>
      </c>
      <c r="BK14" s="45">
        <v>2439</v>
      </c>
      <c r="BL14" s="45">
        <v>2</v>
      </c>
      <c r="BM14" s="45">
        <v>2</v>
      </c>
      <c r="BN14" s="45">
        <v>0.6020599913279624</v>
      </c>
      <c r="BQ14" s="45" t="s">
        <v>92</v>
      </c>
      <c r="BR14" s="45">
        <v>3</v>
      </c>
      <c r="BS14" s="45">
        <v>1</v>
      </c>
      <c r="BT14" s="45">
        <v>0.47712125471966244</v>
      </c>
    </row>
    <row r="15" spans="1:72" ht="15.75" customHeight="1">
      <c r="A15" s="45" t="s">
        <v>138</v>
      </c>
      <c r="B15" s="45" t="s">
        <v>141</v>
      </c>
      <c r="C15" s="45">
        <v>1.8366018619464182</v>
      </c>
      <c r="E15" s="45">
        <v>3.5</v>
      </c>
      <c r="F15" s="45">
        <v>3</v>
      </c>
      <c r="G15" s="45">
        <v>3</v>
      </c>
      <c r="H15" s="45">
        <v>8.3333333330000006</v>
      </c>
      <c r="I15" s="45">
        <v>2</v>
      </c>
      <c r="J15" s="45">
        <v>2</v>
      </c>
      <c r="K15" s="45">
        <v>3.2</v>
      </c>
      <c r="L15" s="45">
        <v>2</v>
      </c>
      <c r="M15" s="45">
        <v>2</v>
      </c>
      <c r="N15" s="45">
        <v>1</v>
      </c>
      <c r="P15" s="45" t="s">
        <v>143</v>
      </c>
      <c r="Q15" s="45" t="s">
        <v>88</v>
      </c>
      <c r="R15" s="45">
        <v>0</v>
      </c>
      <c r="S15" s="45">
        <v>1</v>
      </c>
      <c r="T15" s="45">
        <v>2</v>
      </c>
      <c r="U15" s="45">
        <v>2</v>
      </c>
      <c r="V15" s="45">
        <v>1</v>
      </c>
      <c r="W15" s="45" t="s">
        <v>145</v>
      </c>
      <c r="X15" s="45">
        <v>4774</v>
      </c>
      <c r="Y15" s="45" t="s">
        <v>146</v>
      </c>
      <c r="Z15" s="45">
        <v>2</v>
      </c>
      <c r="AA15" s="45">
        <v>2</v>
      </c>
      <c r="AB15" s="45">
        <v>2</v>
      </c>
      <c r="AC15" s="45">
        <v>4</v>
      </c>
      <c r="AF15" s="45">
        <v>17</v>
      </c>
      <c r="AG15" s="45" t="s">
        <v>115</v>
      </c>
      <c r="AH15" s="45">
        <v>1</v>
      </c>
      <c r="AI15" s="45">
        <v>2</v>
      </c>
      <c r="AJ15" s="45">
        <v>1</v>
      </c>
      <c r="AK15" s="45">
        <v>2</v>
      </c>
      <c r="AM15" s="45" t="s">
        <v>148</v>
      </c>
      <c r="AN15" s="45" t="s">
        <v>602</v>
      </c>
      <c r="AO15" s="45" t="s">
        <v>603</v>
      </c>
      <c r="AP15" s="45" t="s">
        <v>604</v>
      </c>
      <c r="AQ15" s="45">
        <v>2</v>
      </c>
      <c r="AR15" s="45">
        <v>2</v>
      </c>
      <c r="AS15" s="45">
        <v>0.6020599913279624</v>
      </c>
      <c r="AT15" s="45" t="s">
        <v>605</v>
      </c>
      <c r="AU15" s="45" t="s">
        <v>611</v>
      </c>
      <c r="AV15" s="45" t="s">
        <v>90</v>
      </c>
      <c r="AW15" s="45">
        <v>1</v>
      </c>
      <c r="AX15" s="45">
        <v>1</v>
      </c>
      <c r="AY15" s="45">
        <v>0</v>
      </c>
      <c r="AZ15" s="45" t="s">
        <v>607</v>
      </c>
      <c r="BA15" s="45">
        <v>7.5</v>
      </c>
      <c r="BB15" s="45">
        <v>3</v>
      </c>
      <c r="BC15" s="45">
        <v>1</v>
      </c>
      <c r="BD15" s="45">
        <v>0.47712125471966244</v>
      </c>
      <c r="BG15" s="45">
        <v>1</v>
      </c>
      <c r="BH15" s="45">
        <v>1</v>
      </c>
      <c r="BI15" s="45">
        <v>0</v>
      </c>
      <c r="BJ15" s="45" t="s">
        <v>99</v>
      </c>
      <c r="BK15" s="45">
        <v>88116</v>
      </c>
      <c r="BL15" s="45">
        <v>3</v>
      </c>
      <c r="BM15" s="45">
        <v>2</v>
      </c>
      <c r="BN15" s="45">
        <v>0.95424250943932487</v>
      </c>
      <c r="BQ15" s="45" t="s">
        <v>106</v>
      </c>
      <c r="BR15" s="45">
        <v>3</v>
      </c>
      <c r="BS15" s="45">
        <v>1</v>
      </c>
      <c r="BT15" s="45">
        <v>0.47712125471966244</v>
      </c>
    </row>
    <row r="16" spans="1:72" ht="15.75" customHeight="1">
      <c r="A16" s="45" t="s">
        <v>893</v>
      </c>
      <c r="B16" s="45" t="s">
        <v>83</v>
      </c>
      <c r="C16" s="45">
        <v>1.8366018619464182</v>
      </c>
      <c r="E16" s="45">
        <v>20</v>
      </c>
      <c r="F16" s="45">
        <v>1</v>
      </c>
      <c r="G16" s="45">
        <v>1</v>
      </c>
      <c r="H16" s="45">
        <v>14</v>
      </c>
      <c r="I16" s="45">
        <v>2</v>
      </c>
      <c r="J16" s="45">
        <v>2</v>
      </c>
      <c r="K16" s="45">
        <v>2.7</v>
      </c>
      <c r="L16" s="45">
        <v>2</v>
      </c>
      <c r="M16" s="45">
        <v>2</v>
      </c>
      <c r="N16" s="45">
        <v>1</v>
      </c>
      <c r="P16" s="45" t="s">
        <v>896</v>
      </c>
      <c r="Q16" s="45" t="s">
        <v>88</v>
      </c>
      <c r="R16" s="45">
        <v>0</v>
      </c>
      <c r="S16" s="45">
        <v>3</v>
      </c>
      <c r="T16" s="45">
        <v>2</v>
      </c>
      <c r="U16" s="45">
        <v>6</v>
      </c>
      <c r="V16" s="45">
        <v>1</v>
      </c>
      <c r="W16" s="45" t="s">
        <v>89</v>
      </c>
      <c r="X16" s="45">
        <v>800</v>
      </c>
      <c r="Y16" s="45" t="s">
        <v>88</v>
      </c>
      <c r="Z16" s="45">
        <v>0</v>
      </c>
      <c r="AA16" s="45">
        <v>1</v>
      </c>
      <c r="AB16" s="45">
        <v>2</v>
      </c>
      <c r="AC16" s="45">
        <v>2</v>
      </c>
      <c r="AF16" s="45">
        <v>17</v>
      </c>
      <c r="AG16" s="45" t="s">
        <v>115</v>
      </c>
      <c r="AH16" s="45">
        <v>1</v>
      </c>
      <c r="AI16" s="45">
        <v>2</v>
      </c>
      <c r="AJ16" s="45">
        <v>1</v>
      </c>
      <c r="AK16" s="45">
        <v>2</v>
      </c>
      <c r="AL16" s="45" t="s">
        <v>197</v>
      </c>
      <c r="AM16" s="45" t="s">
        <v>681</v>
      </c>
      <c r="AN16" s="45" t="s">
        <v>622</v>
      </c>
      <c r="AO16" s="45" t="s">
        <v>622</v>
      </c>
      <c r="AP16" s="45" t="s">
        <v>623</v>
      </c>
      <c r="AQ16" s="45">
        <v>3</v>
      </c>
      <c r="AR16" s="45">
        <v>2</v>
      </c>
      <c r="AS16" s="45">
        <v>0.95424250943932487</v>
      </c>
      <c r="AT16" s="45" t="s">
        <v>605</v>
      </c>
      <c r="AU16" s="45" t="s">
        <v>624</v>
      </c>
      <c r="AV16" s="45" t="s">
        <v>90</v>
      </c>
      <c r="AW16" s="45">
        <v>1</v>
      </c>
      <c r="AX16" s="45">
        <v>1</v>
      </c>
      <c r="AY16" s="45">
        <v>0</v>
      </c>
      <c r="AZ16" s="45" t="s">
        <v>607</v>
      </c>
      <c r="BA16" s="45">
        <v>20.5</v>
      </c>
      <c r="BB16" s="45">
        <v>2</v>
      </c>
      <c r="BC16" s="45">
        <v>1</v>
      </c>
      <c r="BD16" s="45">
        <v>0.3010299956639812</v>
      </c>
      <c r="BG16" s="45">
        <v>1.5</v>
      </c>
      <c r="BH16" s="45">
        <v>1</v>
      </c>
      <c r="BI16" s="45">
        <v>0.17609125905568124</v>
      </c>
      <c r="BJ16" s="45" t="s">
        <v>99</v>
      </c>
      <c r="BK16" s="45">
        <v>5570</v>
      </c>
      <c r="BL16" s="45">
        <v>2</v>
      </c>
      <c r="BM16" s="45">
        <v>2</v>
      </c>
      <c r="BN16" s="45">
        <v>0.6020599913279624</v>
      </c>
      <c r="BQ16" s="45" t="s">
        <v>106</v>
      </c>
      <c r="BR16" s="45">
        <v>3</v>
      </c>
      <c r="BS16" s="45">
        <v>1</v>
      </c>
      <c r="BT16" s="45">
        <v>0.47712125471966244</v>
      </c>
    </row>
    <row r="17" spans="1:72" ht="15.75" customHeight="1">
      <c r="A17" s="45" t="s">
        <v>482</v>
      </c>
      <c r="B17" s="45" t="s">
        <v>286</v>
      </c>
      <c r="C17" s="45">
        <v>1.8313449774770043</v>
      </c>
      <c r="E17" s="45">
        <v>7.5</v>
      </c>
      <c r="F17" s="45">
        <v>2</v>
      </c>
      <c r="G17" s="45">
        <v>2</v>
      </c>
      <c r="H17" s="45">
        <v>14</v>
      </c>
      <c r="I17" s="45">
        <v>2</v>
      </c>
      <c r="J17" s="45">
        <v>2</v>
      </c>
      <c r="K17" s="45">
        <v>2.8</v>
      </c>
      <c r="L17" s="45">
        <v>2</v>
      </c>
      <c r="M17" s="45">
        <v>2</v>
      </c>
      <c r="N17" s="45">
        <v>1</v>
      </c>
      <c r="P17" s="45" t="s">
        <v>288</v>
      </c>
      <c r="Q17" s="45" t="s">
        <v>88</v>
      </c>
      <c r="R17" s="45">
        <v>0</v>
      </c>
      <c r="S17" s="45">
        <v>3</v>
      </c>
      <c r="T17" s="45">
        <v>2</v>
      </c>
      <c r="U17" s="45">
        <v>6</v>
      </c>
      <c r="V17" s="45">
        <v>1</v>
      </c>
      <c r="W17" s="45" t="s">
        <v>135</v>
      </c>
      <c r="X17" s="45">
        <v>10969</v>
      </c>
      <c r="Y17" s="45" t="s">
        <v>115</v>
      </c>
      <c r="Z17" s="45">
        <v>1</v>
      </c>
      <c r="AA17" s="45">
        <v>2</v>
      </c>
      <c r="AB17" s="45">
        <v>2</v>
      </c>
      <c r="AC17" s="45">
        <v>4</v>
      </c>
      <c r="AF17" s="45">
        <v>38.5</v>
      </c>
      <c r="AG17" s="45" t="s">
        <v>115</v>
      </c>
      <c r="AH17" s="45">
        <v>1</v>
      </c>
      <c r="AI17" s="45">
        <v>1</v>
      </c>
      <c r="AJ17" s="45">
        <v>1</v>
      </c>
      <c r="AK17" s="45">
        <v>1</v>
      </c>
      <c r="AL17" s="45">
        <v>63</v>
      </c>
      <c r="AM17" s="45" t="s">
        <v>1458</v>
      </c>
      <c r="AN17" s="45" t="s">
        <v>602</v>
      </c>
      <c r="AO17" s="45" t="s">
        <v>603</v>
      </c>
      <c r="AP17" s="45" t="s">
        <v>604</v>
      </c>
      <c r="AQ17" s="45">
        <v>2</v>
      </c>
      <c r="AR17" s="45">
        <v>2</v>
      </c>
      <c r="AS17" s="45">
        <v>0.6020599913279624</v>
      </c>
      <c r="AT17" s="45" t="s">
        <v>605</v>
      </c>
      <c r="AU17" s="45" t="s">
        <v>606</v>
      </c>
      <c r="AV17" s="45" t="s">
        <v>166</v>
      </c>
      <c r="AW17" s="45">
        <v>3</v>
      </c>
      <c r="AX17" s="45">
        <v>1</v>
      </c>
      <c r="AY17" s="45">
        <v>0.47712125471966244</v>
      </c>
      <c r="AZ17" s="45" t="s">
        <v>607</v>
      </c>
      <c r="BA17" s="45">
        <v>30</v>
      </c>
      <c r="BB17" s="45">
        <v>1</v>
      </c>
      <c r="BC17" s="45">
        <v>1</v>
      </c>
      <c r="BD17" s="45">
        <v>0</v>
      </c>
      <c r="BG17" s="45">
        <v>2.3333333330000001</v>
      </c>
      <c r="BH17" s="45">
        <v>1</v>
      </c>
      <c r="BI17" s="45">
        <v>0.36797678523255234</v>
      </c>
      <c r="BJ17" s="45" t="s">
        <v>91</v>
      </c>
      <c r="BK17" s="45">
        <v>6032</v>
      </c>
      <c r="BL17" s="45">
        <v>3</v>
      </c>
      <c r="BM17" s="45">
        <v>2</v>
      </c>
      <c r="BN17" s="45">
        <v>0.95424250943932487</v>
      </c>
      <c r="BQ17" s="45" t="s">
        <v>106</v>
      </c>
      <c r="BR17" s="45">
        <v>3</v>
      </c>
      <c r="BS17" s="45">
        <v>1</v>
      </c>
      <c r="BT17" s="45">
        <v>0.47712125471966244</v>
      </c>
    </row>
    <row r="18" spans="1:72" ht="15.75" customHeight="1">
      <c r="A18" s="45" t="s">
        <v>868</v>
      </c>
      <c r="B18" s="45" t="s">
        <v>739</v>
      </c>
      <c r="C18" s="45">
        <v>1.8170531579261398</v>
      </c>
      <c r="E18" s="45">
        <v>10</v>
      </c>
      <c r="F18" s="45">
        <v>2</v>
      </c>
      <c r="G18" s="45">
        <v>2</v>
      </c>
      <c r="H18" s="45">
        <v>37.5</v>
      </c>
      <c r="I18" s="45">
        <v>1</v>
      </c>
      <c r="J18" s="45">
        <v>1</v>
      </c>
      <c r="K18" s="45">
        <v>3.4</v>
      </c>
      <c r="L18" s="45">
        <v>2</v>
      </c>
      <c r="M18" s="45">
        <v>2</v>
      </c>
      <c r="N18" s="45">
        <v>1</v>
      </c>
      <c r="P18" s="45" t="s">
        <v>872</v>
      </c>
      <c r="Q18" s="45" t="s">
        <v>88</v>
      </c>
      <c r="R18" s="45">
        <v>0</v>
      </c>
      <c r="S18" s="45">
        <v>3</v>
      </c>
      <c r="T18" s="45">
        <v>2</v>
      </c>
      <c r="U18" s="45">
        <v>6</v>
      </c>
      <c r="V18" s="45">
        <v>1</v>
      </c>
      <c r="W18" s="45" t="s">
        <v>135</v>
      </c>
      <c r="X18" s="45">
        <v>18</v>
      </c>
      <c r="Y18" s="45" t="s">
        <v>146</v>
      </c>
      <c r="Z18" s="45">
        <v>2</v>
      </c>
      <c r="AA18" s="45">
        <v>1</v>
      </c>
      <c r="AB18" s="45">
        <v>2</v>
      </c>
      <c r="AC18" s="45">
        <v>2</v>
      </c>
      <c r="AF18" s="45">
        <v>44.3</v>
      </c>
      <c r="AG18" s="45" t="s">
        <v>88</v>
      </c>
      <c r="AH18" s="45">
        <v>0</v>
      </c>
      <c r="AI18" s="45">
        <v>1</v>
      </c>
      <c r="AJ18" s="45">
        <v>1</v>
      </c>
      <c r="AK18" s="45">
        <v>1</v>
      </c>
      <c r="AN18" s="45" t="s">
        <v>602</v>
      </c>
      <c r="AO18" s="45" t="s">
        <v>603</v>
      </c>
      <c r="AP18" s="45" t="s">
        <v>604</v>
      </c>
      <c r="AQ18" s="45">
        <v>2</v>
      </c>
      <c r="AR18" s="45">
        <v>2</v>
      </c>
      <c r="AS18" s="45">
        <v>0.6020599913279624</v>
      </c>
      <c r="AT18" s="45" t="s">
        <v>605</v>
      </c>
      <c r="AU18" s="45" t="s">
        <v>606</v>
      </c>
      <c r="AV18" s="45" t="s">
        <v>90</v>
      </c>
      <c r="AW18" s="45">
        <v>1</v>
      </c>
      <c r="AX18" s="45">
        <v>1</v>
      </c>
      <c r="AY18" s="45">
        <v>0</v>
      </c>
      <c r="AZ18" s="45" t="s">
        <v>607</v>
      </c>
      <c r="BA18" s="45">
        <v>82.75</v>
      </c>
      <c r="BB18" s="45">
        <v>1</v>
      </c>
      <c r="BC18" s="45">
        <v>1</v>
      </c>
      <c r="BD18" s="45">
        <v>0</v>
      </c>
      <c r="BG18" s="45">
        <v>3</v>
      </c>
      <c r="BH18" s="45">
        <v>1</v>
      </c>
      <c r="BI18" s="45">
        <v>0.47712125471966244</v>
      </c>
      <c r="BJ18" s="45" t="s">
        <v>99</v>
      </c>
      <c r="BK18" s="45">
        <v>5971</v>
      </c>
      <c r="BL18" s="45">
        <v>2</v>
      </c>
      <c r="BM18" s="45">
        <v>2</v>
      </c>
      <c r="BN18" s="45">
        <v>0.6020599913279624</v>
      </c>
      <c r="BQ18" s="45" t="s">
        <v>92</v>
      </c>
      <c r="BR18" s="45">
        <v>3</v>
      </c>
      <c r="BS18" s="45">
        <v>1</v>
      </c>
      <c r="BT18" s="45">
        <v>0.47712125471966244</v>
      </c>
    </row>
    <row r="19" spans="1:72" ht="15.75" customHeight="1">
      <c r="A19" s="45" t="s">
        <v>998</v>
      </c>
      <c r="B19" s="45" t="s">
        <v>141</v>
      </c>
      <c r="C19" s="45">
        <v>1.8170531579261398</v>
      </c>
      <c r="E19" s="45">
        <v>3.8</v>
      </c>
      <c r="F19" s="45">
        <v>3</v>
      </c>
      <c r="G19" s="45">
        <v>3</v>
      </c>
      <c r="H19" s="45">
        <v>10</v>
      </c>
      <c r="I19" s="45">
        <v>2</v>
      </c>
      <c r="J19" s="45">
        <v>2</v>
      </c>
      <c r="K19" s="45">
        <v>3.6</v>
      </c>
      <c r="L19" s="45">
        <v>1</v>
      </c>
      <c r="M19" s="45">
        <v>1</v>
      </c>
      <c r="N19" s="45">
        <v>1</v>
      </c>
      <c r="P19" s="45" t="s">
        <v>1000</v>
      </c>
      <c r="Q19" s="45" t="s">
        <v>88</v>
      </c>
      <c r="R19" s="45">
        <v>0</v>
      </c>
      <c r="S19" s="45">
        <v>1</v>
      </c>
      <c r="T19" s="45">
        <v>2</v>
      </c>
      <c r="U19" s="45">
        <v>2</v>
      </c>
      <c r="V19" s="45">
        <v>1</v>
      </c>
      <c r="W19" s="45" t="s">
        <v>145</v>
      </c>
      <c r="X19" s="45">
        <v>12000</v>
      </c>
      <c r="Y19" s="45" t="s">
        <v>88</v>
      </c>
      <c r="Z19" s="45">
        <v>0</v>
      </c>
      <c r="AA19" s="45">
        <v>2</v>
      </c>
      <c r="AB19" s="45">
        <v>2</v>
      </c>
      <c r="AC19" s="45">
        <v>4</v>
      </c>
      <c r="AF19" s="45">
        <v>17</v>
      </c>
      <c r="AG19" s="45" t="s">
        <v>88</v>
      </c>
      <c r="AH19" s="45">
        <v>0</v>
      </c>
      <c r="AI19" s="45">
        <v>2</v>
      </c>
      <c r="AJ19" s="45">
        <v>1</v>
      </c>
      <c r="AK19" s="45">
        <v>2</v>
      </c>
      <c r="AN19" s="45" t="s">
        <v>602</v>
      </c>
      <c r="AO19" s="45" t="s">
        <v>603</v>
      </c>
      <c r="AP19" s="45" t="s">
        <v>604</v>
      </c>
      <c r="AQ19" s="45">
        <v>2</v>
      </c>
      <c r="AR19" s="45">
        <v>2</v>
      </c>
      <c r="AS19" s="45">
        <v>0.6020599913279624</v>
      </c>
      <c r="AT19" s="45" t="s">
        <v>605</v>
      </c>
      <c r="AU19" s="45" t="s">
        <v>1001</v>
      </c>
      <c r="AV19" s="45" t="s">
        <v>90</v>
      </c>
      <c r="AW19" s="45">
        <v>1</v>
      </c>
      <c r="AX19" s="45">
        <v>1</v>
      </c>
      <c r="AY19" s="45">
        <v>0</v>
      </c>
      <c r="AZ19" s="45" t="s">
        <v>607</v>
      </c>
      <c r="BA19" s="45">
        <v>2.25</v>
      </c>
      <c r="BB19" s="45">
        <v>3</v>
      </c>
      <c r="BC19" s="45">
        <v>1</v>
      </c>
      <c r="BD19" s="45">
        <v>0.47712125471966244</v>
      </c>
      <c r="BG19" s="45">
        <v>1</v>
      </c>
      <c r="BH19" s="45">
        <v>1</v>
      </c>
      <c r="BI19" s="45">
        <v>0</v>
      </c>
      <c r="BJ19" s="45" t="s">
        <v>273</v>
      </c>
      <c r="BK19" s="45">
        <v>3970</v>
      </c>
      <c r="BL19" s="45">
        <v>2</v>
      </c>
      <c r="BM19" s="45">
        <v>2</v>
      </c>
      <c r="BN19" s="45">
        <v>0.6020599913279624</v>
      </c>
      <c r="BQ19" s="45" t="s">
        <v>106</v>
      </c>
      <c r="BR19" s="45">
        <v>3</v>
      </c>
      <c r="BS19" s="45">
        <v>1</v>
      </c>
      <c r="BT19" s="45">
        <v>0.47712125471966244</v>
      </c>
    </row>
    <row r="20" spans="1:72" ht="15.75" customHeight="1">
      <c r="A20" s="45" t="s">
        <v>852</v>
      </c>
      <c r="B20" s="45" t="s">
        <v>170</v>
      </c>
      <c r="C20" s="45">
        <v>1.8159538364927628</v>
      </c>
      <c r="E20" s="45">
        <v>10</v>
      </c>
      <c r="F20" s="45">
        <v>2</v>
      </c>
      <c r="G20" s="45">
        <v>2</v>
      </c>
      <c r="H20" s="45">
        <v>11</v>
      </c>
      <c r="I20" s="45">
        <v>2</v>
      </c>
      <c r="J20" s="45">
        <v>2</v>
      </c>
      <c r="K20" s="45">
        <v>2</v>
      </c>
      <c r="L20" s="45">
        <v>3</v>
      </c>
      <c r="M20" s="45">
        <v>3</v>
      </c>
      <c r="N20" s="45">
        <v>1</v>
      </c>
      <c r="P20" s="45" t="s">
        <v>172</v>
      </c>
      <c r="Q20" s="45" t="s">
        <v>88</v>
      </c>
      <c r="R20" s="45">
        <v>0</v>
      </c>
      <c r="S20" s="45">
        <v>3</v>
      </c>
      <c r="T20" s="45">
        <v>2</v>
      </c>
      <c r="U20" s="45">
        <v>6</v>
      </c>
      <c r="V20" s="45">
        <v>1</v>
      </c>
      <c r="W20" s="45" t="s">
        <v>114</v>
      </c>
      <c r="X20" s="45">
        <v>8450</v>
      </c>
      <c r="Y20" s="45" t="s">
        <v>115</v>
      </c>
      <c r="Z20" s="45">
        <v>1</v>
      </c>
      <c r="AA20" s="45">
        <v>2</v>
      </c>
      <c r="AB20" s="45">
        <v>2</v>
      </c>
      <c r="AC20" s="45">
        <v>4</v>
      </c>
      <c r="AE20" s="45" t="s">
        <v>746</v>
      </c>
      <c r="AF20" s="45">
        <v>44</v>
      </c>
      <c r="AG20" s="45" t="s">
        <v>146</v>
      </c>
      <c r="AH20" s="45">
        <v>2</v>
      </c>
      <c r="AI20" s="45">
        <v>1</v>
      </c>
      <c r="AJ20" s="45">
        <v>1</v>
      </c>
      <c r="AK20" s="45">
        <v>1</v>
      </c>
      <c r="AL20" s="45" t="s">
        <v>173</v>
      </c>
      <c r="AM20" s="45" t="s">
        <v>1459</v>
      </c>
      <c r="AN20" s="45" t="s">
        <v>622</v>
      </c>
      <c r="AO20" s="45" t="s">
        <v>622</v>
      </c>
      <c r="AP20" s="45" t="s">
        <v>623</v>
      </c>
      <c r="AQ20" s="45">
        <v>3</v>
      </c>
      <c r="AR20" s="45">
        <v>2</v>
      </c>
      <c r="AS20" s="45">
        <v>0.95424250943932487</v>
      </c>
      <c r="AT20" s="45" t="s">
        <v>605</v>
      </c>
      <c r="AU20" s="45" t="s">
        <v>775</v>
      </c>
      <c r="AV20" s="45" t="s">
        <v>90</v>
      </c>
      <c r="AW20" s="45">
        <v>1</v>
      </c>
      <c r="AX20" s="45">
        <v>1</v>
      </c>
      <c r="AY20" s="45">
        <v>0</v>
      </c>
      <c r="AZ20" s="45" t="s">
        <v>607</v>
      </c>
      <c r="BA20" s="45">
        <v>5.5</v>
      </c>
      <c r="BB20" s="45">
        <v>3</v>
      </c>
      <c r="BC20" s="45">
        <v>1</v>
      </c>
      <c r="BD20" s="45">
        <v>0.47712125471966244</v>
      </c>
      <c r="BG20" s="45">
        <v>2</v>
      </c>
      <c r="BH20" s="45">
        <v>1</v>
      </c>
      <c r="BI20" s="45">
        <v>0.3010299956639812</v>
      </c>
      <c r="BJ20" s="45">
        <v>46</v>
      </c>
      <c r="BK20" s="45">
        <v>6304</v>
      </c>
      <c r="BL20" s="45">
        <v>3</v>
      </c>
      <c r="BM20" s="45">
        <v>2</v>
      </c>
      <c r="BN20" s="45">
        <v>0.95424250943932487</v>
      </c>
      <c r="BQ20" s="45" t="s">
        <v>137</v>
      </c>
      <c r="BR20" s="45">
        <v>2</v>
      </c>
      <c r="BS20" s="45">
        <v>1</v>
      </c>
      <c r="BT20" s="45">
        <v>0.3010299956639812</v>
      </c>
    </row>
    <row r="21" spans="1:72" ht="15.75" customHeight="1">
      <c r="A21" s="45" t="s">
        <v>560</v>
      </c>
      <c r="B21" s="45" t="s">
        <v>286</v>
      </c>
      <c r="C21" s="45">
        <v>1.8102180579471396</v>
      </c>
      <c r="E21" s="45">
        <v>7.5</v>
      </c>
      <c r="F21" s="45">
        <v>2</v>
      </c>
      <c r="G21" s="45">
        <v>2</v>
      </c>
      <c r="H21" s="45">
        <v>20.5</v>
      </c>
      <c r="I21" s="45">
        <v>1</v>
      </c>
      <c r="J21" s="45">
        <v>1</v>
      </c>
      <c r="K21" s="45">
        <v>3.7</v>
      </c>
      <c r="L21" s="45">
        <v>1</v>
      </c>
      <c r="M21" s="45">
        <v>1</v>
      </c>
      <c r="N21" s="45">
        <v>1</v>
      </c>
      <c r="P21" s="45" t="s">
        <v>288</v>
      </c>
      <c r="Q21" s="45" t="s">
        <v>88</v>
      </c>
      <c r="R21" s="45">
        <v>0</v>
      </c>
      <c r="S21" s="45">
        <v>3</v>
      </c>
      <c r="T21" s="45">
        <v>2</v>
      </c>
      <c r="U21" s="45">
        <v>6</v>
      </c>
      <c r="V21" s="45">
        <v>1</v>
      </c>
      <c r="W21" s="45" t="s">
        <v>135</v>
      </c>
      <c r="X21" s="45">
        <v>10969</v>
      </c>
      <c r="Y21" s="45" t="s">
        <v>115</v>
      </c>
      <c r="Z21" s="45">
        <v>1</v>
      </c>
      <c r="AA21" s="45">
        <v>2</v>
      </c>
      <c r="AB21" s="45">
        <v>2</v>
      </c>
      <c r="AC21" s="45">
        <v>4</v>
      </c>
      <c r="AF21" s="45">
        <v>43</v>
      </c>
      <c r="AG21" s="45" t="s">
        <v>88</v>
      </c>
      <c r="AH21" s="45">
        <v>0</v>
      </c>
      <c r="AI21" s="45">
        <v>1</v>
      </c>
      <c r="AJ21" s="45">
        <v>1</v>
      </c>
      <c r="AK21" s="45">
        <v>1</v>
      </c>
      <c r="AN21" s="45" t="s">
        <v>602</v>
      </c>
      <c r="AO21" s="45" t="s">
        <v>603</v>
      </c>
      <c r="AP21" s="45" t="s">
        <v>609</v>
      </c>
      <c r="AQ21" s="45">
        <v>1</v>
      </c>
      <c r="AR21" s="45">
        <v>2</v>
      </c>
      <c r="AS21" s="45">
        <v>0</v>
      </c>
      <c r="AT21" s="45" t="s">
        <v>605</v>
      </c>
      <c r="AU21" s="45" t="s">
        <v>610</v>
      </c>
      <c r="AV21" s="45" t="s">
        <v>166</v>
      </c>
      <c r="AW21" s="45">
        <v>3</v>
      </c>
      <c r="AX21" s="45">
        <v>1</v>
      </c>
      <c r="AY21" s="45">
        <v>0.47712125471966244</v>
      </c>
      <c r="AZ21" s="45" t="s">
        <v>607</v>
      </c>
      <c r="BA21" s="45">
        <v>22.75</v>
      </c>
      <c r="BB21" s="45">
        <v>2</v>
      </c>
      <c r="BC21" s="45">
        <v>1</v>
      </c>
      <c r="BD21" s="45">
        <v>0.3010299956639812</v>
      </c>
      <c r="BG21" s="45">
        <v>1.6666666670000001</v>
      </c>
      <c r="BH21" s="45">
        <v>1</v>
      </c>
      <c r="BI21" s="45">
        <v>0.2218487497032153</v>
      </c>
      <c r="BJ21" s="45" t="s">
        <v>91</v>
      </c>
      <c r="BK21" s="45">
        <v>9638</v>
      </c>
      <c r="BL21" s="45">
        <v>3</v>
      </c>
      <c r="BM21" s="45">
        <v>2</v>
      </c>
      <c r="BN21" s="45">
        <v>0.95424250943932487</v>
      </c>
      <c r="BQ21" s="45" t="s">
        <v>92</v>
      </c>
      <c r="BR21" s="45">
        <v>3</v>
      </c>
      <c r="BS21" s="45">
        <v>1</v>
      </c>
      <c r="BT21" s="45">
        <v>0.47712125471966244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21"/>
  <sheetViews>
    <sheetView workbookViewId="0"/>
  </sheetViews>
  <sheetFormatPr baseColWidth="10" defaultColWidth="12.6640625" defaultRowHeight="15.75" customHeight="1"/>
  <sheetData>
    <row r="1" spans="1:8" ht="15.75" customHeight="1">
      <c r="A1" s="145" t="s">
        <v>16</v>
      </c>
      <c r="B1" s="145" t="s">
        <v>17</v>
      </c>
      <c r="C1" s="145" t="s">
        <v>16</v>
      </c>
      <c r="D1" s="145" t="s">
        <v>18</v>
      </c>
      <c r="E1" s="145" t="s">
        <v>76</v>
      </c>
      <c r="F1" s="145" t="s">
        <v>78</v>
      </c>
      <c r="G1" s="145" t="s">
        <v>598</v>
      </c>
      <c r="H1" s="145" t="s">
        <v>79</v>
      </c>
    </row>
    <row r="2" spans="1:8" ht="15.75" customHeight="1">
      <c r="A2" s="45" t="s">
        <v>1460</v>
      </c>
      <c r="B2" s="45" t="s">
        <v>779</v>
      </c>
      <c r="C2" s="45" t="s">
        <v>780</v>
      </c>
      <c r="D2" s="45" t="s">
        <v>141</v>
      </c>
      <c r="E2" s="45">
        <v>1.1111111111111112</v>
      </c>
      <c r="F2" s="45">
        <v>0.34584500015844455</v>
      </c>
      <c r="G2" s="45">
        <v>2.2174048860357365</v>
      </c>
      <c r="H2" s="45">
        <v>2.2472151412607531</v>
      </c>
    </row>
    <row r="3" spans="1:8" ht="15.75" customHeight="1">
      <c r="A3" s="45" t="s">
        <v>1461</v>
      </c>
      <c r="B3" s="45" t="s">
        <v>615</v>
      </c>
      <c r="C3" s="45" t="s">
        <v>616</v>
      </c>
      <c r="D3" s="45" t="s">
        <v>141</v>
      </c>
      <c r="E3" s="45">
        <v>1.2222222222222223</v>
      </c>
      <c r="F3" s="45">
        <v>0.35896714595695212</v>
      </c>
      <c r="G3" s="45">
        <v>2.2854259061262536</v>
      </c>
      <c r="H3" s="45">
        <v>2.1938125688629357</v>
      </c>
    </row>
    <row r="4" spans="1:8" ht="15.75" customHeight="1">
      <c r="A4" s="45" t="s">
        <v>1462</v>
      </c>
      <c r="B4" s="45" t="s">
        <v>334</v>
      </c>
      <c r="C4" s="45" t="s">
        <v>335</v>
      </c>
      <c r="D4" s="45" t="s">
        <v>336</v>
      </c>
      <c r="E4" s="45">
        <v>1.3333333333333333</v>
      </c>
      <c r="F4" s="45">
        <v>0.35152861377577282</v>
      </c>
      <c r="G4" s="45">
        <v>2.2466147907995495</v>
      </c>
      <c r="H4" s="45">
        <v>2.0813039697309912</v>
      </c>
    </row>
    <row r="5" spans="1:8" ht="15.75" customHeight="1">
      <c r="A5" s="45" t="s">
        <v>1463</v>
      </c>
      <c r="B5" s="45" t="s">
        <v>546</v>
      </c>
      <c r="C5" s="45" t="s">
        <v>961</v>
      </c>
      <c r="D5" s="45" t="s">
        <v>141</v>
      </c>
      <c r="E5" s="45">
        <v>1.4444444444444444</v>
      </c>
      <c r="F5" s="45">
        <v>0.37049486123899233</v>
      </c>
      <c r="G5" s="45">
        <v>2.3469014929639971</v>
      </c>
      <c r="H5" s="45">
        <v>2.0576434866537006</v>
      </c>
    </row>
    <row r="6" spans="1:8" ht="15.75" customHeight="1">
      <c r="A6" s="45" t="s">
        <v>1464</v>
      </c>
      <c r="B6" s="45" t="s">
        <v>139</v>
      </c>
      <c r="C6" s="45" t="s">
        <v>140</v>
      </c>
      <c r="D6" s="45" t="s">
        <v>141</v>
      </c>
      <c r="E6" s="45">
        <v>1.3333333333333333</v>
      </c>
      <c r="F6" s="45">
        <v>0.33196291832514163</v>
      </c>
      <c r="G6" s="45">
        <v>2.1476470922214639</v>
      </c>
      <c r="H6" s="45">
        <v>2.023578915204979</v>
      </c>
    </row>
    <row r="7" spans="1:8" ht="15.75" customHeight="1">
      <c r="A7" s="45" t="s">
        <v>1465</v>
      </c>
      <c r="B7" s="45" t="s">
        <v>139</v>
      </c>
      <c r="C7" s="45" t="s">
        <v>840</v>
      </c>
      <c r="D7" s="45" t="s">
        <v>141</v>
      </c>
      <c r="E7" s="45">
        <v>1.2222222222222223</v>
      </c>
      <c r="F7" s="45">
        <v>0.29283152742387908</v>
      </c>
      <c r="G7" s="45">
        <v>1.9625987930301132</v>
      </c>
      <c r="H7" s="45">
        <v>2.0216553275728097</v>
      </c>
    </row>
    <row r="8" spans="1:8" ht="15.75" customHeight="1">
      <c r="A8" s="45" t="s">
        <v>1466</v>
      </c>
      <c r="B8" s="45" t="s">
        <v>130</v>
      </c>
      <c r="C8" s="45" t="s">
        <v>726</v>
      </c>
      <c r="D8" s="45" t="s">
        <v>132</v>
      </c>
      <c r="E8" s="45">
        <v>1.8888888888888888</v>
      </c>
      <c r="F8" s="45">
        <v>0.42410778197303328</v>
      </c>
      <c r="G8" s="45">
        <v>2.6552644562143808</v>
      </c>
      <c r="H8" s="45">
        <v>1.9936068622577667</v>
      </c>
    </row>
    <row r="9" spans="1:8" ht="15.75" customHeight="1">
      <c r="A9" s="45" t="s">
        <v>1467</v>
      </c>
      <c r="B9" s="45" t="s">
        <v>751</v>
      </c>
      <c r="C9" s="45" t="s">
        <v>752</v>
      </c>
      <c r="D9" s="45" t="s">
        <v>184</v>
      </c>
      <c r="E9" s="45">
        <v>1.4444444444444444</v>
      </c>
      <c r="F9" s="45">
        <v>0.35152861377577282</v>
      </c>
      <c r="G9" s="45">
        <v>2.2466147907995495</v>
      </c>
      <c r="H9" s="45">
        <v>1.9934396211222345</v>
      </c>
    </row>
    <row r="10" spans="1:8" ht="15.75" customHeight="1">
      <c r="A10" s="45" t="s">
        <v>1468</v>
      </c>
      <c r="B10" s="45" t="s">
        <v>175</v>
      </c>
      <c r="C10" s="45" t="s">
        <v>176</v>
      </c>
      <c r="D10" s="45" t="s">
        <v>177</v>
      </c>
      <c r="E10" s="45">
        <v>1.7777777777777777</v>
      </c>
      <c r="F10" s="45">
        <v>0.40454208652240203</v>
      </c>
      <c r="G10" s="45">
        <v>2.5382949546229634</v>
      </c>
      <c r="H10" s="45">
        <v>1.9647337040709338</v>
      </c>
    </row>
    <row r="11" spans="1:8" ht="15.75" customHeight="1">
      <c r="A11" s="45" t="s">
        <v>1469</v>
      </c>
      <c r="B11" s="45" t="s">
        <v>237</v>
      </c>
      <c r="C11" s="45" t="s">
        <v>238</v>
      </c>
      <c r="D11" s="45" t="s">
        <v>177</v>
      </c>
      <c r="E11" s="45">
        <v>1.8888888888888888</v>
      </c>
      <c r="F11" s="45">
        <v>0.41274055476853599</v>
      </c>
      <c r="G11" s="45">
        <v>2.5866671921664337</v>
      </c>
      <c r="H11" s="45">
        <v>1.9370288278525651</v>
      </c>
    </row>
    <row r="12" spans="1:8" ht="15.75" customHeight="1">
      <c r="A12" s="45" t="s">
        <v>1470</v>
      </c>
      <c r="B12" s="45" t="s">
        <v>483</v>
      </c>
      <c r="C12" s="45" t="s">
        <v>1203</v>
      </c>
      <c r="D12" s="45" t="s">
        <v>286</v>
      </c>
      <c r="E12" s="45">
        <v>1.5555555555555556</v>
      </c>
      <c r="F12" s="45">
        <v>0.35972708201587494</v>
      </c>
      <c r="G12" s="45">
        <v>2.2894284851066637</v>
      </c>
      <c r="H12" s="45">
        <v>1.9362452249885307</v>
      </c>
    </row>
    <row r="13" spans="1:8" ht="15.75" customHeight="1">
      <c r="A13" s="45" t="s">
        <v>1471</v>
      </c>
      <c r="B13" s="45" t="s">
        <v>1346</v>
      </c>
      <c r="C13" s="45" t="s">
        <v>1347</v>
      </c>
      <c r="D13" s="45" t="s">
        <v>310</v>
      </c>
      <c r="E13" s="45">
        <v>1.2222222222222223</v>
      </c>
      <c r="F13" s="45">
        <v>0.24550166828251452</v>
      </c>
      <c r="G13" s="45">
        <v>1.7599554244151641</v>
      </c>
      <c r="H13" s="45">
        <v>1.9333975468740323</v>
      </c>
    </row>
    <row r="14" spans="1:8" ht="15.75" customHeight="1">
      <c r="A14" s="45" t="s">
        <v>1472</v>
      </c>
      <c r="B14" s="45" t="s">
        <v>869</v>
      </c>
      <c r="C14" s="45" t="s">
        <v>870</v>
      </c>
      <c r="D14" s="45" t="s">
        <v>739</v>
      </c>
      <c r="E14" s="45">
        <v>1.3333333333333333</v>
      </c>
      <c r="F14" s="45">
        <v>0.29283152742387908</v>
      </c>
      <c r="G14" s="45">
        <v>1.9625987930301132</v>
      </c>
      <c r="H14" s="45">
        <v>1.9246750931315157</v>
      </c>
    </row>
    <row r="15" spans="1:8" ht="15.75" customHeight="1">
      <c r="A15" s="45" t="s">
        <v>1473</v>
      </c>
      <c r="B15" s="45" t="s">
        <v>483</v>
      </c>
      <c r="C15" s="45" t="s">
        <v>561</v>
      </c>
      <c r="D15" s="45" t="s">
        <v>286</v>
      </c>
      <c r="E15" s="45">
        <v>1.4444444444444444</v>
      </c>
      <c r="F15" s="45">
        <v>0.32316500210727872</v>
      </c>
      <c r="G15" s="45">
        <v>2.1045778830958679</v>
      </c>
      <c r="H15" s="45">
        <v>1.9078378825896876</v>
      </c>
    </row>
    <row r="16" spans="1:8" ht="15.75" customHeight="1">
      <c r="A16" s="45" t="s">
        <v>1474</v>
      </c>
      <c r="B16" s="45" t="s">
        <v>483</v>
      </c>
      <c r="C16" s="45" t="s">
        <v>536</v>
      </c>
      <c r="D16" s="45" t="s">
        <v>286</v>
      </c>
      <c r="E16" s="45">
        <v>1.4444444444444444</v>
      </c>
      <c r="F16" s="45">
        <v>0.32316500210727872</v>
      </c>
      <c r="G16" s="45">
        <v>2.1045778830958679</v>
      </c>
      <c r="H16" s="45">
        <v>1.9078378825896876</v>
      </c>
    </row>
    <row r="17" spans="1:8" ht="15.75" customHeight="1">
      <c r="A17" s="45" t="s">
        <v>1475</v>
      </c>
      <c r="B17" s="45" t="s">
        <v>436</v>
      </c>
      <c r="C17" s="45" t="s">
        <v>437</v>
      </c>
      <c r="D17" s="45" t="s">
        <v>177</v>
      </c>
      <c r="E17" s="45">
        <v>1.8888888888888888</v>
      </c>
      <c r="F17" s="45">
        <v>0.40629700509142314</v>
      </c>
      <c r="G17" s="45">
        <v>2.5485725732755067</v>
      </c>
      <c r="H17" s="45">
        <v>1.9059498723564827</v>
      </c>
    </row>
    <row r="18" spans="1:8" ht="15.75" customHeight="1">
      <c r="A18" s="45" t="s">
        <v>1476</v>
      </c>
      <c r="B18" s="45" t="s">
        <v>158</v>
      </c>
      <c r="C18" s="45" t="s">
        <v>473</v>
      </c>
      <c r="D18" s="45" t="s">
        <v>160</v>
      </c>
      <c r="E18" s="45">
        <v>1.8888888888888888</v>
      </c>
      <c r="F18" s="45">
        <v>0.40629700509142314</v>
      </c>
      <c r="G18" s="45">
        <v>2.5485725732755067</v>
      </c>
      <c r="H18" s="45">
        <v>1.9059498723564827</v>
      </c>
    </row>
    <row r="19" spans="1:8" ht="15.75" customHeight="1">
      <c r="A19" s="45" t="s">
        <v>1477</v>
      </c>
      <c r="B19" s="45" t="s">
        <v>483</v>
      </c>
      <c r="C19" s="45" t="s">
        <v>484</v>
      </c>
      <c r="D19" s="45" t="s">
        <v>286</v>
      </c>
      <c r="E19" s="45">
        <v>1.6666666666666667</v>
      </c>
      <c r="F19" s="45">
        <v>0.37284922779542523</v>
      </c>
      <c r="G19" s="45">
        <v>2.3596588980247395</v>
      </c>
      <c r="H19" s="45">
        <v>1.9043240524542104</v>
      </c>
    </row>
    <row r="20" spans="1:8" ht="15.75" customHeight="1">
      <c r="A20" s="45" t="s">
        <v>1478</v>
      </c>
      <c r="B20" s="45" t="s">
        <v>857</v>
      </c>
      <c r="C20" s="45" t="s">
        <v>858</v>
      </c>
      <c r="D20" s="45" t="s">
        <v>859</v>
      </c>
      <c r="E20" s="45">
        <v>1.2222222222222223</v>
      </c>
      <c r="F20" s="45">
        <v>0.22593597283188332</v>
      </c>
      <c r="G20" s="45">
        <v>1.682426006079768</v>
      </c>
      <c r="H20" s="45">
        <v>1.9042581445104749</v>
      </c>
    </row>
    <row r="21" spans="1:8" ht="15.75" customHeight="1">
      <c r="A21" s="45" t="s">
        <v>1479</v>
      </c>
      <c r="B21" s="45" t="s">
        <v>546</v>
      </c>
      <c r="C21" s="45" t="s">
        <v>547</v>
      </c>
      <c r="D21" s="45" t="s">
        <v>141</v>
      </c>
      <c r="E21" s="45">
        <v>1.2222222222222223</v>
      </c>
      <c r="F21" s="45">
        <v>0.22025235921455499</v>
      </c>
      <c r="G21" s="45">
        <v>1.6605515380530249</v>
      </c>
      <c r="H21" s="45">
        <v>1.8965289772594329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272"/>
  <sheetViews>
    <sheetView workbookViewId="0">
      <pane ySplit="1" topLeftCell="A2" activePane="bottomLeft" state="frozen"/>
      <selection pane="bottomLeft" activeCell="B3" sqref="B3"/>
    </sheetView>
  </sheetViews>
  <sheetFormatPr baseColWidth="10" defaultColWidth="12.6640625" defaultRowHeight="15.75" customHeight="1"/>
  <sheetData>
    <row r="1" spans="1:14" ht="15">
      <c r="A1" s="146"/>
      <c r="B1" s="147" t="s">
        <v>1480</v>
      </c>
      <c r="C1" s="147" t="s">
        <v>1481</v>
      </c>
      <c r="D1" s="147" t="s">
        <v>1482</v>
      </c>
      <c r="E1" s="147" t="s">
        <v>1483</v>
      </c>
      <c r="F1" s="147" t="s">
        <v>1484</v>
      </c>
      <c r="G1" s="147" t="s">
        <v>1485</v>
      </c>
      <c r="H1" s="147" t="s">
        <v>1486</v>
      </c>
      <c r="I1" s="148" t="s">
        <v>1487</v>
      </c>
      <c r="J1" s="148" t="s">
        <v>1488</v>
      </c>
      <c r="K1" s="148" t="s">
        <v>1489</v>
      </c>
      <c r="L1" s="148" t="s">
        <v>1490</v>
      </c>
      <c r="M1" s="148" t="s">
        <v>1491</v>
      </c>
      <c r="N1" s="148" t="s">
        <v>1492</v>
      </c>
    </row>
    <row r="2" spans="1:14" ht="16">
      <c r="A2" s="146" t="s">
        <v>80</v>
      </c>
      <c r="B2" s="38" t="s">
        <v>83</v>
      </c>
      <c r="C2" s="149">
        <v>2</v>
      </c>
      <c r="D2" s="149">
        <v>2</v>
      </c>
      <c r="E2" s="149">
        <v>2</v>
      </c>
      <c r="F2" s="150">
        <v>3</v>
      </c>
      <c r="G2" s="216">
        <v>3</v>
      </c>
      <c r="H2" s="149">
        <v>2</v>
      </c>
      <c r="I2" s="151">
        <v>2</v>
      </c>
      <c r="J2" s="151">
        <v>1</v>
      </c>
      <c r="K2" s="152">
        <v>2</v>
      </c>
      <c r="L2" s="153">
        <v>1.167</v>
      </c>
      <c r="M2" s="217">
        <v>3</v>
      </c>
      <c r="N2" s="154">
        <v>3</v>
      </c>
    </row>
    <row r="3" spans="1:14" ht="16">
      <c r="A3" s="146" t="s">
        <v>93</v>
      </c>
      <c r="B3" s="38" t="s">
        <v>83</v>
      </c>
      <c r="C3" s="149">
        <v>3</v>
      </c>
      <c r="D3" s="149">
        <v>2</v>
      </c>
      <c r="E3" s="149">
        <v>2</v>
      </c>
      <c r="F3" s="149">
        <v>3</v>
      </c>
      <c r="G3" s="218">
        <v>2</v>
      </c>
      <c r="H3" s="149">
        <v>2</v>
      </c>
      <c r="I3" s="155">
        <v>2</v>
      </c>
      <c r="J3" s="155">
        <v>1</v>
      </c>
      <c r="K3" s="156">
        <v>3</v>
      </c>
      <c r="L3" s="157">
        <v>1.125</v>
      </c>
      <c r="M3" s="219">
        <v>3</v>
      </c>
      <c r="N3" s="158">
        <v>3</v>
      </c>
    </row>
    <row r="4" spans="1:14" ht="16">
      <c r="A4" s="146" t="s">
        <v>116</v>
      </c>
      <c r="B4" s="38" t="s">
        <v>83</v>
      </c>
      <c r="C4" s="149">
        <v>3</v>
      </c>
      <c r="D4" s="149">
        <v>2</v>
      </c>
      <c r="E4" s="149">
        <v>2</v>
      </c>
      <c r="F4" s="149">
        <v>3</v>
      </c>
      <c r="G4" s="218">
        <v>3</v>
      </c>
      <c r="H4" s="149">
        <v>2</v>
      </c>
      <c r="I4" s="155">
        <v>1</v>
      </c>
      <c r="J4" s="155">
        <v>1</v>
      </c>
      <c r="K4" s="156">
        <v>3</v>
      </c>
      <c r="L4" s="157">
        <v>1.25</v>
      </c>
      <c r="M4" s="219">
        <v>3</v>
      </c>
      <c r="N4" s="158">
        <v>3</v>
      </c>
    </row>
    <row r="5" spans="1:14" ht="16">
      <c r="A5" s="146" t="s">
        <v>119</v>
      </c>
      <c r="B5" s="38" t="s">
        <v>83</v>
      </c>
      <c r="C5" s="149">
        <v>3</v>
      </c>
      <c r="D5" s="149">
        <v>2</v>
      </c>
      <c r="E5" s="149">
        <v>2</v>
      </c>
      <c r="F5" s="149">
        <v>3</v>
      </c>
      <c r="G5" s="218">
        <v>3</v>
      </c>
      <c r="H5" s="149">
        <v>2</v>
      </c>
      <c r="I5" s="155">
        <v>2</v>
      </c>
      <c r="J5" s="155">
        <v>1</v>
      </c>
      <c r="K5" s="156">
        <v>2</v>
      </c>
      <c r="L5" s="157">
        <v>1.5</v>
      </c>
      <c r="M5" s="219">
        <v>3</v>
      </c>
      <c r="N5" s="158">
        <v>3</v>
      </c>
    </row>
    <row r="6" spans="1:14" ht="16">
      <c r="A6" s="146" t="s">
        <v>100</v>
      </c>
      <c r="B6" s="38" t="s">
        <v>83</v>
      </c>
      <c r="C6" s="149">
        <v>2</v>
      </c>
      <c r="D6" s="149">
        <v>2</v>
      </c>
      <c r="E6" s="149">
        <v>2</v>
      </c>
      <c r="F6" s="149">
        <v>3</v>
      </c>
      <c r="G6" s="218">
        <v>2</v>
      </c>
      <c r="H6" s="149">
        <v>2</v>
      </c>
      <c r="I6" s="155">
        <v>2</v>
      </c>
      <c r="J6" s="155">
        <v>1</v>
      </c>
      <c r="K6" s="156">
        <v>2</v>
      </c>
      <c r="L6" s="157">
        <v>1.25</v>
      </c>
      <c r="M6" s="219">
        <v>3</v>
      </c>
      <c r="N6" s="158">
        <v>3</v>
      </c>
    </row>
    <row r="7" spans="1:14" ht="16">
      <c r="A7" s="146" t="s">
        <v>107</v>
      </c>
      <c r="B7" s="38" t="s">
        <v>1386</v>
      </c>
      <c r="C7" s="149">
        <v>2</v>
      </c>
      <c r="D7" s="149">
        <v>2</v>
      </c>
      <c r="E7" s="149">
        <v>2</v>
      </c>
      <c r="F7" s="149">
        <v>3</v>
      </c>
      <c r="G7" s="218">
        <v>3</v>
      </c>
      <c r="H7" s="149">
        <v>1</v>
      </c>
      <c r="I7" s="155">
        <v>1</v>
      </c>
      <c r="J7" s="155">
        <v>1</v>
      </c>
      <c r="K7" s="156">
        <v>1</v>
      </c>
      <c r="L7" s="157">
        <v>1.25</v>
      </c>
      <c r="M7" s="219">
        <v>3</v>
      </c>
      <c r="N7" s="158">
        <v>3</v>
      </c>
    </row>
    <row r="8" spans="1:14" ht="16">
      <c r="A8" s="146" t="s">
        <v>123</v>
      </c>
      <c r="B8" s="38" t="s">
        <v>83</v>
      </c>
      <c r="C8" s="149">
        <v>2</v>
      </c>
      <c r="D8" s="149">
        <v>2</v>
      </c>
      <c r="E8" s="149">
        <v>2</v>
      </c>
      <c r="F8" s="149">
        <v>3</v>
      </c>
      <c r="G8" s="218">
        <v>2</v>
      </c>
      <c r="H8" s="149">
        <v>3</v>
      </c>
      <c r="I8" s="155">
        <v>2</v>
      </c>
      <c r="J8" s="155">
        <v>1</v>
      </c>
      <c r="K8" s="156">
        <v>3</v>
      </c>
      <c r="L8" s="157">
        <v>1.167</v>
      </c>
      <c r="M8" s="219">
        <v>3</v>
      </c>
      <c r="N8" s="158">
        <v>3</v>
      </c>
    </row>
    <row r="9" spans="1:14" ht="16">
      <c r="A9" s="146" t="s">
        <v>321</v>
      </c>
      <c r="B9" s="38" t="s">
        <v>83</v>
      </c>
      <c r="C9" s="149">
        <v>2</v>
      </c>
      <c r="D9" s="149">
        <v>2</v>
      </c>
      <c r="E9" s="149">
        <v>2</v>
      </c>
      <c r="F9" s="149">
        <v>3</v>
      </c>
      <c r="G9" s="218">
        <v>3</v>
      </c>
      <c r="H9" s="149">
        <v>2</v>
      </c>
      <c r="I9" s="155">
        <v>2</v>
      </c>
      <c r="J9" s="155">
        <v>1</v>
      </c>
      <c r="K9" s="156">
        <v>1</v>
      </c>
      <c r="L9" s="157">
        <v>1.5</v>
      </c>
      <c r="M9" s="219">
        <v>3</v>
      </c>
      <c r="N9" s="158">
        <v>3</v>
      </c>
    </row>
    <row r="10" spans="1:14" ht="16">
      <c r="A10" s="146" t="s">
        <v>614</v>
      </c>
      <c r="B10" s="38" t="s">
        <v>141</v>
      </c>
      <c r="C10" s="149">
        <v>2</v>
      </c>
      <c r="D10" s="149">
        <v>2</v>
      </c>
      <c r="E10" s="149">
        <v>2</v>
      </c>
      <c r="F10" s="149">
        <v>1</v>
      </c>
      <c r="G10" s="218">
        <v>1</v>
      </c>
      <c r="H10" s="149">
        <v>3</v>
      </c>
      <c r="I10" s="155">
        <v>3</v>
      </c>
      <c r="J10" s="155">
        <v>1</v>
      </c>
      <c r="K10" s="156">
        <v>3</v>
      </c>
      <c r="L10" s="157">
        <v>1.75</v>
      </c>
      <c r="M10" s="219">
        <v>3</v>
      </c>
      <c r="N10" s="158">
        <v>2</v>
      </c>
    </row>
    <row r="11" spans="1:14" ht="16">
      <c r="A11" s="146" t="s">
        <v>149</v>
      </c>
      <c r="B11" s="38" t="s">
        <v>152</v>
      </c>
      <c r="C11" s="149">
        <v>3</v>
      </c>
      <c r="D11" s="149">
        <v>2</v>
      </c>
      <c r="E11" s="149">
        <v>2</v>
      </c>
      <c r="F11" s="149">
        <v>2</v>
      </c>
      <c r="G11" s="218">
        <v>3</v>
      </c>
      <c r="H11" s="149">
        <v>1</v>
      </c>
      <c r="I11" s="155">
        <v>2</v>
      </c>
      <c r="J11" s="155">
        <v>1</v>
      </c>
      <c r="K11" s="156">
        <v>2</v>
      </c>
      <c r="L11" s="157">
        <v>1.625</v>
      </c>
      <c r="M11" s="219">
        <v>3</v>
      </c>
      <c r="N11" s="158">
        <v>3</v>
      </c>
    </row>
    <row r="12" spans="1:14" ht="15">
      <c r="A12" s="146" t="s">
        <v>138</v>
      </c>
      <c r="B12" s="38" t="s">
        <v>141</v>
      </c>
      <c r="C12" s="149">
        <v>3</v>
      </c>
      <c r="D12" s="149">
        <v>2</v>
      </c>
      <c r="E12" s="149">
        <v>2</v>
      </c>
      <c r="F12" s="149">
        <v>1</v>
      </c>
      <c r="G12" s="218">
        <v>2</v>
      </c>
      <c r="H12" s="149">
        <v>2</v>
      </c>
      <c r="I12" s="155">
        <v>2</v>
      </c>
      <c r="J12" s="155">
        <v>1</v>
      </c>
      <c r="K12" s="156">
        <v>3</v>
      </c>
      <c r="L12" s="157">
        <v>1</v>
      </c>
      <c r="M12" s="219">
        <v>3</v>
      </c>
      <c r="N12" s="219">
        <v>3</v>
      </c>
    </row>
    <row r="13" spans="1:14" ht="16">
      <c r="A13" s="146" t="s">
        <v>628</v>
      </c>
      <c r="B13" s="38" t="s">
        <v>83</v>
      </c>
      <c r="C13" s="149">
        <v>2</v>
      </c>
      <c r="D13" s="149">
        <v>2</v>
      </c>
      <c r="E13" s="149">
        <v>3</v>
      </c>
      <c r="F13" s="149">
        <v>3</v>
      </c>
      <c r="G13" s="218">
        <v>2</v>
      </c>
      <c r="H13" s="149">
        <v>2</v>
      </c>
      <c r="I13" s="155">
        <v>2</v>
      </c>
      <c r="J13" s="155">
        <v>1</v>
      </c>
      <c r="K13" s="156">
        <v>3</v>
      </c>
      <c r="L13" s="157">
        <v>1.125</v>
      </c>
      <c r="M13" s="219">
        <v>3</v>
      </c>
      <c r="N13" s="158">
        <v>3</v>
      </c>
    </row>
    <row r="14" spans="1:14" ht="16">
      <c r="A14" s="146" t="s">
        <v>251</v>
      </c>
      <c r="B14" s="38" t="s">
        <v>184</v>
      </c>
      <c r="C14" s="149">
        <v>2</v>
      </c>
      <c r="D14" s="149">
        <v>1</v>
      </c>
      <c r="E14" s="149">
        <v>2</v>
      </c>
      <c r="F14" s="149">
        <v>3</v>
      </c>
      <c r="G14" s="218">
        <v>2</v>
      </c>
      <c r="H14" s="149">
        <v>2</v>
      </c>
      <c r="I14" s="155">
        <v>1</v>
      </c>
      <c r="J14" s="155">
        <v>1</v>
      </c>
      <c r="K14" s="156">
        <v>2</v>
      </c>
      <c r="L14" s="157">
        <v>1.75</v>
      </c>
      <c r="M14" s="219">
        <v>3</v>
      </c>
      <c r="N14" s="158">
        <v>3</v>
      </c>
    </row>
    <row r="15" spans="1:14" ht="16">
      <c r="A15" s="146" t="s">
        <v>129</v>
      </c>
      <c r="B15" s="38" t="s">
        <v>132</v>
      </c>
      <c r="C15" s="149">
        <v>3</v>
      </c>
      <c r="D15" s="149">
        <v>2</v>
      </c>
      <c r="E15" s="149">
        <v>2</v>
      </c>
      <c r="F15" s="149">
        <v>3</v>
      </c>
      <c r="G15" s="218">
        <v>2</v>
      </c>
      <c r="H15" s="149">
        <v>1</v>
      </c>
      <c r="I15" s="155">
        <v>1</v>
      </c>
      <c r="J15" s="155">
        <v>1</v>
      </c>
      <c r="K15" s="156">
        <v>3</v>
      </c>
      <c r="L15" s="157">
        <v>3</v>
      </c>
      <c r="M15" s="219">
        <v>3</v>
      </c>
      <c r="N15" s="158">
        <v>2</v>
      </c>
    </row>
    <row r="16" spans="1:14" ht="16">
      <c r="A16" s="146" t="s">
        <v>174</v>
      </c>
      <c r="B16" s="38" t="s">
        <v>177</v>
      </c>
      <c r="C16" s="149">
        <v>2</v>
      </c>
      <c r="D16" s="149">
        <v>1</v>
      </c>
      <c r="E16" s="149">
        <v>2</v>
      </c>
      <c r="F16" s="149">
        <v>3</v>
      </c>
      <c r="G16" s="218">
        <v>3</v>
      </c>
      <c r="H16" s="149">
        <v>1</v>
      </c>
      <c r="I16" s="155">
        <v>2</v>
      </c>
      <c r="J16" s="155">
        <v>3</v>
      </c>
      <c r="K16" s="156">
        <v>2</v>
      </c>
      <c r="L16" s="157">
        <v>2.25</v>
      </c>
      <c r="M16" s="219">
        <v>3</v>
      </c>
      <c r="N16" s="158">
        <v>3</v>
      </c>
    </row>
    <row r="17" spans="1:14" ht="16">
      <c r="A17" s="146" t="s">
        <v>167</v>
      </c>
      <c r="B17" s="38" t="s">
        <v>170</v>
      </c>
      <c r="C17" s="149">
        <v>3</v>
      </c>
      <c r="D17" s="149">
        <v>2</v>
      </c>
      <c r="E17" s="149">
        <v>3</v>
      </c>
      <c r="F17" s="149">
        <v>3</v>
      </c>
      <c r="G17" s="218">
        <v>2</v>
      </c>
      <c r="H17" s="149">
        <v>1</v>
      </c>
      <c r="I17" s="155">
        <v>1</v>
      </c>
      <c r="J17" s="155">
        <v>1</v>
      </c>
      <c r="K17" s="156">
        <v>3</v>
      </c>
      <c r="L17" s="157">
        <v>2.1669999999999998</v>
      </c>
      <c r="M17" s="219">
        <v>3</v>
      </c>
      <c r="N17" s="158">
        <v>3</v>
      </c>
    </row>
    <row r="18" spans="1:14" ht="16">
      <c r="A18" s="146" t="s">
        <v>157</v>
      </c>
      <c r="B18" s="38" t="s">
        <v>160</v>
      </c>
      <c r="C18" s="149">
        <v>3</v>
      </c>
      <c r="D18" s="149">
        <v>2</v>
      </c>
      <c r="E18" s="149">
        <v>2</v>
      </c>
      <c r="F18" s="149">
        <v>3</v>
      </c>
      <c r="G18" s="218">
        <v>3</v>
      </c>
      <c r="H18" s="149">
        <v>1</v>
      </c>
      <c r="I18" s="155">
        <v>2</v>
      </c>
      <c r="J18" s="155">
        <v>3</v>
      </c>
      <c r="K18" s="156">
        <v>2</v>
      </c>
      <c r="L18" s="157">
        <v>1.667</v>
      </c>
      <c r="M18" s="219">
        <v>3</v>
      </c>
      <c r="N18" s="158">
        <v>3</v>
      </c>
    </row>
    <row r="19" spans="1:14" ht="16">
      <c r="A19" s="146" t="s">
        <v>188</v>
      </c>
      <c r="B19" s="38" t="s">
        <v>152</v>
      </c>
      <c r="C19" s="149">
        <v>2</v>
      </c>
      <c r="D19" s="149">
        <v>1</v>
      </c>
      <c r="E19" s="149">
        <v>2</v>
      </c>
      <c r="F19" s="149">
        <v>3</v>
      </c>
      <c r="G19" s="218">
        <v>3</v>
      </c>
      <c r="H19" s="149">
        <v>2</v>
      </c>
      <c r="I19" s="155">
        <v>1</v>
      </c>
      <c r="J19" s="155">
        <v>1</v>
      </c>
      <c r="K19" s="156">
        <v>2</v>
      </c>
      <c r="L19" s="157">
        <v>2.375</v>
      </c>
      <c r="M19" s="219">
        <v>3</v>
      </c>
      <c r="N19" s="158">
        <v>3</v>
      </c>
    </row>
    <row r="20" spans="1:14" ht="16">
      <c r="A20" s="146" t="s">
        <v>634</v>
      </c>
      <c r="B20" s="38" t="s">
        <v>637</v>
      </c>
      <c r="C20" s="149">
        <v>3</v>
      </c>
      <c r="D20" s="149">
        <v>2</v>
      </c>
      <c r="E20" s="149">
        <v>2</v>
      </c>
      <c r="F20" s="149">
        <v>3</v>
      </c>
      <c r="G20" s="218">
        <v>3</v>
      </c>
      <c r="H20" s="149">
        <v>2</v>
      </c>
      <c r="I20" s="155">
        <v>2</v>
      </c>
      <c r="J20" s="155">
        <v>1</v>
      </c>
      <c r="K20" s="156">
        <v>1</v>
      </c>
      <c r="L20" s="157">
        <v>1.25</v>
      </c>
      <c r="M20" s="219">
        <v>3</v>
      </c>
      <c r="N20" s="158">
        <v>3</v>
      </c>
    </row>
    <row r="21" spans="1:14" ht="16">
      <c r="A21" s="146" t="s">
        <v>204</v>
      </c>
      <c r="B21" s="38" t="s">
        <v>184</v>
      </c>
      <c r="C21" s="149">
        <v>3</v>
      </c>
      <c r="D21" s="149">
        <v>1</v>
      </c>
      <c r="E21" s="149">
        <v>1</v>
      </c>
      <c r="F21" s="149">
        <v>3</v>
      </c>
      <c r="G21" s="218">
        <v>3</v>
      </c>
      <c r="H21" s="149">
        <v>2</v>
      </c>
      <c r="I21" s="155">
        <v>1</v>
      </c>
      <c r="J21" s="155">
        <v>1</v>
      </c>
      <c r="K21" s="156">
        <v>2</v>
      </c>
      <c r="L21" s="157">
        <v>2</v>
      </c>
      <c r="M21" s="219">
        <v>3</v>
      </c>
      <c r="N21" s="158">
        <v>3</v>
      </c>
    </row>
    <row r="22" spans="1:14" ht="16">
      <c r="A22" s="146" t="s">
        <v>181</v>
      </c>
      <c r="B22" s="38" t="s">
        <v>184</v>
      </c>
      <c r="C22" s="149">
        <v>2</v>
      </c>
      <c r="D22" s="149">
        <v>2</v>
      </c>
      <c r="E22" s="149">
        <v>2</v>
      </c>
      <c r="F22" s="149">
        <v>3</v>
      </c>
      <c r="G22" s="218">
        <v>2</v>
      </c>
      <c r="H22" s="149">
        <v>1</v>
      </c>
      <c r="I22" s="155">
        <v>1</v>
      </c>
      <c r="J22" s="155">
        <v>1</v>
      </c>
      <c r="K22" s="156">
        <v>3</v>
      </c>
      <c r="L22" s="157">
        <v>1.25</v>
      </c>
      <c r="M22" s="219">
        <v>3</v>
      </c>
      <c r="N22" s="158">
        <v>2</v>
      </c>
    </row>
    <row r="23" spans="1:14" ht="16">
      <c r="A23" s="146" t="s">
        <v>198</v>
      </c>
      <c r="B23" s="38" t="s">
        <v>132</v>
      </c>
      <c r="C23" s="149">
        <v>2</v>
      </c>
      <c r="D23" s="149">
        <v>2</v>
      </c>
      <c r="E23" s="149">
        <v>2</v>
      </c>
      <c r="F23" s="149">
        <v>3</v>
      </c>
      <c r="G23" s="218">
        <v>3</v>
      </c>
      <c r="H23" s="149">
        <v>1</v>
      </c>
      <c r="I23" s="155">
        <v>1</v>
      </c>
      <c r="J23" s="155">
        <v>1</v>
      </c>
      <c r="K23" s="156">
        <v>2</v>
      </c>
      <c r="L23" s="157">
        <v>2.5</v>
      </c>
      <c r="M23" s="219">
        <v>3</v>
      </c>
      <c r="N23" s="158">
        <v>2</v>
      </c>
    </row>
    <row r="24" spans="1:14" ht="16">
      <c r="A24" s="146" t="s">
        <v>283</v>
      </c>
      <c r="B24" s="38" t="s">
        <v>286</v>
      </c>
      <c r="C24" s="149">
        <v>2</v>
      </c>
      <c r="D24" s="149">
        <v>1</v>
      </c>
      <c r="E24" s="149">
        <v>2</v>
      </c>
      <c r="F24" s="149">
        <v>3</v>
      </c>
      <c r="G24" s="218">
        <v>3</v>
      </c>
      <c r="H24" s="149">
        <v>2</v>
      </c>
      <c r="I24" s="155">
        <v>1</v>
      </c>
      <c r="J24" s="155">
        <v>3</v>
      </c>
      <c r="K24" s="156">
        <v>2</v>
      </c>
      <c r="L24" s="157">
        <v>2.75</v>
      </c>
      <c r="M24" s="219">
        <v>3</v>
      </c>
      <c r="N24" s="158">
        <v>3</v>
      </c>
    </row>
    <row r="25" spans="1:14" ht="16">
      <c r="A25" s="146" t="s">
        <v>254</v>
      </c>
      <c r="B25" s="38" t="s">
        <v>257</v>
      </c>
      <c r="C25" s="149">
        <v>2</v>
      </c>
      <c r="D25" s="149">
        <v>1</v>
      </c>
      <c r="E25" s="149">
        <v>2</v>
      </c>
      <c r="F25" s="149">
        <v>3</v>
      </c>
      <c r="G25" s="218">
        <v>3</v>
      </c>
      <c r="H25" s="149">
        <v>2</v>
      </c>
      <c r="I25" s="155">
        <v>2</v>
      </c>
      <c r="J25" s="155">
        <v>1</v>
      </c>
      <c r="K25" s="156">
        <v>2</v>
      </c>
      <c r="L25" s="157">
        <v>1.625</v>
      </c>
      <c r="M25" s="219">
        <v>3</v>
      </c>
      <c r="N25" s="158">
        <v>3</v>
      </c>
    </row>
    <row r="26" spans="1:14" ht="16">
      <c r="A26" s="146" t="s">
        <v>1390</v>
      </c>
      <c r="B26" s="38" t="s">
        <v>177</v>
      </c>
      <c r="C26" s="149">
        <v>1</v>
      </c>
      <c r="D26" s="149">
        <v>1</v>
      </c>
      <c r="E26" s="149">
        <v>3</v>
      </c>
      <c r="F26" s="149">
        <v>3</v>
      </c>
      <c r="G26" s="218">
        <v>3</v>
      </c>
      <c r="H26" s="149">
        <v>1</v>
      </c>
      <c r="I26" s="155">
        <v>1</v>
      </c>
      <c r="J26" s="155">
        <v>3</v>
      </c>
      <c r="K26" s="156">
        <v>2</v>
      </c>
      <c r="L26" s="157">
        <v>2</v>
      </c>
      <c r="M26" s="219">
        <v>3</v>
      </c>
      <c r="N26" s="158">
        <v>3</v>
      </c>
    </row>
    <row r="27" spans="1:14" ht="16">
      <c r="A27" s="146" t="s">
        <v>259</v>
      </c>
      <c r="B27" s="38" t="s">
        <v>1386</v>
      </c>
      <c r="C27" s="149">
        <v>3</v>
      </c>
      <c r="D27" s="149">
        <v>2</v>
      </c>
      <c r="E27" s="149">
        <v>2</v>
      </c>
      <c r="F27" s="149">
        <v>3</v>
      </c>
      <c r="G27" s="218">
        <v>2</v>
      </c>
      <c r="H27" s="149">
        <v>1</v>
      </c>
      <c r="I27" s="155">
        <v>1</v>
      </c>
      <c r="J27" s="155">
        <v>1</v>
      </c>
      <c r="K27" s="156">
        <v>1</v>
      </c>
      <c r="L27" s="157">
        <v>1.25</v>
      </c>
      <c r="M27" s="219">
        <v>3</v>
      </c>
      <c r="N27" s="158">
        <v>3</v>
      </c>
    </row>
    <row r="28" spans="1:14" ht="16">
      <c r="A28" s="146" t="s">
        <v>352</v>
      </c>
      <c r="B28" s="38" t="s">
        <v>819</v>
      </c>
      <c r="C28" s="149">
        <v>3</v>
      </c>
      <c r="D28" s="149">
        <v>2</v>
      </c>
      <c r="E28" s="149">
        <v>2</v>
      </c>
      <c r="F28" s="149">
        <v>3</v>
      </c>
      <c r="G28" s="218">
        <v>3</v>
      </c>
      <c r="H28" s="149">
        <v>2</v>
      </c>
      <c r="I28" s="155">
        <v>1</v>
      </c>
      <c r="J28" s="155">
        <v>1</v>
      </c>
      <c r="K28" s="156">
        <v>2</v>
      </c>
      <c r="L28" s="157">
        <v>1.75</v>
      </c>
      <c r="M28" s="219">
        <v>3</v>
      </c>
      <c r="N28" s="158">
        <v>3</v>
      </c>
    </row>
    <row r="29" spans="1:14" ht="16">
      <c r="A29" s="146" t="s">
        <v>262</v>
      </c>
      <c r="B29" s="38" t="s">
        <v>177</v>
      </c>
      <c r="C29" s="149">
        <v>1</v>
      </c>
      <c r="D29" s="149">
        <v>1</v>
      </c>
      <c r="E29" s="149">
        <v>3</v>
      </c>
      <c r="F29" s="149">
        <v>3</v>
      </c>
      <c r="G29" s="218">
        <v>3</v>
      </c>
      <c r="H29" s="149">
        <v>1</v>
      </c>
      <c r="I29" s="155">
        <v>1</v>
      </c>
      <c r="J29" s="155">
        <v>3</v>
      </c>
      <c r="K29" s="156">
        <v>1</v>
      </c>
      <c r="L29" s="157">
        <v>2.125</v>
      </c>
      <c r="M29" s="219">
        <v>3</v>
      </c>
      <c r="N29" s="158">
        <v>3</v>
      </c>
    </row>
    <row r="30" spans="1:14" ht="16">
      <c r="A30" s="146" t="s">
        <v>193</v>
      </c>
      <c r="B30" s="38" t="s">
        <v>83</v>
      </c>
      <c r="C30" s="149">
        <v>3</v>
      </c>
      <c r="D30" s="149">
        <v>2</v>
      </c>
      <c r="E30" s="149">
        <v>2</v>
      </c>
      <c r="F30" s="149">
        <v>3</v>
      </c>
      <c r="G30" s="218">
        <v>2</v>
      </c>
      <c r="H30" s="149">
        <v>2</v>
      </c>
      <c r="I30" s="155">
        <v>2</v>
      </c>
      <c r="J30" s="155">
        <v>1</v>
      </c>
      <c r="K30" s="156">
        <v>3</v>
      </c>
      <c r="L30" s="157">
        <v>1.375</v>
      </c>
      <c r="M30" s="219">
        <v>3</v>
      </c>
      <c r="N30" s="158">
        <v>3</v>
      </c>
    </row>
    <row r="31" spans="1:14" ht="16">
      <c r="A31" s="146" t="s">
        <v>289</v>
      </c>
      <c r="B31" s="38" t="s">
        <v>286</v>
      </c>
      <c r="C31" s="149">
        <v>3</v>
      </c>
      <c r="D31" s="149">
        <v>1</v>
      </c>
      <c r="E31" s="149">
        <v>2</v>
      </c>
      <c r="F31" s="149">
        <v>3</v>
      </c>
      <c r="G31" s="218">
        <v>2</v>
      </c>
      <c r="H31" s="149">
        <v>1</v>
      </c>
      <c r="I31" s="155">
        <v>1</v>
      </c>
      <c r="J31" s="155">
        <v>3</v>
      </c>
      <c r="K31" s="156">
        <v>1</v>
      </c>
      <c r="L31" s="157">
        <v>1.333</v>
      </c>
      <c r="M31" s="219">
        <v>3</v>
      </c>
      <c r="N31" s="158">
        <v>3</v>
      </c>
    </row>
    <row r="32" spans="1:14" ht="16">
      <c r="A32" s="146" t="s">
        <v>1394</v>
      </c>
      <c r="B32" s="38" t="s">
        <v>160</v>
      </c>
      <c r="C32" s="149">
        <v>2</v>
      </c>
      <c r="D32" s="149">
        <v>1</v>
      </c>
      <c r="E32" s="149">
        <v>2</v>
      </c>
      <c r="F32" s="149">
        <v>3</v>
      </c>
      <c r="G32" s="218">
        <v>3</v>
      </c>
      <c r="H32" s="149">
        <v>1</v>
      </c>
      <c r="I32" s="155">
        <v>1</v>
      </c>
      <c r="J32" s="155">
        <v>1</v>
      </c>
      <c r="K32" s="156">
        <v>1</v>
      </c>
      <c r="L32" s="157">
        <v>2</v>
      </c>
      <c r="M32" s="219">
        <v>3</v>
      </c>
      <c r="N32" s="158">
        <v>3</v>
      </c>
    </row>
    <row r="33" spans="1:14" ht="16">
      <c r="A33" s="146" t="s">
        <v>303</v>
      </c>
      <c r="B33" s="38" t="s">
        <v>160</v>
      </c>
      <c r="C33" s="149">
        <v>2</v>
      </c>
      <c r="D33" s="149">
        <v>1</v>
      </c>
      <c r="E33" s="149">
        <v>2</v>
      </c>
      <c r="F33" s="149">
        <v>3</v>
      </c>
      <c r="G33" s="218">
        <v>3</v>
      </c>
      <c r="H33" s="149">
        <v>1</v>
      </c>
      <c r="I33" s="155">
        <v>1</v>
      </c>
      <c r="J33" s="155">
        <v>3</v>
      </c>
      <c r="K33" s="156">
        <v>2</v>
      </c>
      <c r="L33" s="157">
        <v>2.25</v>
      </c>
      <c r="M33" s="219">
        <v>3</v>
      </c>
      <c r="N33" s="158">
        <v>3</v>
      </c>
    </row>
    <row r="34" spans="1:14" ht="16">
      <c r="A34" s="146" t="s">
        <v>217</v>
      </c>
      <c r="B34" s="38" t="s">
        <v>83</v>
      </c>
      <c r="C34" s="149">
        <v>3</v>
      </c>
      <c r="D34" s="149">
        <v>1</v>
      </c>
      <c r="E34" s="149">
        <v>2</v>
      </c>
      <c r="F34" s="149">
        <v>3</v>
      </c>
      <c r="G34" s="218">
        <v>3</v>
      </c>
      <c r="H34" s="149">
        <v>2</v>
      </c>
      <c r="I34" s="155">
        <v>2</v>
      </c>
      <c r="J34" s="155">
        <v>1</v>
      </c>
      <c r="K34" s="156">
        <v>3</v>
      </c>
      <c r="L34" s="157">
        <v>1.5</v>
      </c>
      <c r="M34" s="219">
        <v>3</v>
      </c>
      <c r="N34" s="158">
        <v>3</v>
      </c>
    </row>
    <row r="35" spans="1:14" ht="16">
      <c r="A35" s="146" t="s">
        <v>420</v>
      </c>
      <c r="B35" s="38" t="s">
        <v>83</v>
      </c>
      <c r="C35" s="149">
        <v>3</v>
      </c>
      <c r="D35" s="149">
        <v>2</v>
      </c>
      <c r="E35" s="149">
        <v>2</v>
      </c>
      <c r="F35" s="149">
        <v>3</v>
      </c>
      <c r="G35" s="218">
        <v>2</v>
      </c>
      <c r="H35" s="149">
        <v>3</v>
      </c>
      <c r="I35" s="155">
        <v>3</v>
      </c>
      <c r="J35" s="155">
        <v>1</v>
      </c>
      <c r="K35" s="156">
        <v>3</v>
      </c>
      <c r="L35" s="157">
        <v>1.333</v>
      </c>
      <c r="M35" s="219">
        <v>3</v>
      </c>
      <c r="N35" s="158">
        <v>3</v>
      </c>
    </row>
    <row r="36" spans="1:14" ht="16">
      <c r="A36" s="146" t="s">
        <v>229</v>
      </c>
      <c r="B36" s="38" t="s">
        <v>83</v>
      </c>
      <c r="C36" s="149">
        <v>2</v>
      </c>
      <c r="D36" s="149">
        <v>2</v>
      </c>
      <c r="E36" s="149">
        <v>2</v>
      </c>
      <c r="F36" s="149">
        <v>3</v>
      </c>
      <c r="G36" s="218">
        <v>3</v>
      </c>
      <c r="H36" s="149">
        <v>2</v>
      </c>
      <c r="I36" s="155">
        <v>2</v>
      </c>
      <c r="J36" s="155">
        <v>1</v>
      </c>
      <c r="K36" s="156">
        <v>2</v>
      </c>
      <c r="L36" s="157">
        <v>1.25</v>
      </c>
      <c r="M36" s="219">
        <v>3</v>
      </c>
      <c r="N36" s="158">
        <v>3</v>
      </c>
    </row>
    <row r="37" spans="1:14" ht="16">
      <c r="A37" s="146" t="s">
        <v>221</v>
      </c>
      <c r="B37" s="38" t="s">
        <v>224</v>
      </c>
      <c r="C37" s="149">
        <v>2</v>
      </c>
      <c r="D37" s="149">
        <v>2</v>
      </c>
      <c r="E37" s="149">
        <v>2</v>
      </c>
      <c r="F37" s="149">
        <v>3</v>
      </c>
      <c r="G37" s="218">
        <v>3</v>
      </c>
      <c r="H37" s="149">
        <v>1</v>
      </c>
      <c r="I37" s="155">
        <v>1</v>
      </c>
      <c r="J37" s="155">
        <v>1</v>
      </c>
      <c r="K37" s="156">
        <v>1</v>
      </c>
      <c r="L37" s="157">
        <v>1.5</v>
      </c>
      <c r="M37" s="219">
        <v>3</v>
      </c>
      <c r="N37" s="158">
        <v>3</v>
      </c>
    </row>
    <row r="38" spans="1:14" ht="16">
      <c r="A38" s="146" t="s">
        <v>233</v>
      </c>
      <c r="B38" s="38" t="s">
        <v>83</v>
      </c>
      <c r="C38" s="149">
        <v>2</v>
      </c>
      <c r="D38" s="149">
        <v>2</v>
      </c>
      <c r="E38" s="149">
        <v>2</v>
      </c>
      <c r="F38" s="149">
        <v>3</v>
      </c>
      <c r="G38" s="218">
        <v>3</v>
      </c>
      <c r="H38" s="149">
        <v>2</v>
      </c>
      <c r="I38" s="155">
        <v>1</v>
      </c>
      <c r="J38" s="155">
        <v>1</v>
      </c>
      <c r="K38" s="156">
        <v>2</v>
      </c>
      <c r="L38" s="157">
        <v>1.5</v>
      </c>
      <c r="M38" s="219">
        <v>3</v>
      </c>
      <c r="N38" s="158">
        <v>3</v>
      </c>
    </row>
    <row r="39" spans="1:14" ht="16">
      <c r="A39" s="146" t="s">
        <v>654</v>
      </c>
      <c r="B39" s="38" t="s">
        <v>83</v>
      </c>
      <c r="C39" s="149">
        <v>3</v>
      </c>
      <c r="D39" s="149">
        <v>1</v>
      </c>
      <c r="E39" s="149">
        <v>1</v>
      </c>
      <c r="F39" s="149">
        <v>3</v>
      </c>
      <c r="G39" s="218">
        <v>3</v>
      </c>
      <c r="H39" s="149">
        <v>2</v>
      </c>
      <c r="I39" s="155">
        <v>2</v>
      </c>
      <c r="J39" s="155">
        <v>1</v>
      </c>
      <c r="K39" s="156">
        <v>2</v>
      </c>
      <c r="L39" s="157">
        <v>2.25</v>
      </c>
      <c r="M39" s="219">
        <v>3</v>
      </c>
      <c r="N39" s="158">
        <v>3</v>
      </c>
    </row>
    <row r="40" spans="1:14" ht="16">
      <c r="A40" s="146" t="s">
        <v>236</v>
      </c>
      <c r="B40" s="38" t="s">
        <v>177</v>
      </c>
      <c r="C40" s="149">
        <v>2</v>
      </c>
      <c r="D40" s="149">
        <v>1</v>
      </c>
      <c r="E40" s="149">
        <v>3</v>
      </c>
      <c r="F40" s="149">
        <v>3</v>
      </c>
      <c r="G40" s="218">
        <v>3</v>
      </c>
      <c r="H40" s="149">
        <v>1</v>
      </c>
      <c r="I40" s="155">
        <v>2</v>
      </c>
      <c r="J40" s="155">
        <v>3</v>
      </c>
      <c r="K40" s="156">
        <v>2</v>
      </c>
      <c r="L40" s="157">
        <v>2.6669999999999998</v>
      </c>
      <c r="M40" s="219">
        <v>3</v>
      </c>
      <c r="N40" s="158">
        <v>3</v>
      </c>
    </row>
    <row r="41" spans="1:14" ht="16">
      <c r="A41" s="146" t="s">
        <v>242</v>
      </c>
      <c r="B41" s="38" t="s">
        <v>245</v>
      </c>
      <c r="C41" s="149">
        <v>2</v>
      </c>
      <c r="D41" s="149">
        <v>1</v>
      </c>
      <c r="E41" s="149">
        <v>2</v>
      </c>
      <c r="F41" s="149">
        <v>3</v>
      </c>
      <c r="G41" s="218">
        <v>2</v>
      </c>
      <c r="H41" s="149">
        <v>3</v>
      </c>
      <c r="I41" s="155">
        <v>1</v>
      </c>
      <c r="J41" s="155">
        <v>1</v>
      </c>
      <c r="K41" s="156">
        <v>2</v>
      </c>
      <c r="L41" s="157">
        <v>1.75</v>
      </c>
      <c r="M41" s="219">
        <v>3</v>
      </c>
      <c r="N41" s="158">
        <v>3</v>
      </c>
    </row>
    <row r="42" spans="1:14" ht="16">
      <c r="A42" s="146" t="s">
        <v>662</v>
      </c>
      <c r="B42" s="38" t="s">
        <v>83</v>
      </c>
      <c r="C42" s="149">
        <v>3</v>
      </c>
      <c r="D42" s="149">
        <v>2</v>
      </c>
      <c r="E42" s="149">
        <v>2</v>
      </c>
      <c r="F42" s="149">
        <v>3</v>
      </c>
      <c r="G42" s="218">
        <v>2</v>
      </c>
      <c r="H42" s="149">
        <v>2</v>
      </c>
      <c r="I42" s="155">
        <v>1</v>
      </c>
      <c r="J42" s="155">
        <v>1</v>
      </c>
      <c r="K42" s="156">
        <v>3</v>
      </c>
      <c r="L42" s="157">
        <v>1.25</v>
      </c>
      <c r="M42" s="219">
        <v>3</v>
      </c>
      <c r="N42" s="158">
        <v>3</v>
      </c>
    </row>
    <row r="43" spans="1:14" ht="16">
      <c r="A43" s="146" t="s">
        <v>348</v>
      </c>
      <c r="B43" s="38" t="s">
        <v>318</v>
      </c>
      <c r="C43" s="149">
        <v>2</v>
      </c>
      <c r="D43" s="149">
        <v>1</v>
      </c>
      <c r="E43" s="149">
        <v>1</v>
      </c>
      <c r="F43" s="149">
        <v>3</v>
      </c>
      <c r="G43" s="218">
        <v>3</v>
      </c>
      <c r="H43" s="149">
        <v>2</v>
      </c>
      <c r="I43" s="155">
        <v>1</v>
      </c>
      <c r="J43" s="155">
        <v>1</v>
      </c>
      <c r="K43" s="156">
        <v>2</v>
      </c>
      <c r="L43" s="157">
        <v>2.125</v>
      </c>
      <c r="M43" s="219">
        <v>3</v>
      </c>
      <c r="N43" s="158">
        <v>3</v>
      </c>
    </row>
    <row r="44" spans="1:14" ht="16">
      <c r="A44" s="146" t="s">
        <v>359</v>
      </c>
      <c r="B44" s="38" t="s">
        <v>152</v>
      </c>
      <c r="C44" s="149">
        <v>2</v>
      </c>
      <c r="D44" s="149">
        <v>2</v>
      </c>
      <c r="E44" s="149">
        <v>2</v>
      </c>
      <c r="F44" s="149">
        <v>2</v>
      </c>
      <c r="G44" s="218">
        <v>3</v>
      </c>
      <c r="H44" s="149">
        <v>2</v>
      </c>
      <c r="I44" s="155">
        <v>1</v>
      </c>
      <c r="J44" s="155">
        <v>1</v>
      </c>
      <c r="K44" s="156">
        <v>2</v>
      </c>
      <c r="L44" s="157">
        <v>1.833</v>
      </c>
      <c r="M44" s="219">
        <v>3</v>
      </c>
      <c r="N44" s="158">
        <v>3</v>
      </c>
    </row>
    <row r="45" spans="1:14" ht="16">
      <c r="A45" s="146" t="s">
        <v>1396</v>
      </c>
      <c r="B45" s="38" t="s">
        <v>83</v>
      </c>
      <c r="C45" s="149">
        <v>3</v>
      </c>
      <c r="D45" s="149">
        <v>1</v>
      </c>
      <c r="E45" s="149">
        <v>2</v>
      </c>
      <c r="F45" s="149">
        <v>3</v>
      </c>
      <c r="G45" s="218">
        <v>2</v>
      </c>
      <c r="H45" s="149">
        <v>3</v>
      </c>
      <c r="I45" s="155">
        <v>2</v>
      </c>
      <c r="J45" s="155">
        <v>1</v>
      </c>
      <c r="K45" s="156">
        <v>3</v>
      </c>
      <c r="L45" s="157">
        <v>1.667</v>
      </c>
      <c r="M45" s="219">
        <v>3</v>
      </c>
      <c r="N45" s="158">
        <v>3</v>
      </c>
    </row>
    <row r="46" spans="1:14" ht="16">
      <c r="A46" s="146" t="s">
        <v>267</v>
      </c>
      <c r="B46" s="38" t="s">
        <v>184</v>
      </c>
      <c r="C46" s="149">
        <v>3</v>
      </c>
      <c r="D46" s="149">
        <v>3</v>
      </c>
      <c r="E46" s="149">
        <v>2</v>
      </c>
      <c r="F46" s="149">
        <v>3</v>
      </c>
      <c r="G46" s="218">
        <v>3</v>
      </c>
      <c r="H46" s="149">
        <v>1</v>
      </c>
      <c r="I46" s="155">
        <v>2</v>
      </c>
      <c r="J46" s="155">
        <v>1</v>
      </c>
      <c r="K46" s="156">
        <v>3</v>
      </c>
      <c r="L46" s="157">
        <v>1.5</v>
      </c>
      <c r="M46" s="219">
        <v>3</v>
      </c>
      <c r="N46" s="158">
        <v>3</v>
      </c>
    </row>
    <row r="47" spans="1:14" ht="16">
      <c r="A47" s="146" t="s">
        <v>515</v>
      </c>
      <c r="B47" s="38" t="s">
        <v>184</v>
      </c>
      <c r="C47" s="149">
        <v>2</v>
      </c>
      <c r="D47" s="149">
        <v>3</v>
      </c>
      <c r="E47" s="149">
        <v>2</v>
      </c>
      <c r="F47" s="149">
        <v>3</v>
      </c>
      <c r="G47" s="218">
        <v>3</v>
      </c>
      <c r="H47" s="149">
        <v>1</v>
      </c>
      <c r="I47" s="155">
        <v>2</v>
      </c>
      <c r="J47" s="155">
        <v>1</v>
      </c>
      <c r="K47" s="156">
        <v>3</v>
      </c>
      <c r="L47" s="157">
        <v>1.333</v>
      </c>
      <c r="M47" s="219">
        <v>3</v>
      </c>
      <c r="N47" s="158">
        <v>3</v>
      </c>
    </row>
    <row r="48" spans="1:14" ht="16">
      <c r="A48" s="146" t="s">
        <v>315</v>
      </c>
      <c r="B48" s="38" t="s">
        <v>318</v>
      </c>
      <c r="C48" s="149">
        <v>2</v>
      </c>
      <c r="D48" s="149">
        <v>1</v>
      </c>
      <c r="E48" s="149">
        <v>1</v>
      </c>
      <c r="F48" s="149">
        <v>3</v>
      </c>
      <c r="G48" s="218">
        <v>2</v>
      </c>
      <c r="H48" s="149">
        <v>2</v>
      </c>
      <c r="I48" s="155">
        <v>1</v>
      </c>
      <c r="J48" s="155">
        <v>1</v>
      </c>
      <c r="K48" s="156">
        <v>1</v>
      </c>
      <c r="L48" s="157">
        <v>2.125</v>
      </c>
      <c r="M48" s="219">
        <v>3</v>
      </c>
      <c r="N48" s="158">
        <v>3</v>
      </c>
    </row>
    <row r="49" spans="1:14" ht="16">
      <c r="A49" s="146" t="s">
        <v>274</v>
      </c>
      <c r="B49" s="38" t="s">
        <v>277</v>
      </c>
      <c r="C49" s="149">
        <v>2</v>
      </c>
      <c r="D49" s="149">
        <v>1</v>
      </c>
      <c r="E49" s="149">
        <v>2</v>
      </c>
      <c r="F49" s="149">
        <v>3</v>
      </c>
      <c r="G49" s="218">
        <v>3</v>
      </c>
      <c r="H49" s="149">
        <v>1</v>
      </c>
      <c r="I49" s="155">
        <v>1</v>
      </c>
      <c r="J49" s="155">
        <v>1</v>
      </c>
      <c r="K49" s="156">
        <v>2</v>
      </c>
      <c r="L49" s="157">
        <v>1.375</v>
      </c>
      <c r="M49" s="219">
        <v>3</v>
      </c>
      <c r="N49" s="158">
        <v>3</v>
      </c>
    </row>
    <row r="50" spans="1:14" ht="16">
      <c r="A50" s="146" t="s">
        <v>469</v>
      </c>
      <c r="B50" s="38" t="s">
        <v>83</v>
      </c>
      <c r="C50" s="149">
        <v>2</v>
      </c>
      <c r="D50" s="149">
        <v>1</v>
      </c>
      <c r="E50" s="149">
        <v>2</v>
      </c>
      <c r="F50" s="149">
        <v>3</v>
      </c>
      <c r="G50" s="218">
        <v>3</v>
      </c>
      <c r="H50" s="149">
        <v>2</v>
      </c>
      <c r="I50" s="155">
        <v>1</v>
      </c>
      <c r="J50" s="155">
        <v>1</v>
      </c>
      <c r="K50" s="156">
        <v>3</v>
      </c>
      <c r="L50" s="157">
        <v>1.667</v>
      </c>
      <c r="M50" s="219">
        <v>3</v>
      </c>
      <c r="N50" s="158">
        <v>3</v>
      </c>
    </row>
    <row r="51" spans="1:14" ht="16">
      <c r="A51" s="146" t="s">
        <v>676</v>
      </c>
      <c r="B51" s="38" t="s">
        <v>83</v>
      </c>
      <c r="C51" s="149">
        <v>2</v>
      </c>
      <c r="D51" s="149">
        <v>1</v>
      </c>
      <c r="E51" s="149">
        <v>2</v>
      </c>
      <c r="F51" s="149">
        <v>3</v>
      </c>
      <c r="G51" s="218">
        <v>2</v>
      </c>
      <c r="H51" s="149">
        <v>2</v>
      </c>
      <c r="I51" s="155">
        <v>2</v>
      </c>
      <c r="J51" s="155">
        <v>1</v>
      </c>
      <c r="K51" s="156">
        <v>2</v>
      </c>
      <c r="L51" s="157">
        <v>1.5</v>
      </c>
      <c r="M51" s="219">
        <v>3</v>
      </c>
      <c r="N51" s="158">
        <v>3</v>
      </c>
    </row>
    <row r="52" spans="1:14" ht="16">
      <c r="A52" s="146" t="s">
        <v>1399</v>
      </c>
      <c r="B52" s="38" t="s">
        <v>224</v>
      </c>
      <c r="C52" s="149">
        <v>3</v>
      </c>
      <c r="D52" s="149">
        <v>2</v>
      </c>
      <c r="E52" s="149">
        <v>2</v>
      </c>
      <c r="F52" s="149">
        <v>3</v>
      </c>
      <c r="G52" s="218">
        <v>3</v>
      </c>
      <c r="H52" s="149">
        <v>1</v>
      </c>
      <c r="I52" s="155">
        <v>1</v>
      </c>
      <c r="J52" s="155">
        <v>1</v>
      </c>
      <c r="K52" s="156">
        <v>1</v>
      </c>
      <c r="L52" s="157">
        <v>1.667</v>
      </c>
      <c r="M52" s="219">
        <v>3</v>
      </c>
      <c r="N52" s="158">
        <v>3</v>
      </c>
    </row>
    <row r="53" spans="1:14" ht="16">
      <c r="A53" s="146" t="s">
        <v>684</v>
      </c>
      <c r="B53" s="38" t="s">
        <v>132</v>
      </c>
      <c r="C53" s="149">
        <v>3</v>
      </c>
      <c r="D53" s="149">
        <v>2</v>
      </c>
      <c r="E53" s="149">
        <v>2</v>
      </c>
      <c r="F53" s="149">
        <v>3</v>
      </c>
      <c r="G53" s="218">
        <v>2</v>
      </c>
      <c r="H53" s="149">
        <v>1</v>
      </c>
      <c r="I53" s="155">
        <v>2</v>
      </c>
      <c r="J53" s="155">
        <v>1</v>
      </c>
      <c r="K53" s="156">
        <v>3</v>
      </c>
      <c r="L53" s="157">
        <v>2.75</v>
      </c>
      <c r="M53" s="219">
        <v>3</v>
      </c>
      <c r="N53" s="158">
        <v>2</v>
      </c>
    </row>
    <row r="54" spans="1:14" ht="16">
      <c r="A54" s="146" t="s">
        <v>480</v>
      </c>
      <c r="B54" s="38" t="s">
        <v>83</v>
      </c>
      <c r="C54" s="149">
        <v>2</v>
      </c>
      <c r="D54" s="149">
        <v>2</v>
      </c>
      <c r="E54" s="149">
        <v>2</v>
      </c>
      <c r="F54" s="149">
        <v>3</v>
      </c>
      <c r="G54" s="218">
        <v>3</v>
      </c>
      <c r="H54" s="149">
        <v>2</v>
      </c>
      <c r="I54" s="155">
        <v>1</v>
      </c>
      <c r="J54" s="155">
        <v>1</v>
      </c>
      <c r="K54" s="156">
        <v>2</v>
      </c>
      <c r="L54" s="157">
        <v>1.125</v>
      </c>
      <c r="M54" s="219">
        <v>3</v>
      </c>
      <c r="N54" s="158">
        <v>3</v>
      </c>
    </row>
    <row r="55" spans="1:14" ht="16">
      <c r="A55" s="146" t="s">
        <v>281</v>
      </c>
      <c r="B55" s="38" t="s">
        <v>224</v>
      </c>
      <c r="C55" s="149">
        <v>3</v>
      </c>
      <c r="D55" s="149">
        <v>2</v>
      </c>
      <c r="E55" s="149">
        <v>2</v>
      </c>
      <c r="F55" s="149">
        <v>3</v>
      </c>
      <c r="G55" s="218">
        <v>3</v>
      </c>
      <c r="H55" s="149">
        <v>1</v>
      </c>
      <c r="I55" s="155">
        <v>3</v>
      </c>
      <c r="J55" s="155">
        <v>1</v>
      </c>
      <c r="K55" s="156">
        <v>2</v>
      </c>
      <c r="L55" s="157">
        <v>1.5</v>
      </c>
      <c r="M55" s="219">
        <v>3</v>
      </c>
      <c r="N55" s="158">
        <v>3</v>
      </c>
    </row>
    <row r="56" spans="1:14" ht="16">
      <c r="A56" s="146" t="s">
        <v>692</v>
      </c>
      <c r="B56" s="38" t="s">
        <v>160</v>
      </c>
      <c r="C56" s="149">
        <v>3</v>
      </c>
      <c r="D56" s="149">
        <v>2</v>
      </c>
      <c r="E56" s="149">
        <v>3</v>
      </c>
      <c r="F56" s="149">
        <v>3</v>
      </c>
      <c r="G56" s="218">
        <v>3</v>
      </c>
      <c r="H56" s="149">
        <v>1</v>
      </c>
      <c r="I56" s="155">
        <v>2</v>
      </c>
      <c r="J56" s="155">
        <v>1</v>
      </c>
      <c r="K56" s="156">
        <v>1</v>
      </c>
      <c r="L56" s="157">
        <v>1.875</v>
      </c>
      <c r="M56" s="219">
        <v>3</v>
      </c>
      <c r="N56" s="158">
        <v>3</v>
      </c>
    </row>
    <row r="57" spans="1:14" ht="16">
      <c r="A57" s="146" t="s">
        <v>1401</v>
      </c>
      <c r="B57" s="38" t="s">
        <v>819</v>
      </c>
      <c r="C57" s="149">
        <v>3</v>
      </c>
      <c r="D57" s="149">
        <v>2</v>
      </c>
      <c r="E57" s="149">
        <v>2</v>
      </c>
      <c r="F57" s="149">
        <v>3</v>
      </c>
      <c r="G57" s="218">
        <v>3</v>
      </c>
      <c r="H57" s="149">
        <v>2</v>
      </c>
      <c r="I57" s="155">
        <v>1</v>
      </c>
      <c r="J57" s="155">
        <v>1</v>
      </c>
      <c r="K57" s="159">
        <v>3</v>
      </c>
      <c r="L57" s="157">
        <v>2.625</v>
      </c>
      <c r="M57" s="219">
        <v>3</v>
      </c>
      <c r="N57" s="158">
        <v>3</v>
      </c>
    </row>
    <row r="58" spans="1:14" ht="16">
      <c r="A58" s="146" t="s">
        <v>399</v>
      </c>
      <c r="B58" s="38" t="s">
        <v>819</v>
      </c>
      <c r="C58" s="149">
        <v>2</v>
      </c>
      <c r="D58" s="149">
        <v>1</v>
      </c>
      <c r="E58" s="149">
        <v>2</v>
      </c>
      <c r="F58" s="149">
        <v>3</v>
      </c>
      <c r="G58" s="218">
        <v>3</v>
      </c>
      <c r="H58" s="149">
        <v>2</v>
      </c>
      <c r="I58" s="155">
        <v>1</v>
      </c>
      <c r="J58" s="155">
        <v>1</v>
      </c>
      <c r="K58" s="156">
        <v>1</v>
      </c>
      <c r="L58" s="157">
        <v>2</v>
      </c>
      <c r="M58" s="219">
        <v>3</v>
      </c>
      <c r="N58" s="158">
        <v>3</v>
      </c>
    </row>
    <row r="59" spans="1:14" ht="16">
      <c r="A59" s="146" t="s">
        <v>416</v>
      </c>
      <c r="B59" s="38" t="s">
        <v>184</v>
      </c>
      <c r="C59" s="149">
        <v>3</v>
      </c>
      <c r="D59" s="149">
        <v>2</v>
      </c>
      <c r="E59" s="149">
        <v>2</v>
      </c>
      <c r="F59" s="149">
        <v>3</v>
      </c>
      <c r="G59" s="218">
        <v>3</v>
      </c>
      <c r="H59" s="149">
        <v>2</v>
      </c>
      <c r="I59" s="155">
        <v>1</v>
      </c>
      <c r="J59" s="155">
        <v>1</v>
      </c>
      <c r="K59" s="156">
        <v>2</v>
      </c>
      <c r="L59" s="157">
        <v>3</v>
      </c>
      <c r="M59" s="219">
        <v>3</v>
      </c>
      <c r="N59" s="158">
        <v>3</v>
      </c>
    </row>
    <row r="60" spans="1:14" ht="16">
      <c r="A60" s="146" t="s">
        <v>428</v>
      </c>
      <c r="B60" s="38" t="s">
        <v>152</v>
      </c>
      <c r="C60" s="149">
        <v>3</v>
      </c>
      <c r="D60" s="149">
        <v>2</v>
      </c>
      <c r="E60" s="149">
        <v>2</v>
      </c>
      <c r="F60" s="149">
        <v>2</v>
      </c>
      <c r="G60" s="218">
        <v>3</v>
      </c>
      <c r="H60" s="149">
        <v>2</v>
      </c>
      <c r="I60" s="155">
        <v>1</v>
      </c>
      <c r="J60" s="155">
        <v>1</v>
      </c>
      <c r="K60" s="156">
        <v>2</v>
      </c>
      <c r="L60" s="157">
        <v>1.625</v>
      </c>
      <c r="M60" s="219">
        <v>3</v>
      </c>
      <c r="N60" s="158">
        <v>2</v>
      </c>
    </row>
    <row r="61" spans="1:14" ht="16">
      <c r="A61" s="146" t="s">
        <v>533</v>
      </c>
      <c r="B61" s="38" t="s">
        <v>152</v>
      </c>
      <c r="C61" s="149">
        <v>2</v>
      </c>
      <c r="D61" s="149">
        <v>2</v>
      </c>
      <c r="E61" s="149">
        <v>2</v>
      </c>
      <c r="F61" s="149">
        <v>2</v>
      </c>
      <c r="G61" s="218">
        <v>3</v>
      </c>
      <c r="H61" s="149">
        <v>2</v>
      </c>
      <c r="I61" s="155">
        <v>1</v>
      </c>
      <c r="J61" s="155">
        <v>1</v>
      </c>
      <c r="K61" s="156">
        <v>2</v>
      </c>
      <c r="L61" s="157">
        <v>1.875</v>
      </c>
      <c r="M61" s="219">
        <v>3</v>
      </c>
      <c r="N61" s="158">
        <v>3</v>
      </c>
    </row>
    <row r="62" spans="1:14" ht="16">
      <c r="A62" s="146" t="s">
        <v>324</v>
      </c>
      <c r="B62" s="38" t="s">
        <v>327</v>
      </c>
      <c r="C62" s="149">
        <v>2</v>
      </c>
      <c r="D62" s="149">
        <v>1</v>
      </c>
      <c r="E62" s="149">
        <v>1</v>
      </c>
      <c r="F62" s="149">
        <v>3</v>
      </c>
      <c r="G62" s="218">
        <v>3</v>
      </c>
      <c r="H62" s="149">
        <v>2</v>
      </c>
      <c r="I62" s="155">
        <v>2</v>
      </c>
      <c r="J62" s="155">
        <v>1</v>
      </c>
      <c r="K62" s="156">
        <v>2</v>
      </c>
      <c r="L62" s="157">
        <v>3</v>
      </c>
      <c r="M62" s="219">
        <v>3</v>
      </c>
      <c r="N62" s="158">
        <v>3</v>
      </c>
    </row>
    <row r="63" spans="1:14" ht="16">
      <c r="A63" s="146" t="s">
        <v>704</v>
      </c>
      <c r="B63" s="38" t="s">
        <v>707</v>
      </c>
      <c r="C63" s="149">
        <v>2</v>
      </c>
      <c r="D63" s="149">
        <v>2</v>
      </c>
      <c r="E63" s="149">
        <v>2</v>
      </c>
      <c r="F63" s="149">
        <v>1</v>
      </c>
      <c r="G63" s="218">
        <v>3</v>
      </c>
      <c r="H63" s="149">
        <v>2</v>
      </c>
      <c r="I63" s="155">
        <v>1</v>
      </c>
      <c r="J63" s="155">
        <v>1</v>
      </c>
      <c r="K63" s="156">
        <v>1</v>
      </c>
      <c r="L63" s="157">
        <v>1.875</v>
      </c>
      <c r="M63" s="219">
        <v>3</v>
      </c>
      <c r="N63" s="158">
        <v>3</v>
      </c>
    </row>
    <row r="64" spans="1:14" ht="16">
      <c r="A64" s="146" t="s">
        <v>711</v>
      </c>
      <c r="B64" s="38" t="s">
        <v>177</v>
      </c>
      <c r="C64" s="149">
        <v>2</v>
      </c>
      <c r="D64" s="149">
        <v>1</v>
      </c>
      <c r="E64" s="149">
        <v>3</v>
      </c>
      <c r="F64" s="149">
        <v>3</v>
      </c>
      <c r="G64" s="218">
        <v>3</v>
      </c>
      <c r="H64" s="149">
        <v>1</v>
      </c>
      <c r="I64" s="155">
        <v>1</v>
      </c>
      <c r="J64" s="155">
        <v>1</v>
      </c>
      <c r="K64" s="156">
        <v>2</v>
      </c>
      <c r="L64" s="157">
        <v>2.25</v>
      </c>
      <c r="M64" s="219">
        <v>3</v>
      </c>
      <c r="N64" s="158">
        <v>3</v>
      </c>
    </row>
    <row r="65" spans="1:14" ht="16">
      <c r="A65" s="146" t="s">
        <v>342</v>
      </c>
      <c r="B65" s="38" t="s">
        <v>152</v>
      </c>
      <c r="C65" s="149">
        <v>2</v>
      </c>
      <c r="D65" s="149">
        <v>1</v>
      </c>
      <c r="E65" s="149">
        <v>2</v>
      </c>
      <c r="F65" s="149">
        <v>2</v>
      </c>
      <c r="G65" s="218">
        <v>3</v>
      </c>
      <c r="H65" s="149">
        <v>1</v>
      </c>
      <c r="I65" s="155">
        <v>1</v>
      </c>
      <c r="J65" s="155">
        <v>1</v>
      </c>
      <c r="K65" s="156">
        <v>2</v>
      </c>
      <c r="L65" s="157">
        <v>1.875</v>
      </c>
      <c r="M65" s="219">
        <v>3</v>
      </c>
      <c r="N65" s="158">
        <v>3</v>
      </c>
    </row>
    <row r="66" spans="1:14" ht="16">
      <c r="A66" s="146" t="s">
        <v>299</v>
      </c>
      <c r="B66" s="38" t="s">
        <v>83</v>
      </c>
      <c r="C66" s="149">
        <v>2</v>
      </c>
      <c r="D66" s="149">
        <v>2</v>
      </c>
      <c r="E66" s="149">
        <v>2</v>
      </c>
      <c r="F66" s="149">
        <v>3</v>
      </c>
      <c r="G66" s="218">
        <v>3</v>
      </c>
      <c r="H66" s="149">
        <v>2</v>
      </c>
      <c r="I66" s="155">
        <v>1</v>
      </c>
      <c r="J66" s="155">
        <v>1</v>
      </c>
      <c r="K66" s="156">
        <v>3</v>
      </c>
      <c r="L66" s="157">
        <v>1.25</v>
      </c>
      <c r="M66" s="219">
        <v>3</v>
      </c>
      <c r="N66" s="158">
        <v>3</v>
      </c>
    </row>
    <row r="67" spans="1:14" ht="16">
      <c r="A67" s="146" t="s">
        <v>717</v>
      </c>
      <c r="B67" s="38" t="s">
        <v>83</v>
      </c>
      <c r="C67" s="149">
        <v>3</v>
      </c>
      <c r="D67" s="149">
        <v>2</v>
      </c>
      <c r="E67" s="149">
        <v>2</v>
      </c>
      <c r="F67" s="149">
        <v>3</v>
      </c>
      <c r="G67" s="218">
        <v>2</v>
      </c>
      <c r="H67" s="149">
        <v>2</v>
      </c>
      <c r="I67" s="155">
        <v>2</v>
      </c>
      <c r="J67" s="155">
        <v>1</v>
      </c>
      <c r="K67" s="156">
        <v>3</v>
      </c>
      <c r="L67" s="157">
        <v>1.25</v>
      </c>
      <c r="M67" s="219">
        <v>3</v>
      </c>
      <c r="N67" s="158">
        <v>3</v>
      </c>
    </row>
    <row r="68" spans="1:14" ht="16">
      <c r="A68" s="146" t="s">
        <v>447</v>
      </c>
      <c r="B68" s="38" t="s">
        <v>160</v>
      </c>
      <c r="C68" s="149">
        <v>2</v>
      </c>
      <c r="D68" s="149">
        <v>1</v>
      </c>
      <c r="E68" s="149">
        <v>2</v>
      </c>
      <c r="F68" s="149">
        <v>3</v>
      </c>
      <c r="G68" s="218">
        <v>3</v>
      </c>
      <c r="H68" s="149">
        <v>2</v>
      </c>
      <c r="I68" s="155">
        <v>1</v>
      </c>
      <c r="J68" s="155">
        <v>3</v>
      </c>
      <c r="K68" s="156">
        <v>1</v>
      </c>
      <c r="L68" s="157">
        <v>2.25</v>
      </c>
      <c r="M68" s="219">
        <v>3</v>
      </c>
      <c r="N68" s="158">
        <v>3</v>
      </c>
    </row>
    <row r="69" spans="1:14" ht="16">
      <c r="A69" s="146" t="s">
        <v>307</v>
      </c>
      <c r="B69" s="38" t="s">
        <v>310</v>
      </c>
      <c r="C69" s="149">
        <v>2</v>
      </c>
      <c r="D69" s="149">
        <v>1</v>
      </c>
      <c r="E69" s="149">
        <v>1</v>
      </c>
      <c r="F69" s="149">
        <v>3</v>
      </c>
      <c r="G69" s="218">
        <v>2</v>
      </c>
      <c r="H69" s="149">
        <v>1</v>
      </c>
      <c r="I69" s="155">
        <v>1</v>
      </c>
      <c r="J69" s="155">
        <v>1</v>
      </c>
      <c r="K69" s="156">
        <v>2</v>
      </c>
      <c r="L69" s="157">
        <v>1.5</v>
      </c>
      <c r="M69" s="219">
        <v>3</v>
      </c>
      <c r="N69" s="158">
        <v>3</v>
      </c>
    </row>
    <row r="70" spans="1:14" ht="16">
      <c r="A70" s="146" t="s">
        <v>722</v>
      </c>
      <c r="B70" s="38" t="s">
        <v>184</v>
      </c>
      <c r="C70" s="149">
        <v>2</v>
      </c>
      <c r="D70" s="149">
        <v>3</v>
      </c>
      <c r="E70" s="149">
        <v>2</v>
      </c>
      <c r="F70" s="149">
        <v>3</v>
      </c>
      <c r="G70" s="218">
        <v>3</v>
      </c>
      <c r="H70" s="149">
        <v>1</v>
      </c>
      <c r="I70" s="155">
        <v>2</v>
      </c>
      <c r="J70" s="155">
        <v>1</v>
      </c>
      <c r="K70" s="156">
        <v>3</v>
      </c>
      <c r="L70" s="157">
        <v>1.333</v>
      </c>
      <c r="M70" s="219">
        <v>3</v>
      </c>
      <c r="N70" s="158">
        <v>3</v>
      </c>
    </row>
    <row r="71" spans="1:14" ht="16">
      <c r="A71" s="146" t="s">
        <v>333</v>
      </c>
      <c r="B71" s="38" t="s">
        <v>336</v>
      </c>
      <c r="C71" s="149">
        <v>2</v>
      </c>
      <c r="D71" s="149">
        <v>1</v>
      </c>
      <c r="E71" s="149">
        <v>2</v>
      </c>
      <c r="F71" s="149">
        <v>3</v>
      </c>
      <c r="G71" s="218">
        <v>1</v>
      </c>
      <c r="H71" s="149">
        <v>1</v>
      </c>
      <c r="I71" s="155">
        <v>2</v>
      </c>
      <c r="J71" s="155">
        <v>1</v>
      </c>
      <c r="K71" s="156">
        <v>2</v>
      </c>
      <c r="L71" s="157">
        <v>2.25</v>
      </c>
      <c r="M71" s="219">
        <v>3</v>
      </c>
      <c r="N71" s="158">
        <v>3</v>
      </c>
    </row>
    <row r="72" spans="1:14" ht="16">
      <c r="A72" s="146" t="s">
        <v>725</v>
      </c>
      <c r="B72" s="38" t="s">
        <v>132</v>
      </c>
      <c r="C72" s="149">
        <v>2</v>
      </c>
      <c r="D72" s="149">
        <v>2</v>
      </c>
      <c r="E72" s="149">
        <v>2</v>
      </c>
      <c r="F72" s="149">
        <v>3</v>
      </c>
      <c r="G72" s="218">
        <v>3</v>
      </c>
      <c r="H72" s="149">
        <v>1</v>
      </c>
      <c r="I72" s="155">
        <v>3</v>
      </c>
      <c r="J72" s="155">
        <v>1</v>
      </c>
      <c r="K72" s="156">
        <v>3</v>
      </c>
      <c r="L72" s="157">
        <v>3</v>
      </c>
      <c r="M72" s="219">
        <v>3</v>
      </c>
      <c r="N72" s="158">
        <v>3</v>
      </c>
    </row>
    <row r="73" spans="1:14" ht="16">
      <c r="A73" s="146" t="s">
        <v>391</v>
      </c>
      <c r="B73" s="38" t="s">
        <v>1386</v>
      </c>
      <c r="C73" s="149">
        <v>3</v>
      </c>
      <c r="D73" s="149">
        <v>2</v>
      </c>
      <c r="E73" s="149">
        <v>2</v>
      </c>
      <c r="F73" s="149">
        <v>3</v>
      </c>
      <c r="G73" s="218">
        <v>1</v>
      </c>
      <c r="H73" s="149">
        <v>2</v>
      </c>
      <c r="I73" s="155">
        <v>1</v>
      </c>
      <c r="J73" s="155">
        <v>1</v>
      </c>
      <c r="K73" s="156">
        <v>2</v>
      </c>
      <c r="L73" s="157">
        <v>1.375</v>
      </c>
      <c r="M73" s="219">
        <v>3</v>
      </c>
      <c r="N73" s="158">
        <v>3</v>
      </c>
    </row>
    <row r="74" spans="1:14" ht="16">
      <c r="A74" s="146" t="s">
        <v>382</v>
      </c>
      <c r="B74" s="38" t="s">
        <v>177</v>
      </c>
      <c r="C74" s="149">
        <v>1</v>
      </c>
      <c r="D74" s="149">
        <v>1</v>
      </c>
      <c r="E74" s="149">
        <v>3</v>
      </c>
      <c r="F74" s="149">
        <v>3</v>
      </c>
      <c r="G74" s="218">
        <v>3</v>
      </c>
      <c r="H74" s="149">
        <v>1</v>
      </c>
      <c r="I74" s="155">
        <v>1</v>
      </c>
      <c r="J74" s="155">
        <v>3</v>
      </c>
      <c r="K74" s="156">
        <v>2</v>
      </c>
      <c r="L74" s="157">
        <v>2</v>
      </c>
      <c r="M74" s="219">
        <v>3</v>
      </c>
      <c r="N74" s="158">
        <v>3</v>
      </c>
    </row>
    <row r="75" spans="1:14" ht="15">
      <c r="A75" s="146" t="s">
        <v>407</v>
      </c>
      <c r="B75" s="38" t="s">
        <v>152</v>
      </c>
      <c r="C75" s="149">
        <v>2</v>
      </c>
      <c r="D75" s="149">
        <v>1</v>
      </c>
      <c r="E75" s="149">
        <v>2</v>
      </c>
      <c r="F75" s="149">
        <v>2</v>
      </c>
      <c r="G75" s="218">
        <v>3</v>
      </c>
      <c r="H75" s="149">
        <v>1</v>
      </c>
      <c r="I75" s="155">
        <v>1</v>
      </c>
      <c r="J75" s="155">
        <v>1</v>
      </c>
      <c r="K75" s="156">
        <v>2</v>
      </c>
      <c r="L75" s="157">
        <v>2</v>
      </c>
      <c r="M75" s="219">
        <v>3</v>
      </c>
      <c r="N75" s="219">
        <v>3</v>
      </c>
    </row>
    <row r="76" spans="1:14" ht="16">
      <c r="A76" s="146" t="s">
        <v>733</v>
      </c>
      <c r="B76" s="38" t="s">
        <v>152</v>
      </c>
      <c r="C76" s="149">
        <v>2</v>
      </c>
      <c r="D76" s="149">
        <v>2</v>
      </c>
      <c r="E76" s="149">
        <v>2</v>
      </c>
      <c r="F76" s="149">
        <v>2</v>
      </c>
      <c r="G76" s="218">
        <v>3</v>
      </c>
      <c r="H76" s="149">
        <v>1</v>
      </c>
      <c r="I76" s="155">
        <v>2</v>
      </c>
      <c r="J76" s="155">
        <v>1</v>
      </c>
      <c r="K76" s="156">
        <v>2</v>
      </c>
      <c r="L76" s="157">
        <v>1.625</v>
      </c>
      <c r="M76" s="219">
        <v>3</v>
      </c>
      <c r="N76" s="158">
        <v>2</v>
      </c>
    </row>
    <row r="77" spans="1:14" ht="16">
      <c r="A77" s="146" t="s">
        <v>369</v>
      </c>
      <c r="B77" s="38" t="s">
        <v>372</v>
      </c>
      <c r="C77" s="149">
        <v>2</v>
      </c>
      <c r="D77" s="149">
        <v>2</v>
      </c>
      <c r="E77" s="149">
        <v>2</v>
      </c>
      <c r="F77" s="149">
        <v>3</v>
      </c>
      <c r="G77" s="218">
        <v>3</v>
      </c>
      <c r="H77" s="149">
        <v>1</v>
      </c>
      <c r="I77" s="155">
        <v>2</v>
      </c>
      <c r="J77" s="155">
        <v>1</v>
      </c>
      <c r="K77" s="156">
        <v>1</v>
      </c>
      <c r="L77" s="157">
        <v>1.25</v>
      </c>
      <c r="M77" s="219">
        <v>3</v>
      </c>
      <c r="N77" s="158">
        <v>2</v>
      </c>
    </row>
    <row r="78" spans="1:14" ht="16">
      <c r="A78" s="146" t="s">
        <v>476</v>
      </c>
      <c r="B78" s="38" t="s">
        <v>152</v>
      </c>
      <c r="C78" s="149">
        <v>2</v>
      </c>
      <c r="D78" s="149">
        <v>2</v>
      </c>
      <c r="E78" s="149">
        <v>2</v>
      </c>
      <c r="F78" s="149">
        <v>2</v>
      </c>
      <c r="G78" s="218">
        <v>3</v>
      </c>
      <c r="H78" s="149">
        <v>2</v>
      </c>
      <c r="I78" s="155">
        <v>1</v>
      </c>
      <c r="J78" s="155">
        <v>1</v>
      </c>
      <c r="K78" s="156">
        <v>2</v>
      </c>
      <c r="L78" s="157">
        <v>1.875</v>
      </c>
      <c r="M78" s="219">
        <v>3</v>
      </c>
      <c r="N78" s="158">
        <v>3</v>
      </c>
    </row>
    <row r="79" spans="1:14" ht="16">
      <c r="A79" s="146" t="s">
        <v>736</v>
      </c>
      <c r="B79" s="38" t="s">
        <v>739</v>
      </c>
      <c r="C79" s="149">
        <v>2</v>
      </c>
      <c r="D79" s="149">
        <v>1</v>
      </c>
      <c r="E79" s="149">
        <v>2</v>
      </c>
      <c r="F79" s="149">
        <v>3</v>
      </c>
      <c r="G79" s="218">
        <v>1</v>
      </c>
      <c r="H79" s="149">
        <v>1</v>
      </c>
      <c r="I79" s="155">
        <v>1</v>
      </c>
      <c r="J79" s="155">
        <v>1</v>
      </c>
      <c r="K79" s="156">
        <v>1</v>
      </c>
      <c r="L79" s="157">
        <v>3</v>
      </c>
      <c r="M79" s="219">
        <v>3</v>
      </c>
      <c r="N79" s="158">
        <v>3</v>
      </c>
    </row>
    <row r="80" spans="1:14" ht="16">
      <c r="A80" s="146" t="s">
        <v>492</v>
      </c>
      <c r="B80" s="38" t="s">
        <v>336</v>
      </c>
      <c r="C80" s="149">
        <v>2</v>
      </c>
      <c r="D80" s="149">
        <v>2</v>
      </c>
      <c r="E80" s="149">
        <v>2</v>
      </c>
      <c r="F80" s="149">
        <v>3</v>
      </c>
      <c r="G80" s="218">
        <v>1</v>
      </c>
      <c r="H80" s="149">
        <v>2</v>
      </c>
      <c r="I80" s="155">
        <v>2</v>
      </c>
      <c r="J80" s="155">
        <v>1</v>
      </c>
      <c r="K80" s="156">
        <v>1</v>
      </c>
      <c r="L80" s="157">
        <v>2.125</v>
      </c>
      <c r="M80" s="219">
        <v>3</v>
      </c>
      <c r="N80" s="158">
        <v>3</v>
      </c>
    </row>
    <row r="81" spans="1:14" ht="16">
      <c r="A81" s="146" t="s">
        <v>557</v>
      </c>
      <c r="B81" s="38" t="s">
        <v>160</v>
      </c>
      <c r="C81" s="149">
        <v>1</v>
      </c>
      <c r="D81" s="149">
        <v>1</v>
      </c>
      <c r="E81" s="149">
        <v>2</v>
      </c>
      <c r="F81" s="149">
        <v>3</v>
      </c>
      <c r="G81" s="218">
        <v>3</v>
      </c>
      <c r="H81" s="149">
        <v>2</v>
      </c>
      <c r="I81" s="155">
        <v>2</v>
      </c>
      <c r="J81" s="155">
        <v>3</v>
      </c>
      <c r="K81" s="156">
        <v>2</v>
      </c>
      <c r="L81" s="157">
        <v>2.125</v>
      </c>
      <c r="M81" s="219">
        <v>3</v>
      </c>
      <c r="N81" s="158">
        <v>3</v>
      </c>
    </row>
    <row r="82" spans="1:14" ht="16">
      <c r="A82" s="146" t="s">
        <v>1406</v>
      </c>
      <c r="B82" s="38" t="s">
        <v>83</v>
      </c>
      <c r="C82" s="149">
        <v>2</v>
      </c>
      <c r="D82" s="149">
        <v>1</v>
      </c>
      <c r="E82" s="149">
        <v>1</v>
      </c>
      <c r="F82" s="149">
        <v>3</v>
      </c>
      <c r="G82" s="218">
        <v>3</v>
      </c>
      <c r="H82" s="149">
        <v>2</v>
      </c>
      <c r="I82" s="155">
        <v>1</v>
      </c>
      <c r="J82" s="155">
        <v>1</v>
      </c>
      <c r="K82" s="156">
        <v>1</v>
      </c>
      <c r="L82" s="157">
        <v>1.167</v>
      </c>
      <c r="M82" s="219">
        <v>3</v>
      </c>
      <c r="N82" s="158">
        <v>3</v>
      </c>
    </row>
    <row r="83" spans="1:14" ht="16">
      <c r="A83" s="146" t="s">
        <v>459</v>
      </c>
      <c r="B83" s="38" t="s">
        <v>1386</v>
      </c>
      <c r="C83" s="149">
        <v>2</v>
      </c>
      <c r="D83" s="149">
        <v>2</v>
      </c>
      <c r="E83" s="149">
        <v>2</v>
      </c>
      <c r="F83" s="149">
        <v>3</v>
      </c>
      <c r="G83" s="218">
        <v>2</v>
      </c>
      <c r="H83" s="149">
        <v>2</v>
      </c>
      <c r="I83" s="155">
        <v>1</v>
      </c>
      <c r="J83" s="155">
        <v>1</v>
      </c>
      <c r="K83" s="156">
        <v>3</v>
      </c>
      <c r="L83" s="157">
        <v>1.375</v>
      </c>
      <c r="M83" s="219">
        <v>3</v>
      </c>
      <c r="N83" s="158">
        <v>3</v>
      </c>
    </row>
    <row r="84" spans="1:14" ht="16">
      <c r="A84" s="146" t="s">
        <v>745</v>
      </c>
      <c r="B84" s="38" t="s">
        <v>170</v>
      </c>
      <c r="C84" s="149">
        <v>2</v>
      </c>
      <c r="D84" s="149">
        <v>2</v>
      </c>
      <c r="E84" s="149">
        <v>3</v>
      </c>
      <c r="F84" s="149">
        <v>3</v>
      </c>
      <c r="G84" s="218">
        <v>2</v>
      </c>
      <c r="H84" s="149">
        <v>1</v>
      </c>
      <c r="I84" s="155">
        <v>1</v>
      </c>
      <c r="J84" s="155">
        <v>1</v>
      </c>
      <c r="K84" s="156">
        <v>2</v>
      </c>
      <c r="L84" s="157">
        <v>1.375</v>
      </c>
      <c r="M84" s="219">
        <v>3</v>
      </c>
      <c r="N84" s="158">
        <v>2</v>
      </c>
    </row>
    <row r="85" spans="1:14" ht="16">
      <c r="A85" s="146" t="s">
        <v>750</v>
      </c>
      <c r="B85" s="38" t="s">
        <v>184</v>
      </c>
      <c r="C85" s="149">
        <v>2</v>
      </c>
      <c r="D85" s="149">
        <v>2</v>
      </c>
      <c r="E85" s="149">
        <v>2</v>
      </c>
      <c r="F85" s="149">
        <v>3</v>
      </c>
      <c r="G85" s="218">
        <v>1</v>
      </c>
      <c r="H85" s="149">
        <v>1</v>
      </c>
      <c r="I85" s="155">
        <v>2</v>
      </c>
      <c r="J85" s="155">
        <v>1</v>
      </c>
      <c r="K85" s="156">
        <v>2</v>
      </c>
      <c r="L85" s="157">
        <v>2.25</v>
      </c>
      <c r="M85" s="219">
        <v>3</v>
      </c>
      <c r="N85" s="158">
        <v>3</v>
      </c>
    </row>
    <row r="86" spans="1:14" ht="16">
      <c r="A86" s="146" t="s">
        <v>538</v>
      </c>
      <c r="B86" s="38" t="s">
        <v>152</v>
      </c>
      <c r="C86" s="149">
        <v>2</v>
      </c>
      <c r="D86" s="149">
        <v>2</v>
      </c>
      <c r="E86" s="149">
        <v>2</v>
      </c>
      <c r="F86" s="149">
        <v>2</v>
      </c>
      <c r="G86" s="218">
        <v>3</v>
      </c>
      <c r="H86" s="149">
        <v>2</v>
      </c>
      <c r="I86" s="155">
        <v>3</v>
      </c>
      <c r="J86" s="155">
        <v>1</v>
      </c>
      <c r="K86" s="156">
        <v>2</v>
      </c>
      <c r="L86" s="157">
        <v>1.333</v>
      </c>
      <c r="M86" s="219">
        <v>3</v>
      </c>
      <c r="N86" s="158">
        <v>2</v>
      </c>
    </row>
    <row r="87" spans="1:14" ht="16">
      <c r="A87" s="146" t="s">
        <v>364</v>
      </c>
      <c r="B87" s="38" t="s">
        <v>83</v>
      </c>
      <c r="C87" s="149">
        <v>3</v>
      </c>
      <c r="D87" s="149">
        <v>2</v>
      </c>
      <c r="E87" s="149">
        <v>2</v>
      </c>
      <c r="F87" s="149">
        <v>3</v>
      </c>
      <c r="G87" s="218">
        <v>3</v>
      </c>
      <c r="H87" s="149">
        <v>2</v>
      </c>
      <c r="I87" s="155">
        <v>2</v>
      </c>
      <c r="J87" s="155">
        <v>1</v>
      </c>
      <c r="K87" s="156">
        <v>2</v>
      </c>
      <c r="L87" s="157">
        <v>1.5</v>
      </c>
      <c r="M87" s="219">
        <v>3</v>
      </c>
      <c r="N87" s="158">
        <v>3</v>
      </c>
    </row>
    <row r="88" spans="1:14" ht="16">
      <c r="A88" s="146" t="s">
        <v>759</v>
      </c>
      <c r="B88" s="38" t="s">
        <v>177</v>
      </c>
      <c r="C88" s="149">
        <v>1</v>
      </c>
      <c r="D88" s="149">
        <v>1</v>
      </c>
      <c r="E88" s="149">
        <v>3</v>
      </c>
      <c r="F88" s="149">
        <v>3</v>
      </c>
      <c r="G88" s="218">
        <v>3</v>
      </c>
      <c r="H88" s="149">
        <v>1</v>
      </c>
      <c r="I88" s="155">
        <v>1</v>
      </c>
      <c r="J88" s="155">
        <v>1</v>
      </c>
      <c r="K88" s="156">
        <v>2</v>
      </c>
      <c r="L88" s="157">
        <v>3</v>
      </c>
      <c r="M88" s="219">
        <v>3</v>
      </c>
      <c r="N88" s="158">
        <v>3</v>
      </c>
    </row>
    <row r="89" spans="1:14" ht="16">
      <c r="A89" s="146" t="s">
        <v>560</v>
      </c>
      <c r="B89" s="38" t="s">
        <v>286</v>
      </c>
      <c r="C89" s="149">
        <v>2</v>
      </c>
      <c r="D89" s="149">
        <v>1</v>
      </c>
      <c r="E89" s="149">
        <v>1</v>
      </c>
      <c r="F89" s="149">
        <v>3</v>
      </c>
      <c r="G89" s="218">
        <v>2</v>
      </c>
      <c r="H89" s="149">
        <v>1</v>
      </c>
      <c r="I89" s="155">
        <v>1</v>
      </c>
      <c r="J89" s="155">
        <v>3</v>
      </c>
      <c r="K89" s="156">
        <v>2</v>
      </c>
      <c r="L89" s="157">
        <v>1.667</v>
      </c>
      <c r="M89" s="219">
        <v>3</v>
      </c>
      <c r="N89" s="158">
        <v>3</v>
      </c>
    </row>
    <row r="90" spans="1:14" ht="15">
      <c r="A90" s="146" t="s">
        <v>376</v>
      </c>
      <c r="B90" s="38" t="s">
        <v>170</v>
      </c>
      <c r="C90" s="149">
        <v>3</v>
      </c>
      <c r="D90" s="149">
        <v>2</v>
      </c>
      <c r="E90" s="149">
        <v>1</v>
      </c>
      <c r="F90" s="149">
        <v>3</v>
      </c>
      <c r="G90" s="218">
        <v>3</v>
      </c>
      <c r="H90" s="149">
        <v>1</v>
      </c>
      <c r="I90" s="155">
        <v>2</v>
      </c>
      <c r="J90" s="155">
        <v>1</v>
      </c>
      <c r="K90" s="156">
        <v>2</v>
      </c>
      <c r="L90" s="157">
        <v>4</v>
      </c>
      <c r="M90" s="219">
        <v>3</v>
      </c>
      <c r="N90" s="219">
        <v>3</v>
      </c>
    </row>
    <row r="91" spans="1:14" ht="16">
      <c r="A91" s="146" t="s">
        <v>1409</v>
      </c>
      <c r="B91" s="38" t="s">
        <v>819</v>
      </c>
      <c r="C91" s="149">
        <v>3</v>
      </c>
      <c r="D91" s="149">
        <v>2</v>
      </c>
      <c r="E91" s="149">
        <v>1</v>
      </c>
      <c r="F91" s="149">
        <v>3</v>
      </c>
      <c r="G91" s="218">
        <v>3</v>
      </c>
      <c r="H91" s="149">
        <v>2</v>
      </c>
      <c r="I91" s="155">
        <v>1</v>
      </c>
      <c r="J91" s="155">
        <v>1</v>
      </c>
      <c r="K91" s="159">
        <v>2</v>
      </c>
      <c r="L91" s="157">
        <v>2.8330000000000002</v>
      </c>
      <c r="M91" s="219">
        <v>3</v>
      </c>
      <c r="N91" s="158">
        <v>3</v>
      </c>
    </row>
    <row r="92" spans="1:14" ht="16">
      <c r="A92" s="146" t="s">
        <v>432</v>
      </c>
      <c r="B92" s="38" t="s">
        <v>177</v>
      </c>
      <c r="C92" s="149">
        <v>1</v>
      </c>
      <c r="D92" s="149">
        <v>1</v>
      </c>
      <c r="E92" s="149">
        <v>3</v>
      </c>
      <c r="F92" s="149">
        <v>3</v>
      </c>
      <c r="G92" s="218">
        <v>3</v>
      </c>
      <c r="H92" s="149">
        <v>1</v>
      </c>
      <c r="I92" s="155">
        <v>1</v>
      </c>
      <c r="J92" s="155">
        <v>3</v>
      </c>
      <c r="K92" s="156">
        <v>1</v>
      </c>
      <c r="L92" s="157">
        <v>1.875</v>
      </c>
      <c r="M92" s="219">
        <v>3</v>
      </c>
      <c r="N92" s="158">
        <v>3</v>
      </c>
    </row>
    <row r="93" spans="1:14" ht="16">
      <c r="A93" s="146" t="s">
        <v>767</v>
      </c>
      <c r="B93" s="38" t="s">
        <v>83</v>
      </c>
      <c r="C93" s="149">
        <v>2</v>
      </c>
      <c r="D93" s="149">
        <v>2</v>
      </c>
      <c r="E93" s="149">
        <v>2</v>
      </c>
      <c r="F93" s="149">
        <v>3</v>
      </c>
      <c r="G93" s="218">
        <v>2</v>
      </c>
      <c r="H93" s="149">
        <v>2</v>
      </c>
      <c r="I93" s="155">
        <v>1</v>
      </c>
      <c r="J93" s="155">
        <v>1</v>
      </c>
      <c r="K93" s="156">
        <v>2</v>
      </c>
      <c r="L93" s="157">
        <v>1.25</v>
      </c>
      <c r="M93" s="219">
        <v>3</v>
      </c>
      <c r="N93" s="158">
        <v>3</v>
      </c>
    </row>
    <row r="94" spans="1:14" ht="16">
      <c r="A94" s="146" t="s">
        <v>770</v>
      </c>
      <c r="B94" s="38" t="s">
        <v>184</v>
      </c>
      <c r="C94" s="149">
        <v>2</v>
      </c>
      <c r="D94" s="149">
        <v>2</v>
      </c>
      <c r="E94" s="149">
        <v>2</v>
      </c>
      <c r="F94" s="149">
        <v>3</v>
      </c>
      <c r="G94" s="218">
        <v>3</v>
      </c>
      <c r="H94" s="149">
        <v>1</v>
      </c>
      <c r="I94" s="155">
        <v>2</v>
      </c>
      <c r="J94" s="155">
        <v>1</v>
      </c>
      <c r="K94" s="156">
        <v>2</v>
      </c>
      <c r="L94" s="157">
        <v>1.375</v>
      </c>
      <c r="M94" s="219">
        <v>3</v>
      </c>
      <c r="N94" s="158">
        <v>3</v>
      </c>
    </row>
    <row r="95" spans="1:14" ht="16">
      <c r="A95" s="146" t="s">
        <v>439</v>
      </c>
      <c r="B95" s="38" t="s">
        <v>83</v>
      </c>
      <c r="C95" s="149">
        <v>2</v>
      </c>
      <c r="D95" s="149">
        <v>2</v>
      </c>
      <c r="E95" s="149">
        <v>2</v>
      </c>
      <c r="F95" s="149">
        <v>3</v>
      </c>
      <c r="G95" s="218">
        <v>2</v>
      </c>
      <c r="H95" s="149">
        <v>3</v>
      </c>
      <c r="I95" s="155">
        <v>2</v>
      </c>
      <c r="J95" s="155">
        <v>1</v>
      </c>
      <c r="K95" s="156">
        <v>2</v>
      </c>
      <c r="L95" s="157">
        <v>2</v>
      </c>
      <c r="M95" s="219">
        <v>3</v>
      </c>
      <c r="N95" s="158">
        <v>3</v>
      </c>
    </row>
    <row r="96" spans="1:14" ht="16">
      <c r="A96" s="146" t="s">
        <v>385</v>
      </c>
      <c r="B96" s="38" t="s">
        <v>170</v>
      </c>
      <c r="C96" s="149">
        <v>3</v>
      </c>
      <c r="D96" s="149">
        <v>2</v>
      </c>
      <c r="E96" s="149">
        <v>3</v>
      </c>
      <c r="F96" s="149">
        <v>3</v>
      </c>
      <c r="G96" s="218">
        <v>2</v>
      </c>
      <c r="H96" s="149">
        <v>1</v>
      </c>
      <c r="I96" s="155">
        <v>3</v>
      </c>
      <c r="J96" s="155">
        <v>1</v>
      </c>
      <c r="K96" s="156">
        <v>3</v>
      </c>
      <c r="L96" s="157">
        <v>1.333</v>
      </c>
      <c r="M96" s="219">
        <v>3</v>
      </c>
      <c r="N96" s="158">
        <v>2</v>
      </c>
    </row>
    <row r="97" spans="1:14" ht="16">
      <c r="A97" s="146" t="s">
        <v>414</v>
      </c>
      <c r="B97" s="38" t="s">
        <v>152</v>
      </c>
      <c r="C97" s="149">
        <v>3</v>
      </c>
      <c r="D97" s="149">
        <v>2</v>
      </c>
      <c r="E97" s="149">
        <v>2</v>
      </c>
      <c r="F97" s="149">
        <v>2</v>
      </c>
      <c r="G97" s="218">
        <v>3</v>
      </c>
      <c r="H97" s="149">
        <v>2</v>
      </c>
      <c r="I97" s="155">
        <v>1</v>
      </c>
      <c r="J97" s="155">
        <v>1</v>
      </c>
      <c r="K97" s="156">
        <v>3</v>
      </c>
      <c r="L97" s="157">
        <v>1.625</v>
      </c>
      <c r="M97" s="219">
        <v>3</v>
      </c>
      <c r="N97" s="158">
        <v>3</v>
      </c>
    </row>
    <row r="98" spans="1:14" ht="16">
      <c r="A98" s="146" t="s">
        <v>1411</v>
      </c>
      <c r="B98" s="38" t="s">
        <v>141</v>
      </c>
      <c r="C98" s="149">
        <v>3</v>
      </c>
      <c r="D98" s="149">
        <v>2</v>
      </c>
      <c r="E98" s="149">
        <v>2</v>
      </c>
      <c r="F98" s="149">
        <v>1</v>
      </c>
      <c r="G98" s="218">
        <v>1</v>
      </c>
      <c r="H98" s="149">
        <v>2</v>
      </c>
      <c r="I98" s="155">
        <v>2</v>
      </c>
      <c r="J98" s="155">
        <v>1</v>
      </c>
      <c r="K98" s="159">
        <v>3</v>
      </c>
      <c r="L98" s="157">
        <v>1.333</v>
      </c>
      <c r="M98" s="219">
        <v>3</v>
      </c>
      <c r="N98" s="158">
        <v>3</v>
      </c>
    </row>
    <row r="99" spans="1:14" ht="16">
      <c r="A99" s="146" t="s">
        <v>784</v>
      </c>
      <c r="B99" s="38" t="s">
        <v>787</v>
      </c>
      <c r="C99" s="149">
        <v>2</v>
      </c>
      <c r="D99" s="149">
        <v>1</v>
      </c>
      <c r="E99" s="149">
        <v>1</v>
      </c>
      <c r="F99" s="149">
        <v>3</v>
      </c>
      <c r="G99" s="218">
        <v>3</v>
      </c>
      <c r="H99" s="149">
        <v>1</v>
      </c>
      <c r="I99" s="155">
        <v>1</v>
      </c>
      <c r="J99" s="155">
        <v>1</v>
      </c>
      <c r="K99" s="156">
        <v>2</v>
      </c>
      <c r="L99" s="157">
        <v>3</v>
      </c>
      <c r="M99" s="219">
        <v>3</v>
      </c>
      <c r="N99" s="158">
        <v>3</v>
      </c>
    </row>
    <row r="100" spans="1:14" ht="16">
      <c r="A100" s="146" t="s">
        <v>403</v>
      </c>
      <c r="B100" s="38" t="s">
        <v>286</v>
      </c>
      <c r="C100" s="149">
        <v>2</v>
      </c>
      <c r="D100" s="149">
        <v>1</v>
      </c>
      <c r="E100" s="149">
        <v>2</v>
      </c>
      <c r="F100" s="149">
        <v>3</v>
      </c>
      <c r="G100" s="218">
        <v>2</v>
      </c>
      <c r="H100" s="149">
        <v>1</v>
      </c>
      <c r="I100" s="155">
        <v>1</v>
      </c>
      <c r="J100" s="155">
        <v>3</v>
      </c>
      <c r="K100" s="156">
        <v>1</v>
      </c>
      <c r="L100" s="157">
        <v>2.25</v>
      </c>
      <c r="M100" s="219">
        <v>3</v>
      </c>
      <c r="N100" s="158">
        <v>3</v>
      </c>
    </row>
    <row r="101" spans="1:14" ht="16">
      <c r="A101" s="146" t="s">
        <v>411</v>
      </c>
      <c r="B101" s="38" t="s">
        <v>83</v>
      </c>
      <c r="C101" s="149">
        <v>3</v>
      </c>
      <c r="D101" s="149">
        <v>2</v>
      </c>
      <c r="E101" s="149">
        <v>2</v>
      </c>
      <c r="F101" s="149">
        <v>3</v>
      </c>
      <c r="G101" s="218">
        <v>3</v>
      </c>
      <c r="H101" s="149">
        <v>2</v>
      </c>
      <c r="I101" s="155">
        <v>2</v>
      </c>
      <c r="J101" s="155">
        <v>1</v>
      </c>
      <c r="K101" s="156">
        <v>2</v>
      </c>
      <c r="L101" s="157">
        <v>1.167</v>
      </c>
      <c r="M101" s="219">
        <v>3</v>
      </c>
      <c r="N101" s="158">
        <v>3</v>
      </c>
    </row>
    <row r="102" spans="1:14" ht="16">
      <c r="A102" s="146" t="s">
        <v>1413</v>
      </c>
      <c r="B102" s="38" t="s">
        <v>794</v>
      </c>
      <c r="C102" s="149">
        <v>2</v>
      </c>
      <c r="D102" s="149">
        <v>1</v>
      </c>
      <c r="E102" s="149">
        <v>1</v>
      </c>
      <c r="F102" s="149">
        <v>3</v>
      </c>
      <c r="G102" s="218">
        <v>3</v>
      </c>
      <c r="H102" s="149">
        <v>2</v>
      </c>
      <c r="I102" s="155">
        <v>1</v>
      </c>
      <c r="J102" s="155">
        <v>1</v>
      </c>
      <c r="K102" s="156">
        <v>2</v>
      </c>
      <c r="L102" s="157">
        <v>3</v>
      </c>
      <c r="M102" s="219">
        <v>3</v>
      </c>
      <c r="N102" s="158">
        <v>3</v>
      </c>
    </row>
    <row r="103" spans="1:14" ht="16">
      <c r="A103" s="146" t="s">
        <v>388</v>
      </c>
      <c r="B103" s="38" t="s">
        <v>160</v>
      </c>
      <c r="C103" s="149">
        <v>2</v>
      </c>
      <c r="D103" s="149">
        <v>2</v>
      </c>
      <c r="E103" s="149">
        <v>2</v>
      </c>
      <c r="F103" s="149">
        <v>3</v>
      </c>
      <c r="G103" s="218">
        <v>3</v>
      </c>
      <c r="H103" s="149">
        <v>1</v>
      </c>
      <c r="I103" s="155">
        <v>1</v>
      </c>
      <c r="J103" s="155">
        <v>3</v>
      </c>
      <c r="K103" s="156">
        <v>1</v>
      </c>
      <c r="L103" s="157">
        <v>2</v>
      </c>
      <c r="M103" s="219">
        <v>3</v>
      </c>
      <c r="N103" s="158">
        <v>3</v>
      </c>
    </row>
    <row r="104" spans="1:14" ht="16">
      <c r="A104" s="146" t="s">
        <v>394</v>
      </c>
      <c r="B104" s="38" t="s">
        <v>83</v>
      </c>
      <c r="C104" s="149">
        <v>2</v>
      </c>
      <c r="D104" s="149">
        <v>2</v>
      </c>
      <c r="E104" s="149">
        <v>2</v>
      </c>
      <c r="F104" s="149">
        <v>3</v>
      </c>
      <c r="G104" s="218">
        <v>2</v>
      </c>
      <c r="H104" s="149">
        <v>2</v>
      </c>
      <c r="I104" s="155">
        <v>1</v>
      </c>
      <c r="J104" s="155">
        <v>1</v>
      </c>
      <c r="K104" s="156">
        <v>3</v>
      </c>
      <c r="L104" s="157">
        <v>3.5</v>
      </c>
      <c r="M104" s="219">
        <v>3</v>
      </c>
      <c r="N104" s="158">
        <v>3</v>
      </c>
    </row>
    <row r="105" spans="1:14" ht="16">
      <c r="A105" s="146" t="s">
        <v>486</v>
      </c>
      <c r="B105" s="38" t="s">
        <v>160</v>
      </c>
      <c r="C105" s="149">
        <v>2</v>
      </c>
      <c r="D105" s="149">
        <v>2</v>
      </c>
      <c r="E105" s="149">
        <v>2</v>
      </c>
      <c r="F105" s="149">
        <v>3</v>
      </c>
      <c r="G105" s="218">
        <v>3</v>
      </c>
      <c r="H105" s="149">
        <v>2</v>
      </c>
      <c r="I105" s="155">
        <v>2</v>
      </c>
      <c r="J105" s="155">
        <v>3</v>
      </c>
      <c r="K105" s="156">
        <v>2</v>
      </c>
      <c r="L105" s="157">
        <v>2</v>
      </c>
      <c r="M105" s="219">
        <v>3</v>
      </c>
      <c r="N105" s="158">
        <v>3</v>
      </c>
    </row>
    <row r="106" spans="1:14" ht="16">
      <c r="A106" s="146" t="s">
        <v>498</v>
      </c>
      <c r="B106" s="38" t="s">
        <v>277</v>
      </c>
      <c r="C106" s="149">
        <v>2</v>
      </c>
      <c r="D106" s="149">
        <v>1</v>
      </c>
      <c r="E106" s="149">
        <v>2</v>
      </c>
      <c r="F106" s="149">
        <v>3</v>
      </c>
      <c r="G106" s="218">
        <v>3</v>
      </c>
      <c r="H106" s="149">
        <v>1</v>
      </c>
      <c r="I106" s="155">
        <v>1</v>
      </c>
      <c r="J106" s="155">
        <v>1</v>
      </c>
      <c r="K106" s="156">
        <v>2</v>
      </c>
      <c r="L106" s="157">
        <v>1.75</v>
      </c>
      <c r="M106" s="219">
        <v>3</v>
      </c>
      <c r="N106" s="158">
        <v>3</v>
      </c>
    </row>
    <row r="107" spans="1:14" ht="16">
      <c r="A107" s="146" t="s">
        <v>489</v>
      </c>
      <c r="B107" s="38" t="s">
        <v>152</v>
      </c>
      <c r="C107" s="149">
        <v>2</v>
      </c>
      <c r="D107" s="149">
        <v>1</v>
      </c>
      <c r="E107" s="149">
        <v>2</v>
      </c>
      <c r="F107" s="149">
        <v>2</v>
      </c>
      <c r="G107" s="218">
        <v>3</v>
      </c>
      <c r="H107" s="149">
        <v>2</v>
      </c>
      <c r="I107" s="155">
        <v>1</v>
      </c>
      <c r="J107" s="155">
        <v>1</v>
      </c>
      <c r="K107" s="156">
        <v>3</v>
      </c>
      <c r="L107" s="157">
        <v>2</v>
      </c>
      <c r="M107" s="219">
        <v>3</v>
      </c>
      <c r="N107" s="158">
        <v>3</v>
      </c>
    </row>
    <row r="108" spans="1:14" ht="16">
      <c r="A108" s="146" t="s">
        <v>800</v>
      </c>
      <c r="B108" s="38" t="s">
        <v>83</v>
      </c>
      <c r="C108" s="149">
        <v>3</v>
      </c>
      <c r="D108" s="149">
        <v>2</v>
      </c>
      <c r="E108" s="149">
        <v>2</v>
      </c>
      <c r="F108" s="149">
        <v>3</v>
      </c>
      <c r="G108" s="218">
        <v>3</v>
      </c>
      <c r="H108" s="149">
        <v>3</v>
      </c>
      <c r="I108" s="155">
        <v>2</v>
      </c>
      <c r="J108" s="155">
        <v>1</v>
      </c>
      <c r="K108" s="156">
        <v>1</v>
      </c>
      <c r="L108" s="157">
        <v>1.5</v>
      </c>
      <c r="M108" s="219">
        <v>3</v>
      </c>
      <c r="N108" s="158">
        <v>3</v>
      </c>
    </row>
    <row r="109" spans="1:14" ht="16">
      <c r="A109" s="146" t="s">
        <v>803</v>
      </c>
      <c r="B109" s="38" t="s">
        <v>184</v>
      </c>
      <c r="C109" s="149">
        <v>3</v>
      </c>
      <c r="D109" s="149">
        <v>1</v>
      </c>
      <c r="E109" s="149">
        <v>1</v>
      </c>
      <c r="F109" s="149">
        <v>3</v>
      </c>
      <c r="G109" s="218">
        <v>3</v>
      </c>
      <c r="H109" s="149">
        <v>2</v>
      </c>
      <c r="I109" s="155">
        <v>1</v>
      </c>
      <c r="J109" s="155">
        <v>1</v>
      </c>
      <c r="K109" s="156">
        <v>2</v>
      </c>
      <c r="L109" s="157">
        <v>1.5</v>
      </c>
      <c r="M109" s="219">
        <v>3</v>
      </c>
      <c r="N109" s="158">
        <v>3</v>
      </c>
    </row>
    <row r="110" spans="1:14" ht="16">
      <c r="A110" s="146" t="s">
        <v>424</v>
      </c>
      <c r="B110" s="38" t="s">
        <v>83</v>
      </c>
      <c r="C110" s="149">
        <v>2</v>
      </c>
      <c r="D110" s="149">
        <v>2</v>
      </c>
      <c r="E110" s="149">
        <v>2</v>
      </c>
      <c r="F110" s="149">
        <v>3</v>
      </c>
      <c r="G110" s="218">
        <v>1</v>
      </c>
      <c r="H110" s="149">
        <v>3</v>
      </c>
      <c r="I110" s="155">
        <v>1</v>
      </c>
      <c r="J110" s="155">
        <v>1</v>
      </c>
      <c r="K110" s="156">
        <v>1</v>
      </c>
      <c r="L110" s="157">
        <v>1.167</v>
      </c>
      <c r="M110" s="219">
        <v>3</v>
      </c>
      <c r="N110" s="158">
        <v>3</v>
      </c>
    </row>
    <row r="111" spans="1:14" ht="15">
      <c r="A111" s="146" t="s">
        <v>443</v>
      </c>
      <c r="B111" s="38" t="s">
        <v>152</v>
      </c>
      <c r="C111" s="149">
        <v>2</v>
      </c>
      <c r="D111" s="149">
        <v>2</v>
      </c>
      <c r="E111" s="149">
        <v>2</v>
      </c>
      <c r="F111" s="149">
        <v>2</v>
      </c>
      <c r="G111" s="218">
        <v>3</v>
      </c>
      <c r="H111" s="149">
        <v>2</v>
      </c>
      <c r="I111" s="155">
        <v>1</v>
      </c>
      <c r="J111" s="155">
        <v>1</v>
      </c>
      <c r="K111" s="156">
        <v>2</v>
      </c>
      <c r="L111" s="157">
        <v>2.75</v>
      </c>
      <c r="M111" s="219">
        <v>3</v>
      </c>
      <c r="N111" s="219">
        <v>3</v>
      </c>
    </row>
    <row r="112" spans="1:14" ht="16">
      <c r="A112" s="146" t="s">
        <v>535</v>
      </c>
      <c r="B112" s="38" t="s">
        <v>286</v>
      </c>
      <c r="C112" s="149">
        <v>2</v>
      </c>
      <c r="D112" s="149">
        <v>1</v>
      </c>
      <c r="E112" s="149">
        <v>1</v>
      </c>
      <c r="F112" s="149">
        <v>3</v>
      </c>
      <c r="G112" s="218">
        <v>2</v>
      </c>
      <c r="H112" s="149">
        <v>1</v>
      </c>
      <c r="I112" s="155">
        <v>1</v>
      </c>
      <c r="J112" s="155">
        <v>3</v>
      </c>
      <c r="K112" s="156">
        <v>2</v>
      </c>
      <c r="L112" s="157">
        <v>1.667</v>
      </c>
      <c r="M112" s="219">
        <v>3</v>
      </c>
      <c r="N112" s="158">
        <v>3</v>
      </c>
    </row>
    <row r="113" spans="1:14" ht="16">
      <c r="A113" s="146" t="s">
        <v>809</v>
      </c>
      <c r="B113" s="38" t="s">
        <v>184</v>
      </c>
      <c r="C113" s="149">
        <v>3</v>
      </c>
      <c r="D113" s="149">
        <v>2</v>
      </c>
      <c r="E113" s="149">
        <v>2</v>
      </c>
      <c r="F113" s="149">
        <v>3</v>
      </c>
      <c r="G113" s="218">
        <v>3</v>
      </c>
      <c r="H113" s="149">
        <v>1</v>
      </c>
      <c r="I113" s="155">
        <v>3</v>
      </c>
      <c r="J113" s="155">
        <v>1</v>
      </c>
      <c r="K113" s="156">
        <v>3</v>
      </c>
      <c r="L113" s="157">
        <v>2.5</v>
      </c>
      <c r="M113" s="219">
        <v>3</v>
      </c>
      <c r="N113" s="158">
        <v>2</v>
      </c>
    </row>
    <row r="114" spans="1:14" ht="16">
      <c r="A114" s="146" t="s">
        <v>435</v>
      </c>
      <c r="B114" s="38" t="s">
        <v>177</v>
      </c>
      <c r="C114" s="149">
        <v>2</v>
      </c>
      <c r="D114" s="149">
        <v>1</v>
      </c>
      <c r="E114" s="149">
        <v>3</v>
      </c>
      <c r="F114" s="149">
        <v>3</v>
      </c>
      <c r="G114" s="218">
        <v>3</v>
      </c>
      <c r="H114" s="149">
        <v>1</v>
      </c>
      <c r="I114" s="155">
        <v>2</v>
      </c>
      <c r="J114" s="155">
        <v>3</v>
      </c>
      <c r="K114" s="156">
        <v>2</v>
      </c>
      <c r="L114" s="157">
        <v>2.3330000000000002</v>
      </c>
      <c r="M114" s="219">
        <v>3</v>
      </c>
      <c r="N114" s="158">
        <v>3</v>
      </c>
    </row>
    <row r="115" spans="1:14" ht="16">
      <c r="A115" s="146" t="s">
        <v>816</v>
      </c>
      <c r="B115" s="38" t="s">
        <v>819</v>
      </c>
      <c r="C115" s="149">
        <v>2</v>
      </c>
      <c r="D115" s="149">
        <v>2</v>
      </c>
      <c r="E115" s="149">
        <v>2</v>
      </c>
      <c r="F115" s="149">
        <v>3</v>
      </c>
      <c r="G115" s="218">
        <v>2</v>
      </c>
      <c r="H115" s="149">
        <v>2</v>
      </c>
      <c r="I115" s="155">
        <v>1</v>
      </c>
      <c r="J115" s="155">
        <v>1</v>
      </c>
      <c r="K115" s="156">
        <v>1</v>
      </c>
      <c r="L115" s="157">
        <v>1.25</v>
      </c>
      <c r="M115" s="219">
        <v>3</v>
      </c>
      <c r="N115" s="158">
        <v>3</v>
      </c>
    </row>
    <row r="116" spans="1:14" ht="16">
      <c r="A116" s="146" t="s">
        <v>824</v>
      </c>
      <c r="B116" s="38" t="s">
        <v>160</v>
      </c>
      <c r="C116" s="149">
        <v>2</v>
      </c>
      <c r="D116" s="149">
        <v>2</v>
      </c>
      <c r="E116" s="149">
        <v>2</v>
      </c>
      <c r="F116" s="149">
        <v>3</v>
      </c>
      <c r="G116" s="218">
        <v>3</v>
      </c>
      <c r="H116" s="149">
        <v>2</v>
      </c>
      <c r="I116" s="155">
        <v>2</v>
      </c>
      <c r="J116" s="155">
        <v>3</v>
      </c>
      <c r="K116" s="156">
        <v>2</v>
      </c>
      <c r="L116" s="157">
        <v>1.875</v>
      </c>
      <c r="M116" s="219">
        <v>3</v>
      </c>
      <c r="N116" s="158">
        <v>3</v>
      </c>
    </row>
    <row r="117" spans="1:14" ht="16">
      <c r="A117" s="146" t="s">
        <v>827</v>
      </c>
      <c r="B117" s="38" t="s">
        <v>170</v>
      </c>
      <c r="C117" s="149">
        <v>2</v>
      </c>
      <c r="D117" s="149">
        <v>2</v>
      </c>
      <c r="E117" s="149">
        <v>2</v>
      </c>
      <c r="F117" s="149">
        <v>3</v>
      </c>
      <c r="G117" s="218">
        <v>2</v>
      </c>
      <c r="H117" s="149">
        <v>1</v>
      </c>
      <c r="I117" s="155">
        <v>1</v>
      </c>
      <c r="J117" s="155">
        <v>1</v>
      </c>
      <c r="K117" s="156">
        <v>2</v>
      </c>
      <c r="L117" s="157">
        <v>1.375</v>
      </c>
      <c r="M117" s="219">
        <v>3</v>
      </c>
      <c r="N117" s="158">
        <v>2</v>
      </c>
    </row>
    <row r="118" spans="1:14" ht="16">
      <c r="A118" s="146" t="s">
        <v>830</v>
      </c>
      <c r="B118" s="38" t="s">
        <v>184</v>
      </c>
      <c r="C118" s="149">
        <v>2</v>
      </c>
      <c r="D118" s="149">
        <v>2</v>
      </c>
      <c r="E118" s="149">
        <v>2</v>
      </c>
      <c r="F118" s="149">
        <v>3</v>
      </c>
      <c r="G118" s="218">
        <v>3</v>
      </c>
      <c r="H118" s="149">
        <v>2</v>
      </c>
      <c r="I118" s="155">
        <v>1</v>
      </c>
      <c r="J118" s="155">
        <v>1</v>
      </c>
      <c r="K118" s="156">
        <v>3</v>
      </c>
      <c r="L118" s="157">
        <v>2</v>
      </c>
      <c r="M118" s="219">
        <v>3</v>
      </c>
      <c r="N118" s="158">
        <v>3</v>
      </c>
    </row>
    <row r="119" spans="1:14" ht="16">
      <c r="A119" s="146" t="s">
        <v>508</v>
      </c>
      <c r="B119" s="38" t="s">
        <v>83</v>
      </c>
      <c r="C119" s="149">
        <v>2</v>
      </c>
      <c r="D119" s="149">
        <v>2</v>
      </c>
      <c r="E119" s="149">
        <v>3</v>
      </c>
      <c r="F119" s="149">
        <v>3</v>
      </c>
      <c r="G119" s="218">
        <v>2</v>
      </c>
      <c r="H119" s="149">
        <v>2</v>
      </c>
      <c r="I119" s="155">
        <v>2</v>
      </c>
      <c r="J119" s="155">
        <v>1</v>
      </c>
      <c r="K119" s="156">
        <v>3</v>
      </c>
      <c r="L119" s="157">
        <v>1.25</v>
      </c>
      <c r="M119" s="219">
        <v>3</v>
      </c>
      <c r="N119" s="158">
        <v>3</v>
      </c>
    </row>
    <row r="120" spans="1:14" ht="16">
      <c r="A120" s="146" t="s">
        <v>517</v>
      </c>
      <c r="B120" s="38" t="s">
        <v>318</v>
      </c>
      <c r="C120" s="149">
        <v>2</v>
      </c>
      <c r="D120" s="149">
        <v>1</v>
      </c>
      <c r="E120" s="149">
        <v>1</v>
      </c>
      <c r="F120" s="149">
        <v>3</v>
      </c>
      <c r="G120" s="218">
        <v>3</v>
      </c>
      <c r="H120" s="149">
        <v>1</v>
      </c>
      <c r="I120" s="155">
        <v>1</v>
      </c>
      <c r="J120" s="155">
        <v>1</v>
      </c>
      <c r="K120" s="156">
        <v>1</v>
      </c>
      <c r="L120" s="157">
        <v>2.125</v>
      </c>
      <c r="M120" s="219">
        <v>3</v>
      </c>
      <c r="N120" s="158">
        <v>3</v>
      </c>
    </row>
    <row r="121" spans="1:14" ht="16">
      <c r="A121" s="146" t="s">
        <v>511</v>
      </c>
      <c r="B121" s="38" t="s">
        <v>286</v>
      </c>
      <c r="C121" s="149">
        <v>3</v>
      </c>
      <c r="D121" s="149">
        <v>2</v>
      </c>
      <c r="E121" s="149">
        <v>2</v>
      </c>
      <c r="F121" s="149">
        <v>3</v>
      </c>
      <c r="G121" s="218">
        <v>2</v>
      </c>
      <c r="H121" s="149">
        <v>1</v>
      </c>
      <c r="I121" s="155">
        <v>2</v>
      </c>
      <c r="J121" s="155">
        <v>3</v>
      </c>
      <c r="K121" s="156">
        <v>1</v>
      </c>
      <c r="L121" s="157">
        <v>1.25</v>
      </c>
      <c r="M121" s="219">
        <v>3</v>
      </c>
      <c r="N121" s="158">
        <v>3</v>
      </c>
    </row>
    <row r="122" spans="1:14" ht="16">
      <c r="A122" s="146" t="s">
        <v>525</v>
      </c>
      <c r="B122" s="38" t="s">
        <v>184</v>
      </c>
      <c r="C122" s="149">
        <v>2</v>
      </c>
      <c r="D122" s="149">
        <v>1</v>
      </c>
      <c r="E122" s="149">
        <v>2</v>
      </c>
      <c r="F122" s="149">
        <v>3</v>
      </c>
      <c r="G122" s="218">
        <v>3</v>
      </c>
      <c r="H122" s="149">
        <v>2</v>
      </c>
      <c r="I122" s="155">
        <v>1</v>
      </c>
      <c r="J122" s="155">
        <v>1</v>
      </c>
      <c r="K122" s="156">
        <v>1</v>
      </c>
      <c r="L122" s="157">
        <v>1.667</v>
      </c>
      <c r="M122" s="219">
        <v>3</v>
      </c>
      <c r="N122" s="158">
        <v>3</v>
      </c>
    </row>
    <row r="123" spans="1:14" ht="16">
      <c r="A123" s="146" t="s">
        <v>462</v>
      </c>
      <c r="B123" s="38" t="s">
        <v>184</v>
      </c>
      <c r="C123" s="149">
        <v>2</v>
      </c>
      <c r="D123" s="149">
        <v>2</v>
      </c>
      <c r="E123" s="149">
        <v>2</v>
      </c>
      <c r="F123" s="149">
        <v>3</v>
      </c>
      <c r="G123" s="218">
        <v>3</v>
      </c>
      <c r="H123" s="149">
        <v>1</v>
      </c>
      <c r="I123" s="155">
        <v>1</v>
      </c>
      <c r="J123" s="155">
        <v>1</v>
      </c>
      <c r="K123" s="156">
        <v>2</v>
      </c>
      <c r="L123" s="157">
        <v>2</v>
      </c>
      <c r="M123" s="219">
        <v>3</v>
      </c>
      <c r="N123" s="158">
        <v>3</v>
      </c>
    </row>
    <row r="124" spans="1:14" ht="16">
      <c r="A124" s="146" t="s">
        <v>451</v>
      </c>
      <c r="B124" s="38" t="s">
        <v>277</v>
      </c>
      <c r="C124" s="149">
        <v>1</v>
      </c>
      <c r="D124" s="149">
        <v>1</v>
      </c>
      <c r="E124" s="149">
        <v>2</v>
      </c>
      <c r="F124" s="149">
        <v>3</v>
      </c>
      <c r="G124" s="218">
        <v>3</v>
      </c>
      <c r="H124" s="149">
        <v>1</v>
      </c>
      <c r="I124" s="155">
        <v>1</v>
      </c>
      <c r="J124" s="155">
        <v>1</v>
      </c>
      <c r="K124" s="156">
        <v>1</v>
      </c>
      <c r="L124" s="157">
        <v>1.375</v>
      </c>
      <c r="M124" s="219">
        <v>3</v>
      </c>
      <c r="N124" s="158">
        <v>3</v>
      </c>
    </row>
    <row r="125" spans="1:14" ht="16">
      <c r="A125" s="146" t="s">
        <v>1415</v>
      </c>
      <c r="B125" s="38" t="s">
        <v>83</v>
      </c>
      <c r="C125" s="149">
        <v>3</v>
      </c>
      <c r="D125" s="149">
        <v>2</v>
      </c>
      <c r="E125" s="149">
        <v>2</v>
      </c>
      <c r="F125" s="149">
        <v>3</v>
      </c>
      <c r="G125" s="218">
        <v>3</v>
      </c>
      <c r="H125" s="149">
        <v>2</v>
      </c>
      <c r="I125" s="155">
        <v>2</v>
      </c>
      <c r="J125" s="155">
        <v>1</v>
      </c>
      <c r="K125" s="159">
        <v>1</v>
      </c>
      <c r="L125" s="157">
        <v>1.333</v>
      </c>
      <c r="M125" s="219">
        <v>3</v>
      </c>
      <c r="N125" s="158">
        <v>3</v>
      </c>
    </row>
    <row r="126" spans="1:14" ht="16">
      <c r="A126" s="146" t="s">
        <v>513</v>
      </c>
      <c r="B126" s="38" t="s">
        <v>83</v>
      </c>
      <c r="C126" s="149">
        <v>2</v>
      </c>
      <c r="D126" s="149">
        <v>2</v>
      </c>
      <c r="E126" s="149">
        <v>3</v>
      </c>
      <c r="F126" s="149">
        <v>3</v>
      </c>
      <c r="G126" s="218">
        <v>2</v>
      </c>
      <c r="H126" s="149">
        <v>2</v>
      </c>
      <c r="I126" s="155">
        <v>1</v>
      </c>
      <c r="J126" s="155">
        <v>1</v>
      </c>
      <c r="K126" s="156">
        <v>2</v>
      </c>
      <c r="L126" s="157">
        <v>1.333</v>
      </c>
      <c r="M126" s="219">
        <v>3</v>
      </c>
      <c r="N126" s="158">
        <v>3</v>
      </c>
    </row>
    <row r="127" spans="1:14" ht="16">
      <c r="A127" s="146" t="s">
        <v>457</v>
      </c>
      <c r="B127" s="38" t="s">
        <v>170</v>
      </c>
      <c r="C127" s="149">
        <v>2</v>
      </c>
      <c r="D127" s="149">
        <v>2</v>
      </c>
      <c r="E127" s="149">
        <v>3</v>
      </c>
      <c r="F127" s="149">
        <v>3</v>
      </c>
      <c r="G127" s="218">
        <v>2</v>
      </c>
      <c r="H127" s="149">
        <v>1</v>
      </c>
      <c r="I127" s="155">
        <v>1</v>
      </c>
      <c r="J127" s="155">
        <v>1</v>
      </c>
      <c r="K127" s="156">
        <v>3</v>
      </c>
      <c r="L127" s="157">
        <v>2</v>
      </c>
      <c r="M127" s="219">
        <v>3</v>
      </c>
      <c r="N127" s="158">
        <v>3</v>
      </c>
    </row>
    <row r="128" spans="1:14" ht="16">
      <c r="A128" s="146" t="s">
        <v>838</v>
      </c>
      <c r="B128" s="38" t="s">
        <v>841</v>
      </c>
      <c r="C128" s="149">
        <v>2</v>
      </c>
      <c r="D128" s="149">
        <v>1</v>
      </c>
      <c r="E128" s="149">
        <v>2</v>
      </c>
      <c r="F128" s="149">
        <v>3</v>
      </c>
      <c r="G128" s="218">
        <v>3</v>
      </c>
      <c r="H128" s="149">
        <v>2</v>
      </c>
      <c r="I128" s="155">
        <v>1</v>
      </c>
      <c r="J128" s="155">
        <v>1</v>
      </c>
      <c r="K128" s="156">
        <v>2</v>
      </c>
      <c r="L128" s="157">
        <v>2.5</v>
      </c>
      <c r="M128" s="219">
        <v>3</v>
      </c>
      <c r="N128" s="158">
        <v>3</v>
      </c>
    </row>
    <row r="129" spans="1:14" ht="16">
      <c r="A129" s="146" t="s">
        <v>467</v>
      </c>
      <c r="B129" s="38" t="s">
        <v>184</v>
      </c>
      <c r="C129" s="149">
        <v>2</v>
      </c>
      <c r="D129" s="149">
        <v>2</v>
      </c>
      <c r="E129" s="149">
        <v>2</v>
      </c>
      <c r="F129" s="149">
        <v>3</v>
      </c>
      <c r="G129" s="218">
        <v>3</v>
      </c>
      <c r="H129" s="149">
        <v>1</v>
      </c>
      <c r="I129" s="155">
        <v>1</v>
      </c>
      <c r="J129" s="155">
        <v>1</v>
      </c>
      <c r="K129" s="156">
        <v>3</v>
      </c>
      <c r="L129" s="157">
        <v>1.333</v>
      </c>
      <c r="M129" s="219">
        <v>3</v>
      </c>
      <c r="N129" s="158">
        <v>2</v>
      </c>
    </row>
    <row r="130" spans="1:14" ht="16">
      <c r="A130" s="146" t="s">
        <v>844</v>
      </c>
      <c r="B130" s="38" t="s">
        <v>847</v>
      </c>
      <c r="C130" s="149">
        <v>2</v>
      </c>
      <c r="D130" s="149">
        <v>2</v>
      </c>
      <c r="E130" s="149">
        <v>2</v>
      </c>
      <c r="F130" s="149">
        <v>3</v>
      </c>
      <c r="G130" s="218">
        <v>1</v>
      </c>
      <c r="H130" s="149">
        <v>2</v>
      </c>
      <c r="I130" s="155">
        <v>1</v>
      </c>
      <c r="J130" s="155">
        <v>1</v>
      </c>
      <c r="K130" s="156">
        <v>3</v>
      </c>
      <c r="L130" s="157">
        <v>1.833</v>
      </c>
      <c r="M130" s="219">
        <v>3</v>
      </c>
      <c r="N130" s="158">
        <v>3</v>
      </c>
    </row>
    <row r="131" spans="1:14" ht="16">
      <c r="A131" s="146" t="s">
        <v>852</v>
      </c>
      <c r="B131" s="38" t="s">
        <v>170</v>
      </c>
      <c r="C131" s="149">
        <v>2</v>
      </c>
      <c r="D131" s="149">
        <v>2</v>
      </c>
      <c r="E131" s="149">
        <v>3</v>
      </c>
      <c r="F131" s="149">
        <v>3</v>
      </c>
      <c r="G131" s="218">
        <v>2</v>
      </c>
      <c r="H131" s="149">
        <v>1</v>
      </c>
      <c r="I131" s="155">
        <v>3</v>
      </c>
      <c r="J131" s="155">
        <v>1</v>
      </c>
      <c r="K131" s="156">
        <v>3</v>
      </c>
      <c r="L131" s="157">
        <v>2</v>
      </c>
      <c r="M131" s="219">
        <v>3</v>
      </c>
      <c r="N131" s="158">
        <v>2</v>
      </c>
    </row>
    <row r="132" spans="1:14" ht="16">
      <c r="A132" s="146" t="s">
        <v>1418</v>
      </c>
      <c r="B132" s="38" t="s">
        <v>859</v>
      </c>
      <c r="C132" s="149">
        <v>3</v>
      </c>
      <c r="D132" s="149">
        <v>1</v>
      </c>
      <c r="E132" s="149">
        <v>1</v>
      </c>
      <c r="F132" s="149">
        <v>1</v>
      </c>
      <c r="G132" s="218">
        <v>2</v>
      </c>
      <c r="H132" s="149">
        <v>3</v>
      </c>
      <c r="I132" s="155">
        <v>1</v>
      </c>
      <c r="J132" s="155">
        <v>1</v>
      </c>
      <c r="K132" s="159">
        <v>1</v>
      </c>
      <c r="L132" s="157">
        <v>3</v>
      </c>
      <c r="M132" s="219">
        <v>3</v>
      </c>
      <c r="N132" s="158">
        <v>2</v>
      </c>
    </row>
    <row r="133" spans="1:14" ht="16">
      <c r="A133" s="146" t="s">
        <v>1420</v>
      </c>
      <c r="B133" s="38" t="s">
        <v>160</v>
      </c>
      <c r="C133" s="149">
        <v>2</v>
      </c>
      <c r="D133" s="149">
        <v>2</v>
      </c>
      <c r="E133" s="149">
        <v>2</v>
      </c>
      <c r="F133" s="149">
        <v>3</v>
      </c>
      <c r="G133" s="218">
        <v>3</v>
      </c>
      <c r="H133" s="149">
        <v>1</v>
      </c>
      <c r="I133" s="155">
        <v>2</v>
      </c>
      <c r="J133" s="155">
        <v>3</v>
      </c>
      <c r="K133" s="159">
        <v>2</v>
      </c>
      <c r="L133" s="157">
        <v>2.3330000000000002</v>
      </c>
      <c r="M133" s="219">
        <v>3</v>
      </c>
      <c r="N133" s="158">
        <v>3</v>
      </c>
    </row>
    <row r="134" spans="1:14" ht="16">
      <c r="A134" s="146" t="s">
        <v>482</v>
      </c>
      <c r="B134" s="38" t="s">
        <v>286</v>
      </c>
      <c r="C134" s="149">
        <v>2</v>
      </c>
      <c r="D134" s="149">
        <v>2</v>
      </c>
      <c r="E134" s="149">
        <v>2</v>
      </c>
      <c r="F134" s="149">
        <v>3</v>
      </c>
      <c r="G134" s="218">
        <v>2</v>
      </c>
      <c r="H134" s="149">
        <v>1</v>
      </c>
      <c r="I134" s="155">
        <v>2</v>
      </c>
      <c r="J134" s="155">
        <v>3</v>
      </c>
      <c r="K134" s="156">
        <v>1</v>
      </c>
      <c r="L134" s="157">
        <v>2.3330000000000002</v>
      </c>
      <c r="M134" s="219">
        <v>2</v>
      </c>
      <c r="N134" s="158">
        <v>3</v>
      </c>
    </row>
    <row r="135" spans="1:14" ht="16">
      <c r="A135" s="146" t="s">
        <v>1422</v>
      </c>
      <c r="B135" s="38" t="s">
        <v>739</v>
      </c>
      <c r="C135" s="149">
        <v>2</v>
      </c>
      <c r="D135" s="149">
        <v>1</v>
      </c>
      <c r="E135" s="149">
        <v>2</v>
      </c>
      <c r="F135" s="149">
        <v>3</v>
      </c>
      <c r="G135" s="218">
        <v>1</v>
      </c>
      <c r="H135" s="149">
        <v>1</v>
      </c>
      <c r="I135" s="155">
        <v>2</v>
      </c>
      <c r="J135" s="155">
        <v>1</v>
      </c>
      <c r="K135" s="156">
        <v>1</v>
      </c>
      <c r="L135" s="157">
        <v>3</v>
      </c>
      <c r="M135" s="219">
        <v>2</v>
      </c>
      <c r="N135" s="158">
        <v>3</v>
      </c>
    </row>
    <row r="136" spans="1:14" ht="16">
      <c r="A136" s="146" t="s">
        <v>873</v>
      </c>
      <c r="B136" s="38" t="s">
        <v>160</v>
      </c>
      <c r="C136" s="149">
        <v>2</v>
      </c>
      <c r="D136" s="149">
        <v>1</v>
      </c>
      <c r="E136" s="149">
        <v>2</v>
      </c>
      <c r="F136" s="149">
        <v>3</v>
      </c>
      <c r="G136" s="218">
        <v>3</v>
      </c>
      <c r="H136" s="149">
        <v>1</v>
      </c>
      <c r="I136" s="155">
        <v>1</v>
      </c>
      <c r="J136" s="155">
        <v>3</v>
      </c>
      <c r="K136" s="156">
        <v>2</v>
      </c>
      <c r="L136" s="157">
        <v>2</v>
      </c>
      <c r="M136" s="219">
        <v>2</v>
      </c>
      <c r="N136" s="158">
        <v>3</v>
      </c>
    </row>
    <row r="137" spans="1:14" ht="16">
      <c r="A137" s="146" t="s">
        <v>879</v>
      </c>
      <c r="B137" s="38" t="s">
        <v>152</v>
      </c>
      <c r="C137" s="149">
        <v>2</v>
      </c>
      <c r="D137" s="149">
        <v>2</v>
      </c>
      <c r="E137" s="149">
        <v>2</v>
      </c>
      <c r="F137" s="149">
        <v>2</v>
      </c>
      <c r="G137" s="218">
        <v>3</v>
      </c>
      <c r="H137" s="149">
        <v>2</v>
      </c>
      <c r="I137" s="155">
        <v>1</v>
      </c>
      <c r="J137" s="155">
        <v>1</v>
      </c>
      <c r="K137" s="156">
        <v>2</v>
      </c>
      <c r="L137" s="157">
        <v>1.375</v>
      </c>
      <c r="M137" s="219">
        <v>2</v>
      </c>
      <c r="N137" s="158">
        <v>2</v>
      </c>
    </row>
    <row r="138" spans="1:14" ht="16">
      <c r="A138" s="146" t="s">
        <v>881</v>
      </c>
      <c r="B138" s="38" t="s">
        <v>318</v>
      </c>
      <c r="C138" s="149">
        <v>2</v>
      </c>
      <c r="D138" s="149">
        <v>1</v>
      </c>
      <c r="E138" s="149">
        <v>1</v>
      </c>
      <c r="F138" s="149">
        <v>3</v>
      </c>
      <c r="G138" s="218">
        <v>3</v>
      </c>
      <c r="H138" s="149">
        <v>2</v>
      </c>
      <c r="I138" s="155">
        <v>2</v>
      </c>
      <c r="J138" s="155">
        <v>1</v>
      </c>
      <c r="K138" s="156">
        <v>1</v>
      </c>
      <c r="L138" s="157">
        <v>2.125</v>
      </c>
      <c r="M138" s="219">
        <v>2</v>
      </c>
      <c r="N138" s="158">
        <v>3</v>
      </c>
    </row>
    <row r="139" spans="1:14" ht="16">
      <c r="A139" s="146" t="s">
        <v>505</v>
      </c>
      <c r="B139" s="38" t="s">
        <v>83</v>
      </c>
      <c r="C139" s="149">
        <v>2</v>
      </c>
      <c r="D139" s="149">
        <v>2</v>
      </c>
      <c r="E139" s="149">
        <v>2</v>
      </c>
      <c r="F139" s="149">
        <v>3</v>
      </c>
      <c r="G139" s="218">
        <v>2</v>
      </c>
      <c r="H139" s="149">
        <v>2</v>
      </c>
      <c r="I139" s="155">
        <v>1</v>
      </c>
      <c r="J139" s="155">
        <v>1</v>
      </c>
      <c r="K139" s="156">
        <v>3</v>
      </c>
      <c r="L139" s="157">
        <v>1</v>
      </c>
      <c r="M139" s="219">
        <v>2</v>
      </c>
      <c r="N139" s="158">
        <v>3</v>
      </c>
    </row>
    <row r="140" spans="1:14" ht="16">
      <c r="A140" s="146" t="s">
        <v>522</v>
      </c>
      <c r="B140" s="38" t="s">
        <v>277</v>
      </c>
      <c r="C140" s="149">
        <v>2</v>
      </c>
      <c r="D140" s="149">
        <v>1</v>
      </c>
      <c r="E140" s="149">
        <v>2</v>
      </c>
      <c r="F140" s="149">
        <v>3</v>
      </c>
      <c r="G140" s="218">
        <v>3</v>
      </c>
      <c r="H140" s="149">
        <v>1</v>
      </c>
      <c r="I140" s="155">
        <v>1</v>
      </c>
      <c r="J140" s="155">
        <v>1</v>
      </c>
      <c r="K140" s="156">
        <v>2</v>
      </c>
      <c r="L140" s="157">
        <v>1.75</v>
      </c>
      <c r="M140" s="219">
        <v>2</v>
      </c>
      <c r="N140" s="158">
        <v>3</v>
      </c>
    </row>
    <row r="141" spans="1:14" ht="16">
      <c r="A141" s="146" t="s">
        <v>1425</v>
      </c>
      <c r="B141" s="38" t="s">
        <v>141</v>
      </c>
      <c r="C141" s="149">
        <v>2</v>
      </c>
      <c r="D141" s="149">
        <v>2</v>
      </c>
      <c r="E141" s="149">
        <v>1</v>
      </c>
      <c r="F141" s="149">
        <v>1</v>
      </c>
      <c r="G141" s="218">
        <v>2</v>
      </c>
      <c r="H141" s="149">
        <v>2</v>
      </c>
      <c r="I141" s="155">
        <v>1</v>
      </c>
      <c r="J141" s="155">
        <v>1</v>
      </c>
      <c r="K141" s="159">
        <v>2</v>
      </c>
      <c r="L141" s="157">
        <v>1.333</v>
      </c>
      <c r="M141" s="219">
        <v>2</v>
      </c>
      <c r="N141" s="158">
        <v>3</v>
      </c>
    </row>
    <row r="142" spans="1:14" ht="16">
      <c r="A142" s="146" t="s">
        <v>889</v>
      </c>
      <c r="B142" s="38" t="s">
        <v>83</v>
      </c>
      <c r="C142" s="149">
        <v>2</v>
      </c>
      <c r="D142" s="149">
        <v>1</v>
      </c>
      <c r="E142" s="149">
        <v>2</v>
      </c>
      <c r="F142" s="149">
        <v>3</v>
      </c>
      <c r="G142" s="218">
        <v>3</v>
      </c>
      <c r="H142" s="149">
        <v>1</v>
      </c>
      <c r="I142" s="155">
        <v>1</v>
      </c>
      <c r="J142" s="155">
        <v>1</v>
      </c>
      <c r="K142" s="156">
        <v>1</v>
      </c>
      <c r="L142" s="157">
        <v>1.5</v>
      </c>
      <c r="M142" s="219">
        <v>2</v>
      </c>
      <c r="N142" s="158">
        <v>3</v>
      </c>
    </row>
    <row r="143" spans="1:14" ht="16">
      <c r="A143" s="146" t="s">
        <v>893</v>
      </c>
      <c r="B143" s="38" t="s">
        <v>83</v>
      </c>
      <c r="C143" s="149">
        <v>1</v>
      </c>
      <c r="D143" s="149">
        <v>2</v>
      </c>
      <c r="E143" s="149">
        <v>2</v>
      </c>
      <c r="F143" s="149">
        <v>3</v>
      </c>
      <c r="G143" s="218">
        <v>1</v>
      </c>
      <c r="H143" s="149">
        <v>2</v>
      </c>
      <c r="I143" s="155">
        <v>3</v>
      </c>
      <c r="J143" s="155">
        <v>1</v>
      </c>
      <c r="K143" s="156">
        <v>2</v>
      </c>
      <c r="L143" s="157">
        <v>1.5</v>
      </c>
      <c r="M143" s="219">
        <v>2</v>
      </c>
      <c r="N143" s="158">
        <v>3</v>
      </c>
    </row>
    <row r="144" spans="1:14" ht="16">
      <c r="A144" s="146" t="s">
        <v>550</v>
      </c>
      <c r="B144" s="38" t="s">
        <v>1386</v>
      </c>
      <c r="C144" s="149">
        <v>2</v>
      </c>
      <c r="D144" s="149">
        <v>2</v>
      </c>
      <c r="E144" s="149">
        <v>2</v>
      </c>
      <c r="F144" s="149">
        <v>3</v>
      </c>
      <c r="G144" s="218">
        <v>1</v>
      </c>
      <c r="H144" s="149">
        <v>2</v>
      </c>
      <c r="I144" s="155">
        <v>1</v>
      </c>
      <c r="J144" s="155">
        <v>1</v>
      </c>
      <c r="K144" s="156">
        <v>2</v>
      </c>
      <c r="L144" s="157">
        <v>1.167</v>
      </c>
      <c r="M144" s="219">
        <v>2</v>
      </c>
      <c r="N144" s="158">
        <v>3</v>
      </c>
    </row>
    <row r="145" spans="1:14" ht="16">
      <c r="A145" s="146" t="s">
        <v>541</v>
      </c>
      <c r="B145" s="38" t="s">
        <v>83</v>
      </c>
      <c r="C145" s="149">
        <v>3</v>
      </c>
      <c r="D145" s="149">
        <v>2</v>
      </c>
      <c r="E145" s="149">
        <v>3</v>
      </c>
      <c r="F145" s="149">
        <v>3</v>
      </c>
      <c r="G145" s="218">
        <v>2</v>
      </c>
      <c r="H145" s="149">
        <v>2</v>
      </c>
      <c r="I145" s="155">
        <v>2</v>
      </c>
      <c r="J145" s="155">
        <v>1</v>
      </c>
      <c r="K145" s="156">
        <v>2</v>
      </c>
      <c r="L145" s="157">
        <v>2.3330000000000002</v>
      </c>
      <c r="M145" s="219">
        <v>2</v>
      </c>
      <c r="N145" s="158">
        <v>3</v>
      </c>
    </row>
    <row r="146" spans="1:14" ht="16">
      <c r="A146" s="146" t="s">
        <v>898</v>
      </c>
      <c r="B146" s="38" t="s">
        <v>170</v>
      </c>
      <c r="C146" s="149">
        <v>2</v>
      </c>
      <c r="D146" s="149">
        <v>2</v>
      </c>
      <c r="E146" s="149">
        <v>2</v>
      </c>
      <c r="F146" s="149">
        <v>3</v>
      </c>
      <c r="G146" s="218">
        <v>2</v>
      </c>
      <c r="H146" s="149">
        <v>2</v>
      </c>
      <c r="I146" s="155">
        <v>1</v>
      </c>
      <c r="J146" s="155">
        <v>1</v>
      </c>
      <c r="K146" s="156">
        <v>2</v>
      </c>
      <c r="L146" s="157">
        <v>2</v>
      </c>
      <c r="M146" s="219">
        <v>2</v>
      </c>
      <c r="N146" s="158">
        <v>3</v>
      </c>
    </row>
    <row r="147" spans="1:14" ht="16">
      <c r="A147" s="146" t="s">
        <v>905</v>
      </c>
      <c r="B147" s="38" t="s">
        <v>152</v>
      </c>
      <c r="C147" s="149">
        <v>2</v>
      </c>
      <c r="D147" s="149">
        <v>1</v>
      </c>
      <c r="E147" s="149">
        <v>2</v>
      </c>
      <c r="F147" s="149">
        <v>3</v>
      </c>
      <c r="G147" s="218">
        <v>2</v>
      </c>
      <c r="H147" s="149">
        <v>1</v>
      </c>
      <c r="I147" s="155">
        <v>1</v>
      </c>
      <c r="J147" s="155">
        <v>1</v>
      </c>
      <c r="K147" s="156">
        <v>2</v>
      </c>
      <c r="L147" s="157">
        <v>2.375</v>
      </c>
      <c r="M147" s="219">
        <v>2</v>
      </c>
      <c r="N147" s="158">
        <v>3</v>
      </c>
    </row>
    <row r="148" spans="1:14" ht="16">
      <c r="A148" s="146" t="s">
        <v>1427</v>
      </c>
      <c r="B148" s="38" t="s">
        <v>152</v>
      </c>
      <c r="C148" s="149">
        <v>2</v>
      </c>
      <c r="D148" s="149">
        <v>1</v>
      </c>
      <c r="E148" s="149">
        <v>2</v>
      </c>
      <c r="F148" s="149">
        <v>2</v>
      </c>
      <c r="G148" s="218">
        <v>3</v>
      </c>
      <c r="H148" s="149">
        <v>1</v>
      </c>
      <c r="I148" s="155">
        <v>1</v>
      </c>
      <c r="J148" s="155">
        <v>1</v>
      </c>
      <c r="K148" s="156">
        <v>3</v>
      </c>
      <c r="L148" s="157">
        <v>1.875</v>
      </c>
      <c r="M148" s="219">
        <v>2</v>
      </c>
      <c r="N148" s="158">
        <v>3</v>
      </c>
    </row>
    <row r="149" spans="1:14" ht="16">
      <c r="A149" s="146" t="s">
        <v>918</v>
      </c>
      <c r="B149" s="38" t="s">
        <v>152</v>
      </c>
      <c r="C149" s="149">
        <v>2</v>
      </c>
      <c r="D149" s="149">
        <v>2</v>
      </c>
      <c r="E149" s="149">
        <v>2</v>
      </c>
      <c r="F149" s="149">
        <v>2</v>
      </c>
      <c r="G149" s="218">
        <v>3</v>
      </c>
      <c r="H149" s="149">
        <v>1</v>
      </c>
      <c r="I149" s="155">
        <v>2</v>
      </c>
      <c r="J149" s="155">
        <v>1</v>
      </c>
      <c r="K149" s="156">
        <v>1</v>
      </c>
      <c r="L149" s="157">
        <v>2</v>
      </c>
      <c r="M149" s="219">
        <v>2</v>
      </c>
      <c r="N149" s="158">
        <v>3</v>
      </c>
    </row>
    <row r="150" spans="1:14" ht="16">
      <c r="A150" s="146" t="s">
        <v>923</v>
      </c>
      <c r="B150" s="38" t="s">
        <v>787</v>
      </c>
      <c r="C150" s="149">
        <v>2</v>
      </c>
      <c r="D150" s="149">
        <v>1</v>
      </c>
      <c r="E150" s="149">
        <v>1</v>
      </c>
      <c r="F150" s="149">
        <v>3</v>
      </c>
      <c r="G150" s="218">
        <v>2</v>
      </c>
      <c r="H150" s="149">
        <v>1</v>
      </c>
      <c r="I150" s="155">
        <v>1</v>
      </c>
      <c r="J150" s="155">
        <v>1</v>
      </c>
      <c r="K150" s="156">
        <v>1</v>
      </c>
      <c r="L150" s="157">
        <v>2.6669999999999998</v>
      </c>
      <c r="M150" s="219">
        <v>2</v>
      </c>
      <c r="N150" s="158">
        <v>3</v>
      </c>
    </row>
    <row r="151" spans="1:14" ht="16">
      <c r="A151" s="146" t="s">
        <v>1432</v>
      </c>
      <c r="B151" s="38" t="s">
        <v>83</v>
      </c>
      <c r="C151" s="149">
        <v>3</v>
      </c>
      <c r="D151" s="149">
        <v>2</v>
      </c>
      <c r="E151" s="149">
        <v>3</v>
      </c>
      <c r="F151" s="149">
        <v>3</v>
      </c>
      <c r="G151" s="218">
        <v>3</v>
      </c>
      <c r="H151" s="149">
        <v>1</v>
      </c>
      <c r="I151" s="155">
        <v>2</v>
      </c>
      <c r="J151" s="155">
        <v>1</v>
      </c>
      <c r="K151" s="156">
        <v>3</v>
      </c>
      <c r="L151" s="157">
        <v>2</v>
      </c>
      <c r="M151" s="219">
        <v>2</v>
      </c>
      <c r="N151" s="158">
        <v>3</v>
      </c>
    </row>
    <row r="152" spans="1:14" ht="16">
      <c r="A152" s="146" t="s">
        <v>933</v>
      </c>
      <c r="B152" s="38" t="s">
        <v>160</v>
      </c>
      <c r="C152" s="149">
        <v>2</v>
      </c>
      <c r="D152" s="149">
        <v>1</v>
      </c>
      <c r="E152" s="149">
        <v>2</v>
      </c>
      <c r="F152" s="149">
        <v>3</v>
      </c>
      <c r="G152" s="218">
        <v>3</v>
      </c>
      <c r="H152" s="149">
        <v>2</v>
      </c>
      <c r="I152" s="155">
        <v>1</v>
      </c>
      <c r="J152" s="155">
        <v>3</v>
      </c>
      <c r="K152" s="156">
        <v>2</v>
      </c>
      <c r="L152" s="157">
        <v>2.25</v>
      </c>
      <c r="M152" s="219">
        <v>2</v>
      </c>
      <c r="N152" s="158">
        <v>3</v>
      </c>
    </row>
    <row r="153" spans="1:14" ht="16">
      <c r="A153" s="146" t="s">
        <v>937</v>
      </c>
      <c r="B153" s="38" t="s">
        <v>83</v>
      </c>
      <c r="C153" s="149">
        <v>2</v>
      </c>
      <c r="D153" s="149">
        <v>2</v>
      </c>
      <c r="E153" s="149">
        <v>2</v>
      </c>
      <c r="F153" s="149">
        <v>3</v>
      </c>
      <c r="G153" s="218">
        <v>3</v>
      </c>
      <c r="H153" s="149">
        <v>2</v>
      </c>
      <c r="I153" s="155">
        <v>3</v>
      </c>
      <c r="J153" s="155">
        <v>1</v>
      </c>
      <c r="K153" s="156">
        <v>3</v>
      </c>
      <c r="L153" s="157">
        <v>1.25</v>
      </c>
      <c r="M153" s="219">
        <v>2</v>
      </c>
      <c r="N153" s="158">
        <v>3</v>
      </c>
    </row>
    <row r="154" spans="1:14" ht="16">
      <c r="A154" s="146" t="s">
        <v>941</v>
      </c>
      <c r="B154" s="38" t="s">
        <v>184</v>
      </c>
      <c r="C154" s="149">
        <v>2</v>
      </c>
      <c r="D154" s="149">
        <v>2</v>
      </c>
      <c r="E154" s="149">
        <v>3</v>
      </c>
      <c r="F154" s="149">
        <v>3</v>
      </c>
      <c r="G154" s="218">
        <v>1</v>
      </c>
      <c r="H154" s="149">
        <v>1</v>
      </c>
      <c r="I154" s="155">
        <v>2</v>
      </c>
      <c r="J154" s="155">
        <v>1</v>
      </c>
      <c r="K154" s="156">
        <v>2</v>
      </c>
      <c r="L154" s="157">
        <v>2.25</v>
      </c>
      <c r="M154" s="219">
        <v>2</v>
      </c>
      <c r="N154" s="158">
        <v>3</v>
      </c>
    </row>
    <row r="155" spans="1:14" ht="16">
      <c r="A155" s="146" t="s">
        <v>947</v>
      </c>
      <c r="B155" s="38" t="s">
        <v>177</v>
      </c>
      <c r="C155" s="149">
        <v>2</v>
      </c>
      <c r="D155" s="149">
        <v>1</v>
      </c>
      <c r="E155" s="149">
        <v>2</v>
      </c>
      <c r="F155" s="149">
        <v>3</v>
      </c>
      <c r="G155" s="218">
        <v>3</v>
      </c>
      <c r="H155" s="149">
        <v>1</v>
      </c>
      <c r="I155" s="155">
        <v>1</v>
      </c>
      <c r="J155" s="155">
        <v>1</v>
      </c>
      <c r="K155" s="156">
        <v>1</v>
      </c>
      <c r="L155" s="157">
        <v>2.125</v>
      </c>
      <c r="M155" s="219">
        <v>2</v>
      </c>
      <c r="N155" s="158">
        <v>3</v>
      </c>
    </row>
    <row r="156" spans="1:14" ht="16">
      <c r="A156" s="146" t="s">
        <v>950</v>
      </c>
      <c r="B156" s="38" t="s">
        <v>184</v>
      </c>
      <c r="C156" s="149">
        <v>2</v>
      </c>
      <c r="D156" s="149">
        <v>2</v>
      </c>
      <c r="E156" s="149">
        <v>2</v>
      </c>
      <c r="F156" s="149">
        <v>3</v>
      </c>
      <c r="G156" s="218">
        <v>3</v>
      </c>
      <c r="H156" s="149">
        <v>1</v>
      </c>
      <c r="I156" s="155">
        <v>3</v>
      </c>
      <c r="J156" s="155">
        <v>1</v>
      </c>
      <c r="K156" s="156">
        <v>2</v>
      </c>
      <c r="L156" s="157">
        <v>1.5</v>
      </c>
      <c r="M156" s="219">
        <v>2</v>
      </c>
      <c r="N156" s="158">
        <v>3</v>
      </c>
    </row>
    <row r="157" spans="1:14" ht="16">
      <c r="A157" s="146" t="s">
        <v>953</v>
      </c>
      <c r="B157" s="38" t="s">
        <v>160</v>
      </c>
      <c r="C157" s="149">
        <v>2</v>
      </c>
      <c r="D157" s="149">
        <v>1</v>
      </c>
      <c r="E157" s="149">
        <v>2</v>
      </c>
      <c r="F157" s="149">
        <v>3</v>
      </c>
      <c r="G157" s="218">
        <v>3</v>
      </c>
      <c r="H157" s="149">
        <v>2</v>
      </c>
      <c r="I157" s="155">
        <v>1</v>
      </c>
      <c r="J157" s="155">
        <v>3</v>
      </c>
      <c r="K157" s="156">
        <v>1</v>
      </c>
      <c r="L157" s="157">
        <v>2.8330000000000002</v>
      </c>
      <c r="M157" s="219">
        <v>2</v>
      </c>
      <c r="N157" s="158">
        <v>3</v>
      </c>
    </row>
    <row r="158" spans="1:14" ht="16">
      <c r="A158" s="146" t="s">
        <v>956</v>
      </c>
      <c r="B158" s="38" t="s">
        <v>152</v>
      </c>
      <c r="C158" s="149">
        <v>2</v>
      </c>
      <c r="D158" s="149">
        <v>1</v>
      </c>
      <c r="E158" s="149">
        <v>1</v>
      </c>
      <c r="F158" s="149">
        <v>2</v>
      </c>
      <c r="G158" s="218">
        <v>3</v>
      </c>
      <c r="H158" s="149">
        <v>1</v>
      </c>
      <c r="I158" s="155">
        <v>2</v>
      </c>
      <c r="J158" s="155">
        <v>1</v>
      </c>
      <c r="K158" s="156">
        <v>2</v>
      </c>
      <c r="L158" s="157">
        <v>1.667</v>
      </c>
      <c r="M158" s="219">
        <v>2</v>
      </c>
      <c r="N158" s="158">
        <v>3</v>
      </c>
    </row>
    <row r="159" spans="1:14" ht="16">
      <c r="A159" s="146" t="s">
        <v>528</v>
      </c>
      <c r="B159" s="38" t="s">
        <v>83</v>
      </c>
      <c r="C159" s="149">
        <v>2</v>
      </c>
      <c r="D159" s="149">
        <v>1</v>
      </c>
      <c r="E159" s="149">
        <v>3</v>
      </c>
      <c r="F159" s="149">
        <v>3</v>
      </c>
      <c r="G159" s="218">
        <v>3</v>
      </c>
      <c r="H159" s="149">
        <v>1</v>
      </c>
      <c r="I159" s="155">
        <v>1</v>
      </c>
      <c r="J159" s="155">
        <v>1</v>
      </c>
      <c r="K159" s="156">
        <v>2</v>
      </c>
      <c r="L159" s="157">
        <v>2</v>
      </c>
      <c r="M159" s="219">
        <v>2</v>
      </c>
      <c r="N159" s="158">
        <v>3</v>
      </c>
    </row>
    <row r="160" spans="1:14" ht="16">
      <c r="A160" s="146" t="s">
        <v>1436</v>
      </c>
      <c r="B160" s="38" t="s">
        <v>141</v>
      </c>
      <c r="C160" s="149">
        <v>3</v>
      </c>
      <c r="D160" s="149">
        <v>3</v>
      </c>
      <c r="E160" s="149">
        <v>2</v>
      </c>
      <c r="F160" s="149">
        <v>1</v>
      </c>
      <c r="G160" s="218">
        <v>2</v>
      </c>
      <c r="H160" s="149">
        <v>2</v>
      </c>
      <c r="I160" s="155">
        <v>2</v>
      </c>
      <c r="J160" s="155">
        <v>1</v>
      </c>
      <c r="K160" s="159">
        <v>3</v>
      </c>
      <c r="L160" s="157">
        <v>5</v>
      </c>
      <c r="M160" s="219">
        <v>2</v>
      </c>
      <c r="N160" s="158">
        <v>3</v>
      </c>
    </row>
    <row r="161" spans="1:14" ht="16">
      <c r="A161" s="146" t="s">
        <v>967</v>
      </c>
      <c r="B161" s="38" t="s">
        <v>970</v>
      </c>
      <c r="C161" s="149">
        <v>3</v>
      </c>
      <c r="D161" s="149">
        <v>1</v>
      </c>
      <c r="E161" s="149">
        <v>2</v>
      </c>
      <c r="F161" s="149">
        <v>3</v>
      </c>
      <c r="G161" s="218">
        <v>3</v>
      </c>
      <c r="H161" s="149">
        <v>1</v>
      </c>
      <c r="I161" s="155">
        <v>1</v>
      </c>
      <c r="J161" s="155">
        <v>1</v>
      </c>
      <c r="K161" s="156">
        <v>1</v>
      </c>
      <c r="L161" s="157">
        <v>3</v>
      </c>
      <c r="M161" s="219">
        <v>2</v>
      </c>
      <c r="N161" s="158">
        <v>2</v>
      </c>
    </row>
    <row r="162" spans="1:14" ht="16">
      <c r="A162" s="146" t="s">
        <v>553</v>
      </c>
      <c r="B162" s="38" t="s">
        <v>286</v>
      </c>
      <c r="C162" s="149">
        <v>2</v>
      </c>
      <c r="D162" s="149">
        <v>2</v>
      </c>
      <c r="E162" s="149">
        <v>2</v>
      </c>
      <c r="F162" s="149">
        <v>3</v>
      </c>
      <c r="G162" s="218">
        <v>2</v>
      </c>
      <c r="H162" s="149">
        <v>1</v>
      </c>
      <c r="I162" s="155">
        <v>2</v>
      </c>
      <c r="J162" s="155">
        <v>3</v>
      </c>
      <c r="K162" s="156">
        <v>2</v>
      </c>
      <c r="L162" s="157">
        <v>1.5</v>
      </c>
      <c r="M162" s="219">
        <v>2</v>
      </c>
      <c r="N162" s="158">
        <v>3</v>
      </c>
    </row>
    <row r="163" spans="1:14" ht="16">
      <c r="A163" s="146" t="s">
        <v>977</v>
      </c>
      <c r="B163" s="38" t="s">
        <v>177</v>
      </c>
      <c r="C163" s="149">
        <v>1</v>
      </c>
      <c r="D163" s="149">
        <v>1</v>
      </c>
      <c r="E163" s="149">
        <v>3</v>
      </c>
      <c r="F163" s="149">
        <v>3</v>
      </c>
      <c r="G163" s="218">
        <v>3</v>
      </c>
      <c r="H163" s="149">
        <v>1</v>
      </c>
      <c r="I163" s="155">
        <v>1</v>
      </c>
      <c r="J163" s="155">
        <v>3</v>
      </c>
      <c r="K163" s="156">
        <v>2</v>
      </c>
      <c r="L163" s="157">
        <v>1.75</v>
      </c>
      <c r="M163" s="219">
        <v>2</v>
      </c>
      <c r="N163" s="158">
        <v>3</v>
      </c>
    </row>
    <row r="164" spans="1:14" ht="16">
      <c r="A164" s="146" t="s">
        <v>980</v>
      </c>
      <c r="B164" s="38" t="s">
        <v>152</v>
      </c>
      <c r="C164" s="149">
        <v>2</v>
      </c>
      <c r="D164" s="149">
        <v>2</v>
      </c>
      <c r="E164" s="149">
        <v>2</v>
      </c>
      <c r="F164" s="149">
        <v>3</v>
      </c>
      <c r="G164" s="218">
        <v>3</v>
      </c>
      <c r="H164" s="149">
        <v>1</v>
      </c>
      <c r="I164" s="155">
        <v>1</v>
      </c>
      <c r="J164" s="155">
        <v>1</v>
      </c>
      <c r="K164" s="156">
        <v>1</v>
      </c>
      <c r="L164" s="157">
        <v>1.75</v>
      </c>
      <c r="M164" s="219">
        <v>2</v>
      </c>
      <c r="N164" s="158">
        <v>3</v>
      </c>
    </row>
    <row r="165" spans="1:14" ht="16">
      <c r="A165" s="146" t="s">
        <v>986</v>
      </c>
      <c r="B165" s="38" t="s">
        <v>152</v>
      </c>
      <c r="C165" s="149">
        <v>2</v>
      </c>
      <c r="D165" s="149">
        <v>1</v>
      </c>
      <c r="E165" s="149">
        <v>2</v>
      </c>
      <c r="F165" s="149">
        <v>2</v>
      </c>
      <c r="G165" s="218">
        <v>3</v>
      </c>
      <c r="H165" s="149">
        <v>1</v>
      </c>
      <c r="I165" s="155">
        <v>1</v>
      </c>
      <c r="J165" s="155">
        <v>1</v>
      </c>
      <c r="K165" s="156">
        <v>2</v>
      </c>
      <c r="L165" s="157">
        <v>1.75</v>
      </c>
      <c r="M165" s="219">
        <v>2</v>
      </c>
      <c r="N165" s="158">
        <v>3</v>
      </c>
    </row>
    <row r="166" spans="1:14" ht="16">
      <c r="A166" s="146" t="s">
        <v>989</v>
      </c>
      <c r="B166" s="38" t="s">
        <v>83</v>
      </c>
      <c r="C166" s="149">
        <v>2</v>
      </c>
      <c r="D166" s="149">
        <v>1</v>
      </c>
      <c r="E166" s="149">
        <v>2</v>
      </c>
      <c r="F166" s="149">
        <v>3</v>
      </c>
      <c r="G166" s="218">
        <v>3</v>
      </c>
      <c r="H166" s="149">
        <v>2</v>
      </c>
      <c r="I166" s="155">
        <v>1</v>
      </c>
      <c r="J166" s="155">
        <v>1</v>
      </c>
      <c r="K166" s="156">
        <v>2</v>
      </c>
      <c r="L166" s="157">
        <v>1</v>
      </c>
      <c r="M166" s="219">
        <v>2</v>
      </c>
      <c r="N166" s="158">
        <v>3</v>
      </c>
    </row>
    <row r="167" spans="1:14" ht="16">
      <c r="A167" s="146" t="s">
        <v>992</v>
      </c>
      <c r="B167" s="38" t="s">
        <v>170</v>
      </c>
      <c r="C167" s="149">
        <v>3</v>
      </c>
      <c r="D167" s="149">
        <v>3</v>
      </c>
      <c r="E167" s="149">
        <v>3</v>
      </c>
      <c r="F167" s="149">
        <v>3</v>
      </c>
      <c r="G167" s="218">
        <v>2</v>
      </c>
      <c r="H167" s="149">
        <v>1</v>
      </c>
      <c r="I167" s="155">
        <v>2</v>
      </c>
      <c r="J167" s="155">
        <v>1</v>
      </c>
      <c r="K167" s="156">
        <v>3</v>
      </c>
      <c r="L167" s="157">
        <v>1</v>
      </c>
      <c r="M167" s="219">
        <v>2</v>
      </c>
      <c r="N167" s="158">
        <v>2</v>
      </c>
    </row>
    <row r="168" spans="1:14" ht="16">
      <c r="A168" s="146" t="s">
        <v>995</v>
      </c>
      <c r="B168" s="38" t="s">
        <v>184</v>
      </c>
      <c r="C168" s="149">
        <v>2</v>
      </c>
      <c r="D168" s="149">
        <v>2</v>
      </c>
      <c r="E168" s="149">
        <v>2</v>
      </c>
      <c r="F168" s="149">
        <v>3</v>
      </c>
      <c r="G168" s="218">
        <v>3</v>
      </c>
      <c r="H168" s="149">
        <v>1</v>
      </c>
      <c r="I168" s="155">
        <v>2</v>
      </c>
      <c r="J168" s="155">
        <v>1</v>
      </c>
      <c r="K168" s="156">
        <v>2</v>
      </c>
      <c r="L168" s="157">
        <v>1</v>
      </c>
      <c r="M168" s="219">
        <v>2</v>
      </c>
      <c r="N168" s="158">
        <v>3</v>
      </c>
    </row>
    <row r="169" spans="1:14" ht="16">
      <c r="A169" s="146" t="s">
        <v>998</v>
      </c>
      <c r="B169" s="38" t="s">
        <v>141</v>
      </c>
      <c r="C169" s="149">
        <v>3</v>
      </c>
      <c r="D169" s="149">
        <v>2</v>
      </c>
      <c r="E169" s="149">
        <v>1</v>
      </c>
      <c r="F169" s="149">
        <v>1</v>
      </c>
      <c r="G169" s="218">
        <v>2</v>
      </c>
      <c r="H169" s="149">
        <v>2</v>
      </c>
      <c r="I169" s="155">
        <v>2</v>
      </c>
      <c r="J169" s="155">
        <v>1</v>
      </c>
      <c r="K169" s="156">
        <v>3</v>
      </c>
      <c r="L169" s="157">
        <v>1</v>
      </c>
      <c r="M169" s="219">
        <v>2</v>
      </c>
      <c r="N169" s="158">
        <v>3</v>
      </c>
    </row>
    <row r="170" spans="1:14" ht="16">
      <c r="A170" s="146" t="s">
        <v>1003</v>
      </c>
      <c r="B170" s="38" t="s">
        <v>859</v>
      </c>
      <c r="C170" s="149">
        <v>2</v>
      </c>
      <c r="D170" s="149">
        <v>2</v>
      </c>
      <c r="E170" s="149">
        <v>2</v>
      </c>
      <c r="F170" s="149">
        <v>1</v>
      </c>
      <c r="G170" s="218">
        <v>2</v>
      </c>
      <c r="H170" s="149">
        <v>3</v>
      </c>
      <c r="I170" s="155">
        <v>1</v>
      </c>
      <c r="J170" s="155">
        <v>1</v>
      </c>
      <c r="K170" s="156">
        <v>2</v>
      </c>
      <c r="L170" s="157">
        <v>3</v>
      </c>
      <c r="M170" s="219">
        <v>2</v>
      </c>
      <c r="N170" s="158">
        <v>2</v>
      </c>
    </row>
    <row r="171" spans="1:14" ht="16">
      <c r="A171" s="146" t="s">
        <v>1011</v>
      </c>
      <c r="B171" s="38" t="s">
        <v>152</v>
      </c>
      <c r="C171" s="149">
        <v>2</v>
      </c>
      <c r="D171" s="149">
        <v>2</v>
      </c>
      <c r="E171" s="149">
        <v>2</v>
      </c>
      <c r="F171" s="149">
        <v>2</v>
      </c>
      <c r="G171" s="218">
        <v>3</v>
      </c>
      <c r="H171" s="149">
        <v>2</v>
      </c>
      <c r="I171" s="155">
        <v>2</v>
      </c>
      <c r="J171" s="155">
        <v>1</v>
      </c>
      <c r="K171" s="156">
        <v>2</v>
      </c>
      <c r="L171" s="157">
        <v>1</v>
      </c>
      <c r="M171" s="219">
        <v>2</v>
      </c>
      <c r="N171" s="158">
        <v>2</v>
      </c>
    </row>
    <row r="172" spans="1:14" ht="16">
      <c r="A172" s="146" t="s">
        <v>1015</v>
      </c>
      <c r="B172" s="38" t="s">
        <v>160</v>
      </c>
      <c r="C172" s="149">
        <v>2</v>
      </c>
      <c r="D172" s="149">
        <v>1</v>
      </c>
      <c r="E172" s="149">
        <v>2</v>
      </c>
      <c r="F172" s="149">
        <v>3</v>
      </c>
      <c r="G172" s="218">
        <v>3</v>
      </c>
      <c r="H172" s="149">
        <v>2</v>
      </c>
      <c r="I172" s="155">
        <v>1</v>
      </c>
      <c r="J172" s="155">
        <v>3</v>
      </c>
      <c r="K172" s="156">
        <v>1</v>
      </c>
      <c r="L172" s="157">
        <v>1.5</v>
      </c>
      <c r="M172" s="219">
        <v>2</v>
      </c>
      <c r="N172" s="158">
        <v>3</v>
      </c>
    </row>
    <row r="173" spans="1:14" ht="16">
      <c r="A173" s="146" t="s">
        <v>1020</v>
      </c>
      <c r="B173" s="38" t="s">
        <v>83</v>
      </c>
      <c r="C173" s="149">
        <v>2</v>
      </c>
      <c r="D173" s="149">
        <v>1</v>
      </c>
      <c r="E173" s="149">
        <v>2</v>
      </c>
      <c r="F173" s="149">
        <v>3</v>
      </c>
      <c r="G173" s="218">
        <v>2</v>
      </c>
      <c r="H173" s="149">
        <v>2</v>
      </c>
      <c r="I173" s="155">
        <v>3</v>
      </c>
      <c r="J173" s="155">
        <v>1</v>
      </c>
      <c r="K173" s="156">
        <v>2</v>
      </c>
      <c r="L173" s="157">
        <v>1.333</v>
      </c>
      <c r="M173" s="219">
        <v>2</v>
      </c>
      <c r="N173" s="158">
        <v>3</v>
      </c>
    </row>
    <row r="174" spans="1:14" ht="16">
      <c r="A174" s="146" t="s">
        <v>1027</v>
      </c>
      <c r="B174" s="38" t="s">
        <v>152</v>
      </c>
      <c r="C174" s="149">
        <v>2</v>
      </c>
      <c r="D174" s="149">
        <v>1</v>
      </c>
      <c r="E174" s="149">
        <v>2</v>
      </c>
      <c r="F174" s="149">
        <v>3</v>
      </c>
      <c r="G174" s="218">
        <v>3</v>
      </c>
      <c r="H174" s="149">
        <v>1</v>
      </c>
      <c r="I174" s="155">
        <v>2</v>
      </c>
      <c r="J174" s="155">
        <v>1</v>
      </c>
      <c r="K174" s="156">
        <v>2</v>
      </c>
      <c r="L174" s="157">
        <v>1.75</v>
      </c>
      <c r="M174" s="219">
        <v>2</v>
      </c>
      <c r="N174" s="158">
        <v>3</v>
      </c>
    </row>
    <row r="175" spans="1:14" ht="16">
      <c r="A175" s="146" t="s">
        <v>1029</v>
      </c>
      <c r="B175" s="38" t="s">
        <v>170</v>
      </c>
      <c r="C175" s="149">
        <v>2</v>
      </c>
      <c r="D175" s="149">
        <v>1</v>
      </c>
      <c r="E175" s="149">
        <v>3</v>
      </c>
      <c r="F175" s="149">
        <v>3</v>
      </c>
      <c r="G175" s="218">
        <v>3</v>
      </c>
      <c r="H175" s="149">
        <v>1</v>
      </c>
      <c r="I175" s="155">
        <v>3</v>
      </c>
      <c r="J175" s="155">
        <v>1</v>
      </c>
      <c r="K175" s="156">
        <v>3</v>
      </c>
      <c r="L175" s="157">
        <v>2</v>
      </c>
      <c r="M175" s="219">
        <v>2</v>
      </c>
      <c r="N175" s="158">
        <v>2</v>
      </c>
    </row>
    <row r="176" spans="1:14" ht="16">
      <c r="A176" s="146" t="s">
        <v>1034</v>
      </c>
      <c r="B176" s="38" t="s">
        <v>277</v>
      </c>
      <c r="C176" s="149">
        <v>2</v>
      </c>
      <c r="D176" s="149">
        <v>1</v>
      </c>
      <c r="E176" s="149">
        <v>2</v>
      </c>
      <c r="F176" s="149">
        <v>3</v>
      </c>
      <c r="G176" s="218">
        <v>3</v>
      </c>
      <c r="H176" s="149">
        <v>1</v>
      </c>
      <c r="I176" s="155">
        <v>1</v>
      </c>
      <c r="J176" s="155">
        <v>1</v>
      </c>
      <c r="K176" s="156">
        <v>1</v>
      </c>
      <c r="L176" s="157">
        <v>1</v>
      </c>
      <c r="M176" s="219">
        <v>2</v>
      </c>
      <c r="N176" s="158">
        <v>3</v>
      </c>
    </row>
    <row r="177" spans="1:14" ht="16">
      <c r="A177" s="146" t="s">
        <v>1039</v>
      </c>
      <c r="B177" s="38" t="s">
        <v>637</v>
      </c>
      <c r="C177" s="149">
        <v>3</v>
      </c>
      <c r="D177" s="149">
        <v>2</v>
      </c>
      <c r="E177" s="149">
        <v>2</v>
      </c>
      <c r="F177" s="149">
        <v>3</v>
      </c>
      <c r="G177" s="218">
        <v>3</v>
      </c>
      <c r="H177" s="149">
        <v>2</v>
      </c>
      <c r="I177" s="155">
        <v>2</v>
      </c>
      <c r="J177" s="155">
        <v>1</v>
      </c>
      <c r="K177" s="156">
        <v>1</v>
      </c>
      <c r="L177" s="157">
        <v>1</v>
      </c>
      <c r="M177" s="219">
        <v>2</v>
      </c>
      <c r="N177" s="158">
        <v>3</v>
      </c>
    </row>
    <row r="178" spans="1:14" ht="16">
      <c r="A178" s="146" t="s">
        <v>1042</v>
      </c>
      <c r="B178" s="38" t="s">
        <v>152</v>
      </c>
      <c r="C178" s="149">
        <v>2</v>
      </c>
      <c r="D178" s="149">
        <v>1</v>
      </c>
      <c r="E178" s="149">
        <v>2</v>
      </c>
      <c r="F178" s="149">
        <v>3</v>
      </c>
      <c r="G178" s="218">
        <v>3</v>
      </c>
      <c r="H178" s="149">
        <v>2</v>
      </c>
      <c r="I178" s="155">
        <v>1</v>
      </c>
      <c r="J178" s="155">
        <v>1</v>
      </c>
      <c r="K178" s="156">
        <v>2</v>
      </c>
      <c r="L178" s="157">
        <v>2</v>
      </c>
      <c r="M178" s="219">
        <v>2</v>
      </c>
      <c r="N178" s="158">
        <v>3</v>
      </c>
    </row>
    <row r="179" spans="1:14" ht="16">
      <c r="A179" s="146" t="s">
        <v>1438</v>
      </c>
      <c r="B179" s="38" t="s">
        <v>83</v>
      </c>
      <c r="C179" s="149">
        <v>2</v>
      </c>
      <c r="D179" s="149">
        <v>2</v>
      </c>
      <c r="E179" s="149">
        <v>2</v>
      </c>
      <c r="F179" s="149">
        <v>3</v>
      </c>
      <c r="G179" s="218">
        <v>3</v>
      </c>
      <c r="H179" s="149">
        <v>1</v>
      </c>
      <c r="I179" s="155">
        <v>1</v>
      </c>
      <c r="J179" s="155">
        <v>1</v>
      </c>
      <c r="K179" s="159">
        <v>2</v>
      </c>
      <c r="L179" s="157">
        <v>1</v>
      </c>
      <c r="M179" s="219">
        <v>2</v>
      </c>
      <c r="N179" s="158">
        <v>3</v>
      </c>
    </row>
    <row r="180" spans="1:14" ht="16">
      <c r="A180" s="146" t="s">
        <v>1049</v>
      </c>
      <c r="B180" s="38" t="s">
        <v>152</v>
      </c>
      <c r="C180" s="149">
        <v>3</v>
      </c>
      <c r="D180" s="149">
        <v>2</v>
      </c>
      <c r="E180" s="149">
        <v>2</v>
      </c>
      <c r="F180" s="149">
        <v>2</v>
      </c>
      <c r="G180" s="218">
        <v>3</v>
      </c>
      <c r="H180" s="149">
        <v>2</v>
      </c>
      <c r="I180" s="155">
        <v>2</v>
      </c>
      <c r="J180" s="155">
        <v>1</v>
      </c>
      <c r="K180" s="156">
        <v>2</v>
      </c>
      <c r="L180" s="157">
        <v>1.25</v>
      </c>
      <c r="M180" s="219">
        <v>2</v>
      </c>
      <c r="N180" s="158">
        <v>2</v>
      </c>
    </row>
    <row r="181" spans="1:14" ht="16">
      <c r="A181" s="146" t="s">
        <v>1053</v>
      </c>
      <c r="B181" s="38" t="s">
        <v>160</v>
      </c>
      <c r="C181" s="149">
        <v>2</v>
      </c>
      <c r="D181" s="149">
        <v>2</v>
      </c>
      <c r="E181" s="149">
        <v>2</v>
      </c>
      <c r="F181" s="149">
        <v>3</v>
      </c>
      <c r="G181" s="218">
        <v>3</v>
      </c>
      <c r="H181" s="149">
        <v>1</v>
      </c>
      <c r="I181" s="155">
        <v>2</v>
      </c>
      <c r="J181" s="155">
        <v>3</v>
      </c>
      <c r="K181" s="156">
        <v>1</v>
      </c>
      <c r="L181" s="157">
        <v>2</v>
      </c>
      <c r="M181" s="219">
        <v>2</v>
      </c>
      <c r="N181" s="158">
        <v>3</v>
      </c>
    </row>
    <row r="182" spans="1:14" ht="16">
      <c r="A182" s="146" t="s">
        <v>1057</v>
      </c>
      <c r="B182" s="38" t="s">
        <v>160</v>
      </c>
      <c r="C182" s="149">
        <v>3</v>
      </c>
      <c r="D182" s="149">
        <v>2</v>
      </c>
      <c r="E182" s="149">
        <v>2</v>
      </c>
      <c r="F182" s="149">
        <v>3</v>
      </c>
      <c r="G182" s="218">
        <v>3</v>
      </c>
      <c r="H182" s="149">
        <v>2</v>
      </c>
      <c r="I182" s="155">
        <v>2</v>
      </c>
      <c r="J182" s="155">
        <v>1</v>
      </c>
      <c r="K182" s="156">
        <v>1</v>
      </c>
      <c r="L182" s="157">
        <v>2</v>
      </c>
      <c r="M182" s="219">
        <v>2</v>
      </c>
      <c r="N182" s="158">
        <v>3</v>
      </c>
    </row>
    <row r="183" spans="1:14" ht="16">
      <c r="A183" s="146" t="s">
        <v>1060</v>
      </c>
      <c r="B183" s="38" t="s">
        <v>160</v>
      </c>
      <c r="C183" s="149">
        <v>1</v>
      </c>
      <c r="D183" s="149">
        <v>1</v>
      </c>
      <c r="E183" s="149">
        <v>2</v>
      </c>
      <c r="F183" s="149">
        <v>3</v>
      </c>
      <c r="G183" s="218">
        <v>3</v>
      </c>
      <c r="H183" s="149">
        <v>2</v>
      </c>
      <c r="I183" s="155">
        <v>2</v>
      </c>
      <c r="J183" s="155">
        <v>3</v>
      </c>
      <c r="K183" s="156">
        <v>2</v>
      </c>
      <c r="L183" s="157">
        <v>2.5</v>
      </c>
      <c r="M183" s="219">
        <v>2</v>
      </c>
      <c r="N183" s="158">
        <v>3</v>
      </c>
    </row>
    <row r="184" spans="1:14" ht="16">
      <c r="A184" s="146" t="s">
        <v>1063</v>
      </c>
      <c r="B184" s="38" t="s">
        <v>372</v>
      </c>
      <c r="C184" s="149">
        <v>2</v>
      </c>
      <c r="D184" s="149">
        <v>1</v>
      </c>
      <c r="E184" s="149">
        <v>1</v>
      </c>
      <c r="F184" s="149">
        <v>3</v>
      </c>
      <c r="G184" s="218">
        <v>3</v>
      </c>
      <c r="H184" s="149">
        <v>1</v>
      </c>
      <c r="I184" s="155">
        <v>2</v>
      </c>
      <c r="J184" s="155">
        <v>1</v>
      </c>
      <c r="K184" s="156">
        <v>1</v>
      </c>
      <c r="L184" s="157">
        <v>1.25</v>
      </c>
      <c r="M184" s="219">
        <v>2</v>
      </c>
      <c r="N184" s="158">
        <v>2</v>
      </c>
    </row>
    <row r="185" spans="1:14" ht="16">
      <c r="A185" s="146" t="s">
        <v>1067</v>
      </c>
      <c r="B185" s="38" t="s">
        <v>819</v>
      </c>
      <c r="C185" s="149">
        <v>1</v>
      </c>
      <c r="D185" s="149">
        <v>2</v>
      </c>
      <c r="E185" s="149">
        <v>1</v>
      </c>
      <c r="F185" s="149">
        <v>3</v>
      </c>
      <c r="G185" s="218">
        <v>3</v>
      </c>
      <c r="H185" s="149">
        <v>2</v>
      </c>
      <c r="I185" s="155">
        <v>2</v>
      </c>
      <c r="J185" s="155">
        <v>1</v>
      </c>
      <c r="K185" s="156">
        <v>2</v>
      </c>
      <c r="L185" s="157">
        <v>2</v>
      </c>
      <c r="M185" s="219">
        <v>2</v>
      </c>
      <c r="N185" s="158">
        <v>3</v>
      </c>
    </row>
    <row r="186" spans="1:14" ht="16">
      <c r="A186" s="146" t="s">
        <v>1072</v>
      </c>
      <c r="B186" s="38" t="s">
        <v>83</v>
      </c>
      <c r="C186" s="149">
        <v>2</v>
      </c>
      <c r="D186" s="149">
        <v>2</v>
      </c>
      <c r="E186" s="149">
        <v>2</v>
      </c>
      <c r="F186" s="149">
        <v>3</v>
      </c>
      <c r="G186" s="218">
        <v>2</v>
      </c>
      <c r="H186" s="149">
        <v>2</v>
      </c>
      <c r="I186" s="155">
        <v>2</v>
      </c>
      <c r="J186" s="155">
        <v>1</v>
      </c>
      <c r="K186" s="156">
        <v>2</v>
      </c>
      <c r="L186" s="157">
        <v>2</v>
      </c>
      <c r="M186" s="219">
        <v>2</v>
      </c>
      <c r="N186" s="158">
        <v>3</v>
      </c>
    </row>
    <row r="187" spans="1:14" ht="16">
      <c r="A187" s="146" t="s">
        <v>1076</v>
      </c>
      <c r="B187" s="38" t="s">
        <v>83</v>
      </c>
      <c r="C187" s="149">
        <v>2</v>
      </c>
      <c r="D187" s="149">
        <v>2</v>
      </c>
      <c r="E187" s="149">
        <v>2</v>
      </c>
      <c r="F187" s="149">
        <v>3</v>
      </c>
      <c r="G187" s="218">
        <v>3</v>
      </c>
      <c r="H187" s="149">
        <v>2</v>
      </c>
      <c r="I187" s="155">
        <v>2</v>
      </c>
      <c r="J187" s="155">
        <v>1</v>
      </c>
      <c r="K187" s="156">
        <v>3</v>
      </c>
      <c r="L187" s="157">
        <v>5</v>
      </c>
      <c r="M187" s="219">
        <v>2</v>
      </c>
      <c r="N187" s="158">
        <v>3</v>
      </c>
    </row>
    <row r="188" spans="1:14" ht="16">
      <c r="A188" s="146" t="s">
        <v>1080</v>
      </c>
      <c r="B188" s="38" t="s">
        <v>152</v>
      </c>
      <c r="C188" s="149">
        <v>2</v>
      </c>
      <c r="D188" s="149">
        <v>1</v>
      </c>
      <c r="E188" s="149">
        <v>2</v>
      </c>
      <c r="F188" s="149">
        <v>3</v>
      </c>
      <c r="G188" s="218">
        <v>3</v>
      </c>
      <c r="H188" s="149">
        <v>1</v>
      </c>
      <c r="I188" s="155">
        <v>2</v>
      </c>
      <c r="J188" s="155">
        <v>1</v>
      </c>
      <c r="K188" s="156">
        <v>2</v>
      </c>
      <c r="L188" s="157">
        <v>1.375</v>
      </c>
      <c r="M188" s="219">
        <v>2</v>
      </c>
      <c r="N188" s="158">
        <v>3</v>
      </c>
    </row>
    <row r="189" spans="1:14" ht="16">
      <c r="A189" s="146" t="s">
        <v>1085</v>
      </c>
      <c r="B189" s="38" t="s">
        <v>83</v>
      </c>
      <c r="C189" s="149">
        <v>3</v>
      </c>
      <c r="D189" s="149">
        <v>2</v>
      </c>
      <c r="E189" s="149">
        <v>3</v>
      </c>
      <c r="F189" s="149">
        <v>3</v>
      </c>
      <c r="G189" s="218">
        <v>2</v>
      </c>
      <c r="H189" s="149">
        <v>2</v>
      </c>
      <c r="I189" s="155">
        <v>1</v>
      </c>
      <c r="J189" s="155">
        <v>1</v>
      </c>
      <c r="K189" s="156">
        <v>3</v>
      </c>
      <c r="L189" s="157">
        <v>1.75</v>
      </c>
      <c r="M189" s="219">
        <v>2</v>
      </c>
      <c r="N189" s="158">
        <v>3</v>
      </c>
    </row>
    <row r="190" spans="1:14" ht="16">
      <c r="A190" s="146" t="s">
        <v>1089</v>
      </c>
      <c r="B190" s="38" t="s">
        <v>83</v>
      </c>
      <c r="C190" s="149">
        <v>3</v>
      </c>
      <c r="D190" s="149">
        <v>2</v>
      </c>
      <c r="E190" s="149">
        <v>2</v>
      </c>
      <c r="F190" s="149">
        <v>3</v>
      </c>
      <c r="G190" s="218">
        <v>3</v>
      </c>
      <c r="H190" s="149">
        <v>2</v>
      </c>
      <c r="I190" s="155">
        <v>1</v>
      </c>
      <c r="J190" s="155">
        <v>1</v>
      </c>
      <c r="K190" s="156">
        <v>3</v>
      </c>
      <c r="L190" s="157">
        <v>2.25</v>
      </c>
      <c r="M190" s="219">
        <v>2</v>
      </c>
      <c r="N190" s="158">
        <v>3</v>
      </c>
    </row>
    <row r="191" spans="1:14" ht="16">
      <c r="A191" s="146" t="s">
        <v>1091</v>
      </c>
      <c r="B191" s="38" t="s">
        <v>372</v>
      </c>
      <c r="C191" s="149">
        <v>2</v>
      </c>
      <c r="D191" s="149">
        <v>2</v>
      </c>
      <c r="E191" s="149">
        <v>1</v>
      </c>
      <c r="F191" s="149">
        <v>3</v>
      </c>
      <c r="G191" s="218">
        <v>3</v>
      </c>
      <c r="H191" s="149">
        <v>1</v>
      </c>
      <c r="I191" s="155">
        <v>2</v>
      </c>
      <c r="J191" s="155">
        <v>1</v>
      </c>
      <c r="K191" s="156">
        <v>2</v>
      </c>
      <c r="L191" s="157">
        <v>1.5</v>
      </c>
      <c r="M191" s="219">
        <v>2</v>
      </c>
      <c r="N191" s="158">
        <v>2</v>
      </c>
    </row>
    <row r="192" spans="1:14" ht="16">
      <c r="A192" s="146" t="s">
        <v>1095</v>
      </c>
      <c r="B192" s="38" t="s">
        <v>83</v>
      </c>
      <c r="C192" s="149">
        <v>2</v>
      </c>
      <c r="D192" s="149">
        <v>2</v>
      </c>
      <c r="E192" s="149">
        <v>2</v>
      </c>
      <c r="F192" s="149">
        <v>3</v>
      </c>
      <c r="G192" s="218">
        <v>2</v>
      </c>
      <c r="H192" s="149">
        <v>3</v>
      </c>
      <c r="I192" s="155">
        <v>3</v>
      </c>
      <c r="J192" s="155">
        <v>1</v>
      </c>
      <c r="K192" s="156">
        <v>2</v>
      </c>
      <c r="L192" s="157">
        <v>2.3330000000000002</v>
      </c>
      <c r="M192" s="219">
        <v>2</v>
      </c>
      <c r="N192" s="158">
        <v>3</v>
      </c>
    </row>
    <row r="193" spans="1:14" ht="16">
      <c r="A193" s="146" t="s">
        <v>1097</v>
      </c>
      <c r="B193" s="38" t="s">
        <v>83</v>
      </c>
      <c r="C193" s="149">
        <v>2</v>
      </c>
      <c r="D193" s="149">
        <v>2</v>
      </c>
      <c r="E193" s="149">
        <v>2</v>
      </c>
      <c r="F193" s="149">
        <v>3</v>
      </c>
      <c r="G193" s="218">
        <v>2</v>
      </c>
      <c r="H193" s="149">
        <v>2</v>
      </c>
      <c r="I193" s="155">
        <v>1</v>
      </c>
      <c r="J193" s="155">
        <v>1</v>
      </c>
      <c r="K193" s="156">
        <v>2</v>
      </c>
      <c r="L193" s="157">
        <v>1.5</v>
      </c>
      <c r="M193" s="219">
        <v>2</v>
      </c>
      <c r="N193" s="158">
        <v>3</v>
      </c>
    </row>
    <row r="194" spans="1:14" ht="16">
      <c r="A194" s="146" t="s">
        <v>1103</v>
      </c>
      <c r="B194" s="38" t="s">
        <v>819</v>
      </c>
      <c r="C194" s="149">
        <v>3</v>
      </c>
      <c r="D194" s="149">
        <v>2</v>
      </c>
      <c r="E194" s="149">
        <v>2</v>
      </c>
      <c r="F194" s="149">
        <v>3</v>
      </c>
      <c r="G194" s="218">
        <v>3</v>
      </c>
      <c r="H194" s="149">
        <v>2</v>
      </c>
      <c r="I194" s="155">
        <v>1</v>
      </c>
      <c r="J194" s="155">
        <v>1</v>
      </c>
      <c r="K194" s="156">
        <v>1</v>
      </c>
      <c r="L194" s="157">
        <v>2.75</v>
      </c>
      <c r="M194" s="219">
        <v>2</v>
      </c>
      <c r="N194" s="158">
        <v>3</v>
      </c>
    </row>
    <row r="195" spans="1:14" ht="16">
      <c r="A195" s="146" t="s">
        <v>564</v>
      </c>
      <c r="B195" s="38" t="s">
        <v>160</v>
      </c>
      <c r="C195" s="149">
        <v>2</v>
      </c>
      <c r="D195" s="149">
        <v>1</v>
      </c>
      <c r="E195" s="149">
        <v>2</v>
      </c>
      <c r="F195" s="149">
        <v>3</v>
      </c>
      <c r="G195" s="218">
        <v>3</v>
      </c>
      <c r="H195" s="149">
        <v>2</v>
      </c>
      <c r="I195" s="155">
        <v>1</v>
      </c>
      <c r="J195" s="155">
        <v>3</v>
      </c>
      <c r="K195" s="156">
        <v>1</v>
      </c>
      <c r="L195" s="157">
        <v>2.75</v>
      </c>
      <c r="M195" s="219">
        <v>2</v>
      </c>
      <c r="N195" s="158">
        <v>3</v>
      </c>
    </row>
    <row r="196" spans="1:14" ht="16">
      <c r="A196" s="146" t="s">
        <v>1108</v>
      </c>
      <c r="B196" s="38" t="s">
        <v>160</v>
      </c>
      <c r="C196" s="149">
        <v>2</v>
      </c>
      <c r="D196" s="149">
        <v>1</v>
      </c>
      <c r="E196" s="149">
        <v>2</v>
      </c>
      <c r="F196" s="149">
        <v>3</v>
      </c>
      <c r="G196" s="218">
        <v>3</v>
      </c>
      <c r="H196" s="149">
        <v>2</v>
      </c>
      <c r="I196" s="155">
        <v>1</v>
      </c>
      <c r="J196" s="155">
        <v>3</v>
      </c>
      <c r="K196" s="156">
        <v>1</v>
      </c>
      <c r="L196" s="157">
        <v>2.3330000000000002</v>
      </c>
      <c r="M196" s="219">
        <v>2</v>
      </c>
      <c r="N196" s="158">
        <v>3</v>
      </c>
    </row>
    <row r="197" spans="1:14" ht="16">
      <c r="A197" s="146" t="s">
        <v>1111</v>
      </c>
      <c r="B197" s="38" t="s">
        <v>177</v>
      </c>
      <c r="C197" s="149">
        <v>1</v>
      </c>
      <c r="D197" s="149">
        <v>1</v>
      </c>
      <c r="E197" s="149">
        <v>2</v>
      </c>
      <c r="F197" s="149">
        <v>3</v>
      </c>
      <c r="G197" s="218">
        <v>3</v>
      </c>
      <c r="H197" s="149">
        <v>1</v>
      </c>
      <c r="I197" s="155">
        <v>1</v>
      </c>
      <c r="J197" s="155">
        <v>1</v>
      </c>
      <c r="K197" s="156">
        <v>1</v>
      </c>
      <c r="L197" s="157">
        <v>3</v>
      </c>
      <c r="M197" s="219">
        <v>2</v>
      </c>
      <c r="N197" s="158">
        <v>3</v>
      </c>
    </row>
    <row r="198" spans="1:14" ht="16">
      <c r="A198" s="146" t="s">
        <v>1117</v>
      </c>
      <c r="B198" s="38" t="s">
        <v>372</v>
      </c>
      <c r="C198" s="149">
        <v>2</v>
      </c>
      <c r="D198" s="149">
        <v>2</v>
      </c>
      <c r="E198" s="149">
        <v>1</v>
      </c>
      <c r="F198" s="149">
        <v>3</v>
      </c>
      <c r="G198" s="218">
        <v>3</v>
      </c>
      <c r="H198" s="149">
        <v>1</v>
      </c>
      <c r="I198" s="155">
        <v>2</v>
      </c>
      <c r="J198" s="155">
        <v>1</v>
      </c>
      <c r="K198" s="156">
        <v>2</v>
      </c>
      <c r="L198" s="157">
        <v>1.25</v>
      </c>
      <c r="M198" s="219">
        <v>2</v>
      </c>
      <c r="N198" s="158">
        <v>2</v>
      </c>
    </row>
    <row r="199" spans="1:14" ht="16">
      <c r="A199" s="146" t="s">
        <v>1122</v>
      </c>
      <c r="B199" s="38" t="s">
        <v>277</v>
      </c>
      <c r="C199" s="149">
        <v>2</v>
      </c>
      <c r="D199" s="149">
        <v>1</v>
      </c>
      <c r="E199" s="149">
        <v>2</v>
      </c>
      <c r="F199" s="149">
        <v>3</v>
      </c>
      <c r="G199" s="218">
        <v>3</v>
      </c>
      <c r="H199" s="149">
        <v>1</v>
      </c>
      <c r="I199" s="155">
        <v>2</v>
      </c>
      <c r="J199" s="155">
        <v>1</v>
      </c>
      <c r="K199" s="156">
        <v>1</v>
      </c>
      <c r="L199" s="157">
        <v>1.833</v>
      </c>
      <c r="M199" s="219">
        <v>2</v>
      </c>
      <c r="N199" s="158">
        <v>3</v>
      </c>
    </row>
    <row r="200" spans="1:14" ht="16">
      <c r="A200" s="146" t="s">
        <v>1128</v>
      </c>
      <c r="B200" s="38" t="s">
        <v>152</v>
      </c>
      <c r="C200" s="149">
        <v>3</v>
      </c>
      <c r="D200" s="149">
        <v>2</v>
      </c>
      <c r="E200" s="149">
        <v>2</v>
      </c>
      <c r="F200" s="149">
        <v>2</v>
      </c>
      <c r="G200" s="218">
        <v>3</v>
      </c>
      <c r="H200" s="149">
        <v>2</v>
      </c>
      <c r="I200" s="155">
        <v>1</v>
      </c>
      <c r="J200" s="155">
        <v>1</v>
      </c>
      <c r="K200" s="156">
        <v>2</v>
      </c>
      <c r="L200" s="157">
        <v>2.3330000000000002</v>
      </c>
      <c r="M200" s="219">
        <v>2</v>
      </c>
      <c r="N200" s="158">
        <v>3</v>
      </c>
    </row>
    <row r="201" spans="1:14" ht="16">
      <c r="A201" s="146" t="s">
        <v>1441</v>
      </c>
      <c r="B201" s="38" t="s">
        <v>819</v>
      </c>
      <c r="C201" s="149">
        <v>3</v>
      </c>
      <c r="D201" s="149">
        <v>2</v>
      </c>
      <c r="E201" s="149">
        <v>2</v>
      </c>
      <c r="F201" s="149">
        <v>3</v>
      </c>
      <c r="G201" s="218">
        <v>3</v>
      </c>
      <c r="H201" s="149">
        <v>2</v>
      </c>
      <c r="I201" s="155">
        <v>1</v>
      </c>
      <c r="J201" s="155">
        <v>1</v>
      </c>
      <c r="K201" s="159">
        <v>1</v>
      </c>
      <c r="L201" s="157">
        <v>2.75</v>
      </c>
      <c r="M201" s="219">
        <v>2</v>
      </c>
      <c r="N201" s="158">
        <v>3</v>
      </c>
    </row>
    <row r="202" spans="1:14" ht="16">
      <c r="A202" s="146" t="s">
        <v>1136</v>
      </c>
      <c r="B202" s="38" t="s">
        <v>184</v>
      </c>
      <c r="C202" s="149">
        <v>2</v>
      </c>
      <c r="D202" s="149">
        <v>3</v>
      </c>
      <c r="E202" s="149">
        <v>2</v>
      </c>
      <c r="F202" s="149">
        <v>3</v>
      </c>
      <c r="G202" s="218">
        <v>3</v>
      </c>
      <c r="H202" s="149">
        <v>1</v>
      </c>
      <c r="I202" s="155">
        <v>3</v>
      </c>
      <c r="J202" s="155">
        <v>1</v>
      </c>
      <c r="K202" s="156">
        <v>2</v>
      </c>
      <c r="L202" s="157">
        <v>2</v>
      </c>
      <c r="M202" s="219">
        <v>2</v>
      </c>
      <c r="N202" s="158">
        <v>3</v>
      </c>
    </row>
    <row r="203" spans="1:14" ht="16">
      <c r="A203" s="146" t="s">
        <v>1138</v>
      </c>
      <c r="B203" s="38" t="s">
        <v>1141</v>
      </c>
      <c r="C203" s="149">
        <v>2</v>
      </c>
      <c r="D203" s="149">
        <v>1</v>
      </c>
      <c r="E203" s="149">
        <v>2</v>
      </c>
      <c r="F203" s="149">
        <v>3</v>
      </c>
      <c r="G203" s="218">
        <v>3</v>
      </c>
      <c r="H203" s="149">
        <v>1</v>
      </c>
      <c r="I203" s="155">
        <v>1</v>
      </c>
      <c r="J203" s="155">
        <v>1</v>
      </c>
      <c r="K203" s="156">
        <v>1</v>
      </c>
      <c r="L203" s="157">
        <v>2.625</v>
      </c>
      <c r="M203" s="219">
        <v>2</v>
      </c>
      <c r="N203" s="158">
        <v>3</v>
      </c>
    </row>
    <row r="204" spans="1:14" ht="16">
      <c r="A204" s="146" t="s">
        <v>1144</v>
      </c>
      <c r="B204" s="38" t="s">
        <v>83</v>
      </c>
      <c r="C204" s="149">
        <v>2</v>
      </c>
      <c r="D204" s="149">
        <v>2</v>
      </c>
      <c r="E204" s="149">
        <v>2</v>
      </c>
      <c r="F204" s="149">
        <v>3</v>
      </c>
      <c r="G204" s="218">
        <v>2</v>
      </c>
      <c r="H204" s="149">
        <v>2</v>
      </c>
      <c r="I204" s="155">
        <v>1</v>
      </c>
      <c r="J204" s="155">
        <v>1</v>
      </c>
      <c r="K204" s="156">
        <v>3</v>
      </c>
      <c r="L204" s="157">
        <v>1.5</v>
      </c>
      <c r="M204" s="219">
        <v>2</v>
      </c>
      <c r="N204" s="158">
        <v>3</v>
      </c>
    </row>
    <row r="205" spans="1:14" ht="16">
      <c r="A205" s="146" t="s">
        <v>1146</v>
      </c>
      <c r="B205" s="38" t="s">
        <v>160</v>
      </c>
      <c r="C205" s="149">
        <v>2</v>
      </c>
      <c r="D205" s="149">
        <v>2</v>
      </c>
      <c r="E205" s="149">
        <v>2</v>
      </c>
      <c r="F205" s="149">
        <v>3</v>
      </c>
      <c r="G205" s="218">
        <v>3</v>
      </c>
      <c r="H205" s="149">
        <v>1</v>
      </c>
      <c r="I205" s="155">
        <v>1</v>
      </c>
      <c r="J205" s="155">
        <v>1</v>
      </c>
      <c r="K205" s="156">
        <v>1</v>
      </c>
      <c r="L205" s="157">
        <v>2</v>
      </c>
      <c r="M205" s="219">
        <v>2</v>
      </c>
      <c r="N205" s="158">
        <v>3</v>
      </c>
    </row>
    <row r="206" spans="1:14" ht="16">
      <c r="A206" s="146" t="s">
        <v>1149</v>
      </c>
      <c r="B206" s="38" t="s">
        <v>83</v>
      </c>
      <c r="C206" s="149">
        <v>2</v>
      </c>
      <c r="D206" s="149">
        <v>2</v>
      </c>
      <c r="E206" s="149">
        <v>2</v>
      </c>
      <c r="F206" s="149">
        <v>3</v>
      </c>
      <c r="G206" s="218">
        <v>3</v>
      </c>
      <c r="H206" s="149">
        <v>2</v>
      </c>
      <c r="I206" s="155">
        <v>1</v>
      </c>
      <c r="J206" s="155">
        <v>1</v>
      </c>
      <c r="K206" s="156">
        <v>3</v>
      </c>
      <c r="L206" s="157">
        <v>1</v>
      </c>
      <c r="M206" s="219">
        <v>2</v>
      </c>
      <c r="N206" s="158">
        <v>3</v>
      </c>
    </row>
    <row r="207" spans="1:14" ht="16">
      <c r="A207" s="146" t="s">
        <v>1150</v>
      </c>
      <c r="B207" s="38" t="s">
        <v>1152</v>
      </c>
      <c r="C207" s="149">
        <v>2</v>
      </c>
      <c r="D207" s="149">
        <v>1</v>
      </c>
      <c r="E207" s="149">
        <v>1</v>
      </c>
      <c r="F207" s="149">
        <v>3</v>
      </c>
      <c r="G207" s="218">
        <v>1</v>
      </c>
      <c r="H207" s="149">
        <v>1</v>
      </c>
      <c r="I207" s="155">
        <v>1</v>
      </c>
      <c r="J207" s="155">
        <v>1</v>
      </c>
      <c r="K207" s="156">
        <v>2</v>
      </c>
      <c r="L207" s="157">
        <v>1.25</v>
      </c>
      <c r="M207" s="219">
        <v>2</v>
      </c>
      <c r="N207" s="158">
        <v>3</v>
      </c>
    </row>
    <row r="208" spans="1:14" ht="16">
      <c r="A208" s="146" t="s">
        <v>1156</v>
      </c>
      <c r="B208" s="38" t="s">
        <v>83</v>
      </c>
      <c r="C208" s="149">
        <v>2</v>
      </c>
      <c r="D208" s="149">
        <v>2</v>
      </c>
      <c r="E208" s="149">
        <v>2</v>
      </c>
      <c r="F208" s="149">
        <v>3</v>
      </c>
      <c r="G208" s="218">
        <v>2</v>
      </c>
      <c r="H208" s="149">
        <v>2</v>
      </c>
      <c r="I208" s="155">
        <v>2</v>
      </c>
      <c r="J208" s="155">
        <v>1</v>
      </c>
      <c r="K208" s="156">
        <v>2</v>
      </c>
      <c r="L208" s="157">
        <v>1.5</v>
      </c>
      <c r="M208" s="219">
        <v>2</v>
      </c>
      <c r="N208" s="158">
        <v>3</v>
      </c>
    </row>
    <row r="209" spans="1:14" ht="16">
      <c r="A209" s="146" t="s">
        <v>1159</v>
      </c>
      <c r="B209" s="38" t="s">
        <v>83</v>
      </c>
      <c r="C209" s="149">
        <v>2</v>
      </c>
      <c r="D209" s="149">
        <v>2</v>
      </c>
      <c r="E209" s="149">
        <v>2</v>
      </c>
      <c r="F209" s="149">
        <v>3</v>
      </c>
      <c r="G209" s="218">
        <v>3</v>
      </c>
      <c r="H209" s="149">
        <v>2</v>
      </c>
      <c r="I209" s="155">
        <v>1</v>
      </c>
      <c r="J209" s="155">
        <v>1</v>
      </c>
      <c r="K209" s="156">
        <v>2</v>
      </c>
      <c r="L209" s="157">
        <v>1.5</v>
      </c>
      <c r="M209" s="219">
        <v>2</v>
      </c>
      <c r="N209" s="158">
        <v>3</v>
      </c>
    </row>
    <row r="210" spans="1:14" ht="16">
      <c r="A210" s="146" t="s">
        <v>1165</v>
      </c>
      <c r="B210" s="38" t="s">
        <v>277</v>
      </c>
      <c r="C210" s="149">
        <v>2</v>
      </c>
      <c r="D210" s="149">
        <v>1</v>
      </c>
      <c r="E210" s="149">
        <v>2</v>
      </c>
      <c r="F210" s="149">
        <v>3</v>
      </c>
      <c r="G210" s="218">
        <v>3</v>
      </c>
      <c r="H210" s="149">
        <v>1</v>
      </c>
      <c r="I210" s="155">
        <v>2</v>
      </c>
      <c r="J210" s="155">
        <v>1</v>
      </c>
      <c r="K210" s="156">
        <v>2</v>
      </c>
      <c r="L210" s="157">
        <v>2</v>
      </c>
      <c r="M210" s="219">
        <v>2</v>
      </c>
      <c r="N210" s="158">
        <v>3</v>
      </c>
    </row>
    <row r="211" spans="1:14" ht="16">
      <c r="A211" s="146" t="s">
        <v>1170</v>
      </c>
      <c r="B211" s="38" t="s">
        <v>318</v>
      </c>
      <c r="C211" s="149">
        <v>2</v>
      </c>
      <c r="D211" s="149">
        <v>1</v>
      </c>
      <c r="E211" s="149">
        <v>1</v>
      </c>
      <c r="F211" s="149">
        <v>3</v>
      </c>
      <c r="G211" s="218">
        <v>3</v>
      </c>
      <c r="H211" s="149">
        <v>2</v>
      </c>
      <c r="I211" s="155">
        <v>1</v>
      </c>
      <c r="J211" s="155">
        <v>1</v>
      </c>
      <c r="K211" s="156">
        <v>1</v>
      </c>
      <c r="L211" s="157">
        <v>3</v>
      </c>
      <c r="M211" s="219">
        <v>2</v>
      </c>
      <c r="N211" s="158">
        <v>3</v>
      </c>
    </row>
    <row r="212" spans="1:14" ht="16">
      <c r="A212" s="146" t="s">
        <v>1173</v>
      </c>
      <c r="B212" s="38" t="s">
        <v>83</v>
      </c>
      <c r="C212" s="149">
        <v>3</v>
      </c>
      <c r="D212" s="149">
        <v>2</v>
      </c>
      <c r="E212" s="149">
        <v>3</v>
      </c>
      <c r="F212" s="149">
        <v>3</v>
      </c>
      <c r="G212" s="218">
        <v>2</v>
      </c>
      <c r="H212" s="149">
        <v>3</v>
      </c>
      <c r="I212" s="155">
        <v>2</v>
      </c>
      <c r="J212" s="155">
        <v>1</v>
      </c>
      <c r="K212" s="156">
        <v>2</v>
      </c>
      <c r="L212" s="157">
        <v>1.5</v>
      </c>
      <c r="M212" s="219">
        <v>2</v>
      </c>
      <c r="N212" s="158">
        <v>3</v>
      </c>
    </row>
    <row r="213" spans="1:14" ht="16">
      <c r="A213" s="146" t="s">
        <v>1177</v>
      </c>
      <c r="B213" s="38" t="s">
        <v>152</v>
      </c>
      <c r="C213" s="149">
        <v>2</v>
      </c>
      <c r="D213" s="149">
        <v>2</v>
      </c>
      <c r="E213" s="149">
        <v>2</v>
      </c>
      <c r="F213" s="149">
        <v>2</v>
      </c>
      <c r="G213" s="218">
        <v>3</v>
      </c>
      <c r="H213" s="149">
        <v>2</v>
      </c>
      <c r="I213" s="155">
        <v>3</v>
      </c>
      <c r="J213" s="155">
        <v>1</v>
      </c>
      <c r="K213" s="156">
        <v>1</v>
      </c>
      <c r="L213" s="157">
        <v>1.667</v>
      </c>
      <c r="M213" s="219">
        <v>2</v>
      </c>
      <c r="N213" s="158">
        <v>2</v>
      </c>
    </row>
    <row r="214" spans="1:14" ht="16">
      <c r="A214" s="146" t="s">
        <v>1179</v>
      </c>
      <c r="B214" s="38" t="s">
        <v>170</v>
      </c>
      <c r="C214" s="149">
        <v>2</v>
      </c>
      <c r="D214" s="149">
        <v>2</v>
      </c>
      <c r="E214" s="149">
        <v>3</v>
      </c>
      <c r="F214" s="149">
        <v>3</v>
      </c>
      <c r="G214" s="218">
        <v>3</v>
      </c>
      <c r="H214" s="149">
        <v>1</v>
      </c>
      <c r="I214" s="155">
        <v>2</v>
      </c>
      <c r="J214" s="155">
        <v>1</v>
      </c>
      <c r="K214" s="156">
        <v>3</v>
      </c>
      <c r="L214" s="157">
        <v>2</v>
      </c>
      <c r="M214" s="219">
        <v>2</v>
      </c>
      <c r="N214" s="158">
        <v>3</v>
      </c>
    </row>
    <row r="215" spans="1:14" ht="16">
      <c r="A215" s="146" t="s">
        <v>1182</v>
      </c>
      <c r="B215" s="38" t="s">
        <v>152</v>
      </c>
      <c r="C215" s="149">
        <v>2</v>
      </c>
      <c r="D215" s="149">
        <v>2</v>
      </c>
      <c r="E215" s="149">
        <v>2</v>
      </c>
      <c r="F215" s="149">
        <v>2</v>
      </c>
      <c r="G215" s="218">
        <v>3</v>
      </c>
      <c r="H215" s="149">
        <v>2</v>
      </c>
      <c r="I215" s="155">
        <v>3</v>
      </c>
      <c r="J215" s="155">
        <v>1</v>
      </c>
      <c r="K215" s="156">
        <v>2</v>
      </c>
      <c r="L215" s="157">
        <v>1.875</v>
      </c>
      <c r="M215" s="219">
        <v>2</v>
      </c>
      <c r="N215" s="158">
        <v>3</v>
      </c>
    </row>
    <row r="216" spans="1:14" ht="16">
      <c r="A216" s="146" t="s">
        <v>1185</v>
      </c>
      <c r="B216" s="38" t="s">
        <v>286</v>
      </c>
      <c r="C216" s="149">
        <v>3</v>
      </c>
      <c r="D216" s="149">
        <v>1</v>
      </c>
      <c r="E216" s="149">
        <v>2</v>
      </c>
      <c r="F216" s="149">
        <v>3</v>
      </c>
      <c r="G216" s="218">
        <v>3</v>
      </c>
      <c r="H216" s="149">
        <v>1</v>
      </c>
      <c r="I216" s="155">
        <v>1</v>
      </c>
      <c r="J216" s="155">
        <v>1</v>
      </c>
      <c r="K216" s="156">
        <v>2</v>
      </c>
      <c r="L216" s="157">
        <v>2</v>
      </c>
      <c r="M216" s="219">
        <v>2</v>
      </c>
      <c r="N216" s="158">
        <v>3</v>
      </c>
    </row>
    <row r="217" spans="1:14" ht="16">
      <c r="A217" s="146" t="s">
        <v>1188</v>
      </c>
      <c r="B217" s="38" t="s">
        <v>847</v>
      </c>
      <c r="C217" s="149">
        <v>2</v>
      </c>
      <c r="D217" s="149">
        <v>2</v>
      </c>
      <c r="E217" s="149">
        <v>2</v>
      </c>
      <c r="F217" s="149">
        <v>3</v>
      </c>
      <c r="G217" s="218">
        <v>1</v>
      </c>
      <c r="H217" s="149">
        <v>2</v>
      </c>
      <c r="I217" s="155">
        <v>2</v>
      </c>
      <c r="J217" s="155">
        <v>1</v>
      </c>
      <c r="K217" s="156">
        <v>2</v>
      </c>
      <c r="L217" s="157">
        <v>4</v>
      </c>
      <c r="M217" s="219">
        <v>2</v>
      </c>
      <c r="N217" s="158">
        <v>3</v>
      </c>
    </row>
    <row r="218" spans="1:14" ht="16">
      <c r="A218" s="146" t="s">
        <v>1195</v>
      </c>
      <c r="B218" s="38" t="s">
        <v>1141</v>
      </c>
      <c r="C218" s="149">
        <v>2</v>
      </c>
      <c r="D218" s="149">
        <v>1</v>
      </c>
      <c r="E218" s="149">
        <v>1</v>
      </c>
      <c r="F218" s="149">
        <v>3</v>
      </c>
      <c r="G218" s="218">
        <v>3</v>
      </c>
      <c r="H218" s="149">
        <v>1</v>
      </c>
      <c r="I218" s="155">
        <v>1</v>
      </c>
      <c r="J218" s="155">
        <v>1</v>
      </c>
      <c r="K218" s="156">
        <v>1</v>
      </c>
      <c r="L218" s="157">
        <v>2.625</v>
      </c>
      <c r="M218" s="219">
        <v>2</v>
      </c>
      <c r="N218" s="158">
        <v>3</v>
      </c>
    </row>
    <row r="219" spans="1:14" ht="16">
      <c r="A219" s="146" t="s">
        <v>1202</v>
      </c>
      <c r="B219" s="38" t="s">
        <v>286</v>
      </c>
      <c r="C219" s="149">
        <v>2</v>
      </c>
      <c r="D219" s="149">
        <v>1</v>
      </c>
      <c r="E219" s="149">
        <v>2</v>
      </c>
      <c r="F219" s="149">
        <v>3</v>
      </c>
      <c r="G219" s="218">
        <v>2</v>
      </c>
      <c r="H219" s="149">
        <v>1</v>
      </c>
      <c r="I219" s="155">
        <v>2</v>
      </c>
      <c r="J219" s="155">
        <v>3</v>
      </c>
      <c r="K219" s="156">
        <v>2</v>
      </c>
      <c r="L219" s="157">
        <v>2</v>
      </c>
      <c r="M219" s="219">
        <v>2</v>
      </c>
      <c r="N219" s="158">
        <v>3</v>
      </c>
    </row>
    <row r="220" spans="1:14" ht="16">
      <c r="A220" s="146" t="s">
        <v>1205</v>
      </c>
      <c r="B220" s="38" t="s">
        <v>177</v>
      </c>
      <c r="C220" s="149">
        <v>1</v>
      </c>
      <c r="D220" s="149">
        <v>1</v>
      </c>
      <c r="E220" s="149">
        <v>3</v>
      </c>
      <c r="F220" s="149">
        <v>3</v>
      </c>
      <c r="G220" s="218">
        <v>3</v>
      </c>
      <c r="H220" s="149">
        <v>1</v>
      </c>
      <c r="I220" s="155">
        <v>2</v>
      </c>
      <c r="J220" s="155">
        <v>1</v>
      </c>
      <c r="K220" s="156">
        <v>1</v>
      </c>
      <c r="L220" s="157">
        <v>1.875</v>
      </c>
      <c r="M220" s="219">
        <v>2</v>
      </c>
      <c r="N220" s="158">
        <v>3</v>
      </c>
    </row>
    <row r="221" spans="1:14" ht="16">
      <c r="A221" s="146" t="s">
        <v>1209</v>
      </c>
      <c r="B221" s="38" t="s">
        <v>83</v>
      </c>
      <c r="C221" s="149">
        <v>2</v>
      </c>
      <c r="D221" s="149">
        <v>2</v>
      </c>
      <c r="E221" s="149">
        <v>2</v>
      </c>
      <c r="F221" s="149">
        <v>3</v>
      </c>
      <c r="G221" s="218">
        <v>2</v>
      </c>
      <c r="H221" s="149">
        <v>2</v>
      </c>
      <c r="I221" s="155">
        <v>1</v>
      </c>
      <c r="J221" s="155">
        <v>1</v>
      </c>
      <c r="K221" s="156">
        <v>3</v>
      </c>
      <c r="L221" s="157">
        <v>2</v>
      </c>
      <c r="M221" s="219">
        <v>2</v>
      </c>
      <c r="N221" s="158">
        <v>3</v>
      </c>
    </row>
    <row r="222" spans="1:14" ht="16">
      <c r="A222" s="146" t="s">
        <v>1211</v>
      </c>
      <c r="B222" s="38" t="s">
        <v>152</v>
      </c>
      <c r="C222" s="149">
        <v>2</v>
      </c>
      <c r="D222" s="149">
        <v>1</v>
      </c>
      <c r="E222" s="149">
        <v>2</v>
      </c>
      <c r="F222" s="149">
        <v>2</v>
      </c>
      <c r="G222" s="218">
        <v>3</v>
      </c>
      <c r="H222" s="149">
        <v>1</v>
      </c>
      <c r="I222" s="155">
        <v>1</v>
      </c>
      <c r="J222" s="155">
        <v>1</v>
      </c>
      <c r="K222" s="156">
        <v>2</v>
      </c>
      <c r="L222" s="157">
        <v>2</v>
      </c>
      <c r="M222" s="219">
        <v>2</v>
      </c>
      <c r="N222" s="158">
        <v>3</v>
      </c>
    </row>
    <row r="223" spans="1:14" ht="16">
      <c r="A223" s="146" t="s">
        <v>1216</v>
      </c>
      <c r="B223" s="38" t="s">
        <v>152</v>
      </c>
      <c r="C223" s="149">
        <v>2</v>
      </c>
      <c r="D223" s="149">
        <v>2</v>
      </c>
      <c r="E223" s="149">
        <v>2</v>
      </c>
      <c r="F223" s="149">
        <v>2</v>
      </c>
      <c r="G223" s="218">
        <v>3</v>
      </c>
      <c r="H223" s="149">
        <v>2</v>
      </c>
      <c r="I223" s="155">
        <v>1</v>
      </c>
      <c r="J223" s="155">
        <v>1</v>
      </c>
      <c r="K223" s="156">
        <v>2</v>
      </c>
      <c r="L223" s="157">
        <v>2.625</v>
      </c>
      <c r="M223" s="219">
        <v>2</v>
      </c>
      <c r="N223" s="158">
        <v>3</v>
      </c>
    </row>
    <row r="224" spans="1:14" ht="16">
      <c r="A224" s="146" t="s">
        <v>1222</v>
      </c>
      <c r="B224" s="38" t="s">
        <v>184</v>
      </c>
      <c r="C224" s="149">
        <v>2</v>
      </c>
      <c r="D224" s="149">
        <v>2</v>
      </c>
      <c r="E224" s="149">
        <v>2</v>
      </c>
      <c r="F224" s="149">
        <v>3</v>
      </c>
      <c r="G224" s="218">
        <v>3</v>
      </c>
      <c r="H224" s="149">
        <v>1</v>
      </c>
      <c r="I224" s="155">
        <v>2</v>
      </c>
      <c r="J224" s="155">
        <v>1</v>
      </c>
      <c r="K224" s="156">
        <v>1</v>
      </c>
      <c r="L224" s="157">
        <v>1.625</v>
      </c>
      <c r="M224" s="219">
        <v>2</v>
      </c>
      <c r="N224" s="158">
        <v>3</v>
      </c>
    </row>
    <row r="225" spans="1:14" ht="16">
      <c r="A225" s="146" t="s">
        <v>341</v>
      </c>
      <c r="B225" s="38" t="s">
        <v>336</v>
      </c>
      <c r="C225" s="149">
        <v>2</v>
      </c>
      <c r="D225" s="149">
        <v>1</v>
      </c>
      <c r="E225" s="149">
        <v>2</v>
      </c>
      <c r="F225" s="149">
        <v>3</v>
      </c>
      <c r="G225" s="218">
        <v>1</v>
      </c>
      <c r="H225" s="149">
        <v>1</v>
      </c>
      <c r="I225" s="155">
        <v>1</v>
      </c>
      <c r="J225" s="155">
        <v>1</v>
      </c>
      <c r="K225" s="156">
        <v>2</v>
      </c>
      <c r="L225" s="157">
        <v>2</v>
      </c>
      <c r="M225" s="219">
        <v>2</v>
      </c>
      <c r="N225" s="158">
        <v>3</v>
      </c>
    </row>
    <row r="226" spans="1:14" ht="16">
      <c r="A226" s="146" t="s">
        <v>1228</v>
      </c>
      <c r="B226" s="38" t="s">
        <v>1231</v>
      </c>
      <c r="C226" s="149">
        <v>2</v>
      </c>
      <c r="D226" s="149">
        <v>1</v>
      </c>
      <c r="E226" s="149">
        <v>2</v>
      </c>
      <c r="F226" s="149">
        <v>3</v>
      </c>
      <c r="G226" s="218">
        <v>3</v>
      </c>
      <c r="H226" s="149">
        <v>1</v>
      </c>
      <c r="I226" s="155">
        <v>1</v>
      </c>
      <c r="J226" s="155">
        <v>1</v>
      </c>
      <c r="K226" s="156">
        <v>3</v>
      </c>
      <c r="L226" s="157">
        <v>2</v>
      </c>
      <c r="M226" s="219">
        <v>2</v>
      </c>
      <c r="N226" s="158">
        <v>3</v>
      </c>
    </row>
    <row r="227" spans="1:14" ht="16">
      <c r="A227" s="146" t="s">
        <v>1234</v>
      </c>
      <c r="B227" s="38" t="s">
        <v>152</v>
      </c>
      <c r="C227" s="149">
        <v>2</v>
      </c>
      <c r="D227" s="149">
        <v>2</v>
      </c>
      <c r="E227" s="149">
        <v>2</v>
      </c>
      <c r="F227" s="149">
        <v>2</v>
      </c>
      <c r="G227" s="218">
        <v>3</v>
      </c>
      <c r="H227" s="149">
        <v>2</v>
      </c>
      <c r="I227" s="155">
        <v>3</v>
      </c>
      <c r="J227" s="155">
        <v>1</v>
      </c>
      <c r="K227" s="156">
        <v>2</v>
      </c>
      <c r="L227" s="157">
        <v>1.833</v>
      </c>
      <c r="M227" s="219">
        <v>2</v>
      </c>
      <c r="N227" s="158">
        <v>2</v>
      </c>
    </row>
    <row r="228" spans="1:14" ht="16">
      <c r="A228" s="146" t="s">
        <v>1237</v>
      </c>
      <c r="B228" s="38" t="s">
        <v>1240</v>
      </c>
      <c r="C228" s="149">
        <v>1</v>
      </c>
      <c r="D228" s="149">
        <v>1</v>
      </c>
      <c r="E228" s="149">
        <v>1</v>
      </c>
      <c r="F228" s="149">
        <v>3</v>
      </c>
      <c r="G228" s="218">
        <v>3</v>
      </c>
      <c r="H228" s="149">
        <v>1</v>
      </c>
      <c r="I228" s="155">
        <v>2</v>
      </c>
      <c r="J228" s="155">
        <v>1</v>
      </c>
      <c r="K228" s="156">
        <v>1</v>
      </c>
      <c r="L228" s="157">
        <v>2</v>
      </c>
      <c r="M228" s="219">
        <v>2</v>
      </c>
      <c r="N228" s="158">
        <v>3</v>
      </c>
    </row>
    <row r="229" spans="1:14" ht="16">
      <c r="A229" s="146" t="s">
        <v>1243</v>
      </c>
      <c r="B229" s="38" t="s">
        <v>318</v>
      </c>
      <c r="C229" s="149">
        <v>2</v>
      </c>
      <c r="D229" s="149">
        <v>2</v>
      </c>
      <c r="E229" s="149">
        <v>1</v>
      </c>
      <c r="F229" s="149">
        <v>3</v>
      </c>
      <c r="G229" s="218">
        <v>3</v>
      </c>
      <c r="H229" s="149">
        <v>1</v>
      </c>
      <c r="I229" s="155">
        <v>2</v>
      </c>
      <c r="J229" s="155">
        <v>1</v>
      </c>
      <c r="K229" s="156">
        <v>2</v>
      </c>
      <c r="L229" s="157">
        <v>2.25</v>
      </c>
      <c r="M229" s="219">
        <v>2</v>
      </c>
      <c r="N229" s="158">
        <v>3</v>
      </c>
    </row>
    <row r="230" spans="1:14" ht="16">
      <c r="A230" s="146" t="s">
        <v>1246</v>
      </c>
      <c r="B230" s="38" t="s">
        <v>1249</v>
      </c>
      <c r="C230" s="149">
        <v>2</v>
      </c>
      <c r="D230" s="149">
        <v>1</v>
      </c>
      <c r="E230" s="149">
        <v>1</v>
      </c>
      <c r="F230" s="149">
        <v>3</v>
      </c>
      <c r="G230" s="218">
        <v>1</v>
      </c>
      <c r="H230" s="149">
        <v>3</v>
      </c>
      <c r="I230" s="155">
        <v>1</v>
      </c>
      <c r="J230" s="155">
        <v>1</v>
      </c>
      <c r="K230" s="156">
        <v>1</v>
      </c>
      <c r="L230" s="157">
        <v>3.3330000000000002</v>
      </c>
      <c r="M230" s="219">
        <v>2</v>
      </c>
      <c r="N230" s="158">
        <v>3</v>
      </c>
    </row>
    <row r="231" spans="1:14" ht="16">
      <c r="A231" s="146" t="s">
        <v>1253</v>
      </c>
      <c r="B231" s="38" t="s">
        <v>1256</v>
      </c>
      <c r="C231" s="149">
        <v>3</v>
      </c>
      <c r="D231" s="149">
        <v>2</v>
      </c>
      <c r="E231" s="149">
        <v>2</v>
      </c>
      <c r="F231" s="149">
        <v>2</v>
      </c>
      <c r="G231" s="218">
        <v>3</v>
      </c>
      <c r="H231" s="149">
        <v>1</v>
      </c>
      <c r="I231" s="155">
        <v>2</v>
      </c>
      <c r="J231" s="155">
        <v>1</v>
      </c>
      <c r="K231" s="156">
        <v>1</v>
      </c>
      <c r="L231" s="157">
        <v>2.25</v>
      </c>
      <c r="M231" s="219">
        <v>2</v>
      </c>
      <c r="N231" s="158">
        <v>3</v>
      </c>
    </row>
    <row r="232" spans="1:14" ht="16">
      <c r="A232" s="146" t="s">
        <v>1262</v>
      </c>
      <c r="B232" s="38" t="s">
        <v>152</v>
      </c>
      <c r="C232" s="149">
        <v>3</v>
      </c>
      <c r="D232" s="149">
        <v>2</v>
      </c>
      <c r="E232" s="149">
        <v>2</v>
      </c>
      <c r="F232" s="149">
        <v>2</v>
      </c>
      <c r="G232" s="218">
        <v>3</v>
      </c>
      <c r="H232" s="149">
        <v>1</v>
      </c>
      <c r="I232" s="155">
        <v>1</v>
      </c>
      <c r="J232" s="155">
        <v>1</v>
      </c>
      <c r="K232" s="156">
        <v>1</v>
      </c>
      <c r="L232" s="157">
        <v>1.667</v>
      </c>
      <c r="M232" s="219">
        <v>2</v>
      </c>
      <c r="N232" s="158">
        <v>3</v>
      </c>
    </row>
    <row r="233" spans="1:14" ht="16">
      <c r="A233" s="146" t="s">
        <v>1443</v>
      </c>
      <c r="B233" s="38" t="s">
        <v>83</v>
      </c>
      <c r="C233" s="149">
        <v>2</v>
      </c>
      <c r="D233" s="149">
        <v>2</v>
      </c>
      <c r="E233" s="149">
        <v>3</v>
      </c>
      <c r="F233" s="149">
        <v>3</v>
      </c>
      <c r="G233" s="218">
        <v>3</v>
      </c>
      <c r="H233" s="149">
        <v>2</v>
      </c>
      <c r="I233" s="155">
        <v>1</v>
      </c>
      <c r="J233" s="155">
        <v>1</v>
      </c>
      <c r="K233" s="159">
        <v>2</v>
      </c>
      <c r="L233" s="157">
        <v>1.667</v>
      </c>
      <c r="M233" s="219">
        <v>2</v>
      </c>
      <c r="N233" s="158">
        <v>3</v>
      </c>
    </row>
    <row r="234" spans="1:14" ht="16">
      <c r="A234" s="146" t="s">
        <v>1267</v>
      </c>
      <c r="B234" s="38" t="s">
        <v>184</v>
      </c>
      <c r="C234" s="149">
        <v>2</v>
      </c>
      <c r="D234" s="149">
        <v>1</v>
      </c>
      <c r="E234" s="149">
        <v>2</v>
      </c>
      <c r="F234" s="149">
        <v>3</v>
      </c>
      <c r="G234" s="218">
        <v>3</v>
      </c>
      <c r="H234" s="149">
        <v>2</v>
      </c>
      <c r="I234" s="155">
        <v>1</v>
      </c>
      <c r="J234" s="155">
        <v>1</v>
      </c>
      <c r="K234" s="156">
        <v>2</v>
      </c>
      <c r="L234" s="157">
        <v>2.25</v>
      </c>
      <c r="M234" s="219">
        <v>2</v>
      </c>
      <c r="N234" s="158">
        <v>3</v>
      </c>
    </row>
    <row r="235" spans="1:14" ht="16">
      <c r="A235" s="146" t="s">
        <v>1270</v>
      </c>
      <c r="B235" s="38" t="s">
        <v>83</v>
      </c>
      <c r="C235" s="149">
        <v>2</v>
      </c>
      <c r="D235" s="149">
        <v>1</v>
      </c>
      <c r="E235" s="149">
        <v>3</v>
      </c>
      <c r="F235" s="149">
        <v>3</v>
      </c>
      <c r="G235" s="218">
        <v>3</v>
      </c>
      <c r="H235" s="149">
        <v>2</v>
      </c>
      <c r="I235" s="155">
        <v>2</v>
      </c>
      <c r="J235" s="158">
        <v>1</v>
      </c>
      <c r="K235" s="156">
        <v>2</v>
      </c>
      <c r="L235" s="157">
        <v>1.875</v>
      </c>
      <c r="M235" s="219">
        <v>2</v>
      </c>
      <c r="N235" s="158">
        <v>3</v>
      </c>
    </row>
    <row r="236" spans="1:14" ht="16">
      <c r="A236" s="146" t="s">
        <v>1273</v>
      </c>
      <c r="B236" s="38" t="s">
        <v>160</v>
      </c>
      <c r="C236" s="149">
        <v>2</v>
      </c>
      <c r="D236" s="149">
        <v>1</v>
      </c>
      <c r="E236" s="149">
        <v>2</v>
      </c>
      <c r="F236" s="149">
        <v>3</v>
      </c>
      <c r="G236" s="218">
        <v>3</v>
      </c>
      <c r="H236" s="149">
        <v>2</v>
      </c>
      <c r="I236" s="155">
        <v>2</v>
      </c>
      <c r="J236" s="158">
        <v>3</v>
      </c>
      <c r="K236" s="156">
        <v>2</v>
      </c>
      <c r="L236" s="157">
        <v>2.3330000000000002</v>
      </c>
      <c r="M236" s="219">
        <v>2</v>
      </c>
      <c r="N236" s="158">
        <v>3</v>
      </c>
    </row>
    <row r="237" spans="1:14" ht="16">
      <c r="A237" s="146" t="s">
        <v>1276</v>
      </c>
      <c r="B237" s="38" t="s">
        <v>110</v>
      </c>
      <c r="C237" s="149">
        <v>2</v>
      </c>
      <c r="D237" s="149">
        <v>2</v>
      </c>
      <c r="E237" s="149">
        <v>2</v>
      </c>
      <c r="F237" s="149">
        <v>3</v>
      </c>
      <c r="G237" s="218">
        <v>2</v>
      </c>
      <c r="H237" s="149">
        <v>2</v>
      </c>
      <c r="I237" s="155">
        <v>1</v>
      </c>
      <c r="J237" s="158">
        <v>1</v>
      </c>
      <c r="K237" s="156">
        <v>2</v>
      </c>
      <c r="L237" s="157">
        <v>1.333</v>
      </c>
      <c r="M237" s="219">
        <v>2</v>
      </c>
      <c r="N237" s="158">
        <v>3</v>
      </c>
    </row>
    <row r="238" spans="1:14" ht="16">
      <c r="A238" s="146" t="s">
        <v>1284</v>
      </c>
      <c r="B238" s="38" t="s">
        <v>83</v>
      </c>
      <c r="C238" s="149">
        <v>2</v>
      </c>
      <c r="D238" s="149">
        <v>1</v>
      </c>
      <c r="E238" s="149">
        <v>2</v>
      </c>
      <c r="F238" s="149">
        <v>3</v>
      </c>
      <c r="G238" s="218">
        <v>3</v>
      </c>
      <c r="H238" s="149">
        <v>2</v>
      </c>
      <c r="I238" s="155">
        <v>1</v>
      </c>
      <c r="J238" s="158">
        <v>1</v>
      </c>
      <c r="K238" s="156">
        <v>3</v>
      </c>
      <c r="L238" s="157">
        <v>3</v>
      </c>
      <c r="M238" s="219">
        <v>2</v>
      </c>
      <c r="N238" s="158">
        <v>3</v>
      </c>
    </row>
    <row r="239" spans="1:14" ht="16">
      <c r="A239" s="146" t="s">
        <v>1288</v>
      </c>
      <c r="B239" s="38" t="s">
        <v>819</v>
      </c>
      <c r="C239" s="149">
        <v>3</v>
      </c>
      <c r="D239" s="149">
        <v>2</v>
      </c>
      <c r="E239" s="149">
        <v>2</v>
      </c>
      <c r="F239" s="149">
        <v>3</v>
      </c>
      <c r="G239" s="218">
        <v>3</v>
      </c>
      <c r="H239" s="149">
        <v>2</v>
      </c>
      <c r="I239" s="155">
        <v>1</v>
      </c>
      <c r="J239" s="158">
        <v>1</v>
      </c>
      <c r="K239" s="156">
        <v>1</v>
      </c>
      <c r="L239" s="157">
        <v>2.5</v>
      </c>
      <c r="M239" s="219">
        <v>2</v>
      </c>
      <c r="N239" s="158">
        <v>3</v>
      </c>
    </row>
    <row r="240" spans="1:14" ht="16">
      <c r="A240" s="146" t="s">
        <v>1291</v>
      </c>
      <c r="B240" s="38" t="s">
        <v>160</v>
      </c>
      <c r="C240" s="149">
        <v>2</v>
      </c>
      <c r="D240" s="149">
        <v>3</v>
      </c>
      <c r="E240" s="149">
        <v>2</v>
      </c>
      <c r="F240" s="149">
        <v>3</v>
      </c>
      <c r="G240" s="218">
        <v>3</v>
      </c>
      <c r="H240" s="149">
        <v>2</v>
      </c>
      <c r="I240" s="155">
        <v>2</v>
      </c>
      <c r="J240" s="158">
        <v>1</v>
      </c>
      <c r="K240" s="156">
        <v>1</v>
      </c>
      <c r="L240" s="157">
        <v>2</v>
      </c>
      <c r="M240" s="219">
        <v>2</v>
      </c>
      <c r="N240" s="158">
        <v>3</v>
      </c>
    </row>
    <row r="241" spans="1:14" ht="16">
      <c r="A241" s="146" t="s">
        <v>1296</v>
      </c>
      <c r="B241" s="38" t="s">
        <v>372</v>
      </c>
      <c r="C241" s="149">
        <v>2</v>
      </c>
      <c r="D241" s="149">
        <v>2</v>
      </c>
      <c r="E241" s="149">
        <v>2</v>
      </c>
      <c r="F241" s="149">
        <v>3</v>
      </c>
      <c r="G241" s="218">
        <v>3</v>
      </c>
      <c r="H241" s="149">
        <v>1</v>
      </c>
      <c r="I241" s="155">
        <v>1</v>
      </c>
      <c r="J241" s="158">
        <v>1</v>
      </c>
      <c r="K241" s="156">
        <v>2</v>
      </c>
      <c r="L241" s="157">
        <v>2</v>
      </c>
      <c r="M241" s="219">
        <v>2</v>
      </c>
      <c r="N241" s="158">
        <v>2</v>
      </c>
    </row>
    <row r="242" spans="1:14" ht="16">
      <c r="A242" s="146" t="s">
        <v>1300</v>
      </c>
      <c r="B242" s="38" t="s">
        <v>83</v>
      </c>
      <c r="C242" s="149">
        <v>2</v>
      </c>
      <c r="D242" s="149">
        <v>1</v>
      </c>
      <c r="E242" s="149">
        <v>3</v>
      </c>
      <c r="F242" s="149">
        <v>3</v>
      </c>
      <c r="G242" s="218">
        <v>3</v>
      </c>
      <c r="H242" s="149">
        <v>2</v>
      </c>
      <c r="I242" s="155">
        <v>2</v>
      </c>
      <c r="J242" s="158">
        <v>1</v>
      </c>
      <c r="K242" s="156">
        <v>3</v>
      </c>
      <c r="L242" s="157">
        <v>3</v>
      </c>
      <c r="M242" s="219">
        <v>2</v>
      </c>
      <c r="N242" s="158">
        <v>3</v>
      </c>
    </row>
    <row r="243" spans="1:14" ht="16">
      <c r="A243" s="146" t="s">
        <v>1303</v>
      </c>
      <c r="B243" s="38" t="s">
        <v>819</v>
      </c>
      <c r="C243" s="149">
        <v>2</v>
      </c>
      <c r="D243" s="149">
        <v>1</v>
      </c>
      <c r="E243" s="149">
        <v>2</v>
      </c>
      <c r="F243" s="149">
        <v>3</v>
      </c>
      <c r="G243" s="218">
        <v>3</v>
      </c>
      <c r="H243" s="149">
        <v>2</v>
      </c>
      <c r="I243" s="155">
        <v>1</v>
      </c>
      <c r="J243" s="158">
        <v>1</v>
      </c>
      <c r="K243" s="156">
        <v>2</v>
      </c>
      <c r="L243" s="157">
        <v>1</v>
      </c>
      <c r="M243" s="219">
        <v>2</v>
      </c>
      <c r="N243" s="158">
        <v>3</v>
      </c>
    </row>
    <row r="244" spans="1:14" ht="16">
      <c r="A244" s="146" t="s">
        <v>1309</v>
      </c>
      <c r="B244" s="38" t="s">
        <v>1447</v>
      </c>
      <c r="C244" s="149">
        <v>1</v>
      </c>
      <c r="D244" s="149">
        <v>1</v>
      </c>
      <c r="E244" s="149">
        <v>3</v>
      </c>
      <c r="F244" s="149">
        <v>3</v>
      </c>
      <c r="G244" s="218">
        <v>3</v>
      </c>
      <c r="H244" s="149">
        <v>1</v>
      </c>
      <c r="I244" s="155">
        <v>3</v>
      </c>
      <c r="J244" s="158">
        <v>1</v>
      </c>
      <c r="K244" s="156">
        <v>2</v>
      </c>
      <c r="L244" s="157">
        <v>2</v>
      </c>
      <c r="M244" s="219">
        <v>2</v>
      </c>
      <c r="N244" s="158">
        <v>3</v>
      </c>
    </row>
    <row r="245" spans="1:14" ht="16">
      <c r="A245" s="146" t="s">
        <v>1313</v>
      </c>
      <c r="B245" s="38" t="s">
        <v>110</v>
      </c>
      <c r="C245" s="149">
        <v>3</v>
      </c>
      <c r="D245" s="149">
        <v>2</v>
      </c>
      <c r="E245" s="149">
        <v>2</v>
      </c>
      <c r="F245" s="149">
        <v>3</v>
      </c>
      <c r="G245" s="218">
        <v>2</v>
      </c>
      <c r="H245" s="149">
        <v>1</v>
      </c>
      <c r="I245" s="155">
        <v>1</v>
      </c>
      <c r="J245" s="158">
        <v>1</v>
      </c>
      <c r="K245" s="156">
        <v>1</v>
      </c>
      <c r="L245" s="157">
        <v>1.333</v>
      </c>
      <c r="M245" s="219">
        <v>2</v>
      </c>
      <c r="N245" s="158">
        <v>3</v>
      </c>
    </row>
    <row r="246" spans="1:14" ht="16">
      <c r="A246" s="146" t="s">
        <v>1317</v>
      </c>
      <c r="B246" s="38" t="s">
        <v>177</v>
      </c>
      <c r="C246" s="149">
        <v>2</v>
      </c>
      <c r="D246" s="149">
        <v>1</v>
      </c>
      <c r="E246" s="149">
        <v>3</v>
      </c>
      <c r="F246" s="149">
        <v>3</v>
      </c>
      <c r="G246" s="218">
        <v>3</v>
      </c>
      <c r="H246" s="149">
        <v>1</v>
      </c>
      <c r="I246" s="155">
        <v>1</v>
      </c>
      <c r="J246" s="158">
        <v>3</v>
      </c>
      <c r="K246" s="156">
        <v>1</v>
      </c>
      <c r="L246" s="157">
        <v>2.3330000000000002</v>
      </c>
      <c r="M246" s="219">
        <v>2</v>
      </c>
      <c r="N246" s="158">
        <v>3</v>
      </c>
    </row>
    <row r="247" spans="1:14" ht="16">
      <c r="A247" s="146" t="s">
        <v>1450</v>
      </c>
      <c r="B247" s="38" t="s">
        <v>184</v>
      </c>
      <c r="C247" s="149">
        <v>2</v>
      </c>
      <c r="D247" s="149">
        <v>3</v>
      </c>
      <c r="E247" s="149">
        <v>2</v>
      </c>
      <c r="F247" s="149">
        <v>3</v>
      </c>
      <c r="G247" s="218">
        <v>3</v>
      </c>
      <c r="H247" s="149">
        <v>1</v>
      </c>
      <c r="I247" s="155">
        <v>2</v>
      </c>
      <c r="J247" s="158">
        <v>1</v>
      </c>
      <c r="K247" s="156">
        <v>2</v>
      </c>
      <c r="L247" s="157">
        <v>2</v>
      </c>
      <c r="M247" s="219">
        <v>2</v>
      </c>
      <c r="N247" s="158">
        <v>3</v>
      </c>
    </row>
    <row r="248" spans="1:14" ht="16">
      <c r="A248" s="146" t="s">
        <v>1325</v>
      </c>
      <c r="B248" s="38" t="s">
        <v>170</v>
      </c>
      <c r="C248" s="149">
        <v>2</v>
      </c>
      <c r="D248" s="149">
        <v>2</v>
      </c>
      <c r="E248" s="149">
        <v>2</v>
      </c>
      <c r="F248" s="149">
        <v>3</v>
      </c>
      <c r="G248" s="218">
        <v>2</v>
      </c>
      <c r="H248" s="149">
        <v>2</v>
      </c>
      <c r="I248" s="155">
        <v>1</v>
      </c>
      <c r="J248" s="158">
        <v>1</v>
      </c>
      <c r="K248" s="156">
        <v>2</v>
      </c>
      <c r="L248" s="157">
        <v>2</v>
      </c>
      <c r="M248" s="219">
        <v>2</v>
      </c>
      <c r="N248" s="158">
        <v>3</v>
      </c>
    </row>
    <row r="249" spans="1:14" ht="16">
      <c r="A249" s="146" t="s">
        <v>1330</v>
      </c>
      <c r="B249" s="38" t="s">
        <v>152</v>
      </c>
      <c r="C249" s="149">
        <v>2</v>
      </c>
      <c r="D249" s="149">
        <v>2</v>
      </c>
      <c r="E249" s="149">
        <v>2</v>
      </c>
      <c r="F249" s="149">
        <v>2</v>
      </c>
      <c r="G249" s="218">
        <v>3</v>
      </c>
      <c r="H249" s="149">
        <v>2</v>
      </c>
      <c r="I249" s="155">
        <v>2</v>
      </c>
      <c r="J249" s="158">
        <v>1</v>
      </c>
      <c r="K249" s="156">
        <v>2</v>
      </c>
      <c r="L249" s="157">
        <v>1.667</v>
      </c>
      <c r="M249" s="219">
        <v>2</v>
      </c>
      <c r="N249" s="158">
        <v>2</v>
      </c>
    </row>
    <row r="250" spans="1:14" ht="16">
      <c r="A250" s="146" t="s">
        <v>1331</v>
      </c>
      <c r="B250" s="38" t="s">
        <v>847</v>
      </c>
      <c r="C250" s="149">
        <v>2</v>
      </c>
      <c r="D250" s="149">
        <v>1</v>
      </c>
      <c r="E250" s="149">
        <v>2</v>
      </c>
      <c r="F250" s="149">
        <v>3</v>
      </c>
      <c r="G250" s="218">
        <v>1</v>
      </c>
      <c r="H250" s="149">
        <v>2</v>
      </c>
      <c r="I250" s="155">
        <v>1</v>
      </c>
      <c r="J250" s="158">
        <v>1</v>
      </c>
      <c r="K250" s="156">
        <v>2</v>
      </c>
      <c r="L250" s="157">
        <v>2.3330000000000002</v>
      </c>
      <c r="M250" s="219">
        <v>2</v>
      </c>
      <c r="N250" s="158">
        <v>3</v>
      </c>
    </row>
    <row r="251" spans="1:14" ht="16">
      <c r="A251" s="146" t="s">
        <v>1336</v>
      </c>
      <c r="B251" s="38" t="s">
        <v>83</v>
      </c>
      <c r="C251" s="149">
        <v>2</v>
      </c>
      <c r="D251" s="149">
        <v>2</v>
      </c>
      <c r="E251" s="149">
        <v>2</v>
      </c>
      <c r="F251" s="149">
        <v>3</v>
      </c>
      <c r="G251" s="218">
        <v>2</v>
      </c>
      <c r="H251" s="149">
        <v>3</v>
      </c>
      <c r="I251" s="155">
        <v>3</v>
      </c>
      <c r="J251" s="158">
        <v>1</v>
      </c>
      <c r="K251" s="156">
        <v>2</v>
      </c>
      <c r="L251" s="157">
        <v>1.5</v>
      </c>
      <c r="M251" s="219">
        <v>2</v>
      </c>
      <c r="N251" s="158">
        <v>3</v>
      </c>
    </row>
    <row r="252" spans="1:14" ht="16">
      <c r="A252" s="146" t="s">
        <v>1340</v>
      </c>
      <c r="B252" s="38" t="s">
        <v>83</v>
      </c>
      <c r="C252" s="149">
        <v>3</v>
      </c>
      <c r="D252" s="149">
        <v>2</v>
      </c>
      <c r="E252" s="149">
        <v>2</v>
      </c>
      <c r="F252" s="149">
        <v>3</v>
      </c>
      <c r="G252" s="218">
        <v>2</v>
      </c>
      <c r="H252" s="149">
        <v>2</v>
      </c>
      <c r="I252" s="155">
        <v>2</v>
      </c>
      <c r="J252" s="158">
        <v>1</v>
      </c>
      <c r="K252" s="156">
        <v>2</v>
      </c>
      <c r="L252" s="157">
        <v>1.667</v>
      </c>
      <c r="M252" s="219">
        <v>2</v>
      </c>
      <c r="N252" s="158">
        <v>3</v>
      </c>
    </row>
    <row r="253" spans="1:14" ht="16">
      <c r="A253" s="146" t="s">
        <v>1345</v>
      </c>
      <c r="B253" s="38" t="s">
        <v>310</v>
      </c>
      <c r="C253" s="149">
        <v>1</v>
      </c>
      <c r="D253" s="149">
        <v>1</v>
      </c>
      <c r="E253" s="149">
        <v>1</v>
      </c>
      <c r="F253" s="149">
        <v>3</v>
      </c>
      <c r="G253" s="218">
        <v>1</v>
      </c>
      <c r="H253" s="149">
        <v>1</v>
      </c>
      <c r="I253" s="155">
        <v>1</v>
      </c>
      <c r="J253" s="158">
        <v>1</v>
      </c>
      <c r="K253" s="156">
        <v>2</v>
      </c>
      <c r="L253" s="157">
        <v>2.25</v>
      </c>
      <c r="M253" s="219">
        <v>2</v>
      </c>
      <c r="N253" s="158">
        <v>3</v>
      </c>
    </row>
    <row r="254" spans="1:14" ht="16">
      <c r="A254" s="146" t="s">
        <v>1352</v>
      </c>
      <c r="B254" s="38" t="s">
        <v>152</v>
      </c>
      <c r="C254" s="149">
        <v>2</v>
      </c>
      <c r="D254" s="149">
        <v>2</v>
      </c>
      <c r="E254" s="149">
        <v>2</v>
      </c>
      <c r="F254" s="149">
        <v>2</v>
      </c>
      <c r="G254" s="218">
        <v>3</v>
      </c>
      <c r="H254" s="149">
        <v>2</v>
      </c>
      <c r="I254" s="155">
        <v>1</v>
      </c>
      <c r="J254" s="158">
        <v>1</v>
      </c>
      <c r="K254" s="156">
        <v>2</v>
      </c>
      <c r="L254" s="157">
        <v>2.75</v>
      </c>
      <c r="M254" s="219">
        <v>2</v>
      </c>
      <c r="N254" s="158">
        <v>3</v>
      </c>
    </row>
    <row r="255" spans="1:14" ht="16">
      <c r="A255" s="146" t="s">
        <v>1357</v>
      </c>
      <c r="B255" s="38" t="s">
        <v>152</v>
      </c>
      <c r="C255" s="149">
        <v>2</v>
      </c>
      <c r="D255" s="149">
        <v>1</v>
      </c>
      <c r="E255" s="149">
        <v>1</v>
      </c>
      <c r="F255" s="149">
        <v>2</v>
      </c>
      <c r="G255" s="218">
        <v>3</v>
      </c>
      <c r="H255" s="149">
        <v>2</v>
      </c>
      <c r="I255" s="155">
        <v>2</v>
      </c>
      <c r="J255" s="158">
        <v>1</v>
      </c>
      <c r="K255" s="156">
        <v>2</v>
      </c>
      <c r="L255" s="157">
        <v>3</v>
      </c>
      <c r="M255" s="219">
        <v>2</v>
      </c>
      <c r="N255" s="158">
        <v>3</v>
      </c>
    </row>
    <row r="256" spans="1:14" ht="16">
      <c r="A256" s="146" t="s">
        <v>1361</v>
      </c>
      <c r="B256" s="38" t="s">
        <v>257</v>
      </c>
      <c r="C256" s="149">
        <v>2</v>
      </c>
      <c r="D256" s="149">
        <v>1</v>
      </c>
      <c r="E256" s="149">
        <v>2</v>
      </c>
      <c r="F256" s="149">
        <v>3</v>
      </c>
      <c r="G256" s="218">
        <v>3</v>
      </c>
      <c r="H256" s="149">
        <v>2</v>
      </c>
      <c r="I256" s="155">
        <v>3</v>
      </c>
      <c r="J256" s="158">
        <v>1</v>
      </c>
      <c r="K256" s="156">
        <v>3</v>
      </c>
      <c r="L256" s="157">
        <v>1.875</v>
      </c>
      <c r="M256" s="219">
        <v>2</v>
      </c>
      <c r="N256" s="158">
        <v>3</v>
      </c>
    </row>
    <row r="257" spans="1:14" ht="16">
      <c r="A257" s="146" t="s">
        <v>1367</v>
      </c>
      <c r="B257" s="38" t="s">
        <v>170</v>
      </c>
      <c r="C257" s="149">
        <v>2</v>
      </c>
      <c r="D257" s="149">
        <v>2</v>
      </c>
      <c r="E257" s="149">
        <v>3</v>
      </c>
      <c r="F257" s="149">
        <v>3</v>
      </c>
      <c r="G257" s="218">
        <v>2</v>
      </c>
      <c r="H257" s="149">
        <v>1</v>
      </c>
      <c r="I257" s="155">
        <v>1</v>
      </c>
      <c r="J257" s="158">
        <v>1</v>
      </c>
      <c r="K257" s="156">
        <v>3</v>
      </c>
      <c r="L257" s="157">
        <v>3</v>
      </c>
      <c r="M257" s="219">
        <v>2</v>
      </c>
      <c r="N257" s="158">
        <v>3</v>
      </c>
    </row>
    <row r="258" spans="1:14" ht="16">
      <c r="A258" s="146" t="s">
        <v>1370</v>
      </c>
      <c r="B258" s="38" t="s">
        <v>177</v>
      </c>
      <c r="C258" s="149">
        <v>2</v>
      </c>
      <c r="D258" s="149">
        <v>1</v>
      </c>
      <c r="E258" s="149">
        <v>3</v>
      </c>
      <c r="F258" s="149">
        <v>3</v>
      </c>
      <c r="G258" s="218">
        <v>3</v>
      </c>
      <c r="H258" s="149">
        <v>1</v>
      </c>
      <c r="I258" s="155">
        <v>2</v>
      </c>
      <c r="J258" s="158">
        <v>3</v>
      </c>
      <c r="K258" s="156">
        <v>2</v>
      </c>
      <c r="L258" s="157">
        <v>1.875</v>
      </c>
      <c r="M258" s="219">
        <v>2</v>
      </c>
      <c r="N258" s="158">
        <v>3</v>
      </c>
    </row>
    <row r="259" spans="1:14" ht="16">
      <c r="A259" s="146" t="s">
        <v>1375</v>
      </c>
      <c r="B259" s="111" t="s">
        <v>318</v>
      </c>
      <c r="C259" s="149">
        <v>2</v>
      </c>
      <c r="D259" s="149">
        <v>1</v>
      </c>
      <c r="E259" s="149">
        <v>1</v>
      </c>
      <c r="F259" s="160">
        <v>3</v>
      </c>
      <c r="G259" s="220">
        <v>3</v>
      </c>
      <c r="H259" s="149">
        <v>1</v>
      </c>
      <c r="I259" s="161">
        <v>1</v>
      </c>
      <c r="J259" s="162">
        <v>1</v>
      </c>
      <c r="K259" s="163">
        <v>2</v>
      </c>
      <c r="L259" s="164">
        <v>2.125</v>
      </c>
      <c r="M259" s="221">
        <v>2</v>
      </c>
      <c r="N259" s="162">
        <v>3</v>
      </c>
    </row>
    <row r="260" spans="1:14" ht="15.75" customHeight="1">
      <c r="B260" s="165"/>
      <c r="C260" s="165"/>
      <c r="D260" s="165"/>
      <c r="E260" s="165"/>
      <c r="F260" s="165"/>
      <c r="G260" s="165"/>
      <c r="H260" s="165"/>
      <c r="I260" s="145"/>
      <c r="J260" s="145"/>
      <c r="K260" s="145"/>
      <c r="L260" s="145"/>
      <c r="M260" s="145"/>
      <c r="N260" s="145"/>
    </row>
    <row r="261" spans="1:14" ht="15.75" customHeight="1">
      <c r="B261" s="165"/>
      <c r="C261" s="165"/>
      <c r="D261" s="165"/>
      <c r="E261" s="165"/>
      <c r="F261" s="165"/>
      <c r="G261" s="165"/>
      <c r="H261" s="165"/>
      <c r="I261" s="145"/>
      <c r="J261" s="145"/>
      <c r="K261" s="145"/>
      <c r="L261" s="145"/>
      <c r="M261" s="145"/>
      <c r="N261" s="145"/>
    </row>
    <row r="262" spans="1:14" ht="15.75" customHeight="1">
      <c r="B262" s="165"/>
      <c r="C262" s="165">
        <f t="shared" ref="C262:N262" si="0">AVERAGE(C2:C259)</f>
        <v>2.1821705426356588</v>
      </c>
      <c r="D262" s="165">
        <f t="shared" si="0"/>
        <v>1.6201550387596899</v>
      </c>
      <c r="E262" s="165">
        <f t="shared" si="0"/>
        <v>2.0038759689922481</v>
      </c>
      <c r="F262" s="165">
        <f t="shared" si="0"/>
        <v>2.8139534883720931</v>
      </c>
      <c r="G262" s="165">
        <f t="shared" si="0"/>
        <v>2.5968992248062017</v>
      </c>
      <c r="H262" s="165">
        <f t="shared" si="0"/>
        <v>1.5968992248062015</v>
      </c>
      <c r="I262" s="145">
        <f t="shared" si="0"/>
        <v>1.5310077519379846</v>
      </c>
      <c r="J262" s="145">
        <f t="shared" si="0"/>
        <v>1.2790697674418605</v>
      </c>
      <c r="K262" s="145">
        <f t="shared" si="0"/>
        <v>1.9573643410852712</v>
      </c>
      <c r="L262" s="145">
        <f t="shared" si="0"/>
        <v>1.9200465116279075</v>
      </c>
      <c r="M262" s="145">
        <f t="shared" si="0"/>
        <v>2.5116279069767442</v>
      </c>
      <c r="N262" s="145">
        <f t="shared" si="0"/>
        <v>2.8837209302325579</v>
      </c>
    </row>
    <row r="267" spans="1:14" ht="15">
      <c r="B267" s="147"/>
      <c r="C267" s="147" t="s">
        <v>582</v>
      </c>
      <c r="D267" s="45">
        <v>2.1821705426356588</v>
      </c>
      <c r="I267" s="148" t="s">
        <v>1493</v>
      </c>
      <c r="J267" s="45">
        <v>1.5310077519379846</v>
      </c>
    </row>
    <row r="268" spans="1:14" ht="15">
      <c r="B268" s="147"/>
      <c r="C268" s="147" t="s">
        <v>586</v>
      </c>
      <c r="D268" s="45">
        <v>1.6201550387596899</v>
      </c>
      <c r="I268" s="148" t="s">
        <v>1494</v>
      </c>
      <c r="J268" s="45">
        <v>1.2790697674418605</v>
      </c>
    </row>
    <row r="269" spans="1:14" ht="15">
      <c r="B269" s="147"/>
      <c r="C269" s="147" t="s">
        <v>572</v>
      </c>
      <c r="D269" s="45">
        <v>2.0038759689922481</v>
      </c>
      <c r="I269" s="148" t="s">
        <v>1495</v>
      </c>
      <c r="J269" s="45">
        <v>1.9573643410852712</v>
      </c>
    </row>
    <row r="270" spans="1:14" ht="15">
      <c r="B270" s="147"/>
      <c r="C270" s="147" t="s">
        <v>574</v>
      </c>
      <c r="D270" s="45">
        <v>2.8139534883720931</v>
      </c>
      <c r="I270" s="148" t="s">
        <v>1496</v>
      </c>
      <c r="J270" s="45">
        <v>1.9200465116279075</v>
      </c>
    </row>
    <row r="271" spans="1:14" ht="15">
      <c r="B271" s="147"/>
      <c r="C271" s="147" t="s">
        <v>6</v>
      </c>
      <c r="D271" s="45">
        <v>2.5968992248062017</v>
      </c>
      <c r="I271" s="148" t="s">
        <v>9</v>
      </c>
      <c r="J271" s="45">
        <v>2.5116279069767442</v>
      </c>
    </row>
    <row r="272" spans="1:14" ht="15">
      <c r="B272" s="147"/>
      <c r="C272" s="147" t="s">
        <v>1497</v>
      </c>
      <c r="D272" s="45">
        <v>1.5968992248062015</v>
      </c>
      <c r="I272" s="148" t="s">
        <v>573</v>
      </c>
      <c r="J272" s="45">
        <v>2.8837209302325579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M39"/>
  <sheetViews>
    <sheetView workbookViewId="0"/>
  </sheetViews>
  <sheetFormatPr baseColWidth="10" defaultColWidth="12.6640625" defaultRowHeight="15.75" customHeight="1"/>
  <sheetData>
    <row r="1" spans="1:13" ht="15.75" customHeight="1">
      <c r="A1" s="45" t="s">
        <v>16</v>
      </c>
      <c r="B1" s="166" t="s">
        <v>582</v>
      </c>
      <c r="C1" s="166" t="s">
        <v>586</v>
      </c>
      <c r="D1" s="166" t="s">
        <v>25</v>
      </c>
      <c r="E1" s="166" t="s">
        <v>574</v>
      </c>
      <c r="F1" s="166" t="s">
        <v>6</v>
      </c>
      <c r="G1" s="166" t="s">
        <v>39</v>
      </c>
      <c r="H1" s="167" t="s">
        <v>577</v>
      </c>
      <c r="I1" s="168" t="s">
        <v>1494</v>
      </c>
      <c r="J1" s="168" t="s">
        <v>1495</v>
      </c>
      <c r="K1" s="168" t="s">
        <v>1498</v>
      </c>
      <c r="L1" s="168" t="s">
        <v>44</v>
      </c>
      <c r="M1" s="168" t="s">
        <v>1499</v>
      </c>
    </row>
    <row r="2" spans="1:13" ht="15.75" customHeight="1">
      <c r="A2" s="45" t="s">
        <v>80</v>
      </c>
      <c r="B2" s="166">
        <v>1</v>
      </c>
      <c r="C2" s="166">
        <v>2</v>
      </c>
      <c r="D2" s="166">
        <v>2</v>
      </c>
      <c r="E2" s="166">
        <v>3</v>
      </c>
      <c r="F2" s="166">
        <v>3</v>
      </c>
      <c r="G2" s="166">
        <v>2</v>
      </c>
      <c r="H2" s="168">
        <v>2</v>
      </c>
      <c r="I2" s="168">
        <v>1</v>
      </c>
      <c r="J2" s="168">
        <v>2</v>
      </c>
      <c r="K2" s="168">
        <v>1.1666666670000001</v>
      </c>
      <c r="L2" s="168">
        <v>3</v>
      </c>
      <c r="M2" s="168">
        <v>3</v>
      </c>
    </row>
    <row r="3" spans="1:13" ht="15.75" customHeight="1">
      <c r="A3" s="45" t="s">
        <v>93</v>
      </c>
      <c r="B3" s="166">
        <v>1</v>
      </c>
      <c r="C3" s="166">
        <v>2</v>
      </c>
      <c r="D3" s="166">
        <v>2</v>
      </c>
      <c r="E3" s="166">
        <v>3</v>
      </c>
      <c r="F3" s="166">
        <v>2</v>
      </c>
      <c r="G3" s="166">
        <v>2</v>
      </c>
      <c r="H3" s="168">
        <v>2</v>
      </c>
      <c r="I3" s="168">
        <v>1</v>
      </c>
      <c r="J3" s="168">
        <v>3</v>
      </c>
      <c r="K3" s="168">
        <v>1.125</v>
      </c>
      <c r="L3" s="168">
        <v>3</v>
      </c>
      <c r="M3" s="168">
        <v>3</v>
      </c>
    </row>
    <row r="4" spans="1:13" ht="15.75" customHeight="1">
      <c r="A4" s="45" t="s">
        <v>116</v>
      </c>
      <c r="B4" s="166">
        <v>1</v>
      </c>
      <c r="C4" s="166">
        <v>2</v>
      </c>
      <c r="D4" s="166">
        <v>2</v>
      </c>
      <c r="E4" s="166">
        <v>3</v>
      </c>
      <c r="F4" s="166">
        <v>3</v>
      </c>
      <c r="G4" s="166">
        <v>2</v>
      </c>
      <c r="H4" s="168">
        <v>1</v>
      </c>
      <c r="I4" s="168">
        <v>1</v>
      </c>
      <c r="J4" s="168">
        <v>3</v>
      </c>
      <c r="K4" s="168">
        <v>1.25</v>
      </c>
      <c r="L4" s="168">
        <v>3</v>
      </c>
      <c r="M4" s="168">
        <v>3</v>
      </c>
    </row>
    <row r="5" spans="1:13" ht="15.75" customHeight="1">
      <c r="A5" s="45" t="s">
        <v>119</v>
      </c>
      <c r="B5" s="166">
        <v>1</v>
      </c>
      <c r="C5" s="166">
        <v>2</v>
      </c>
      <c r="D5" s="166">
        <v>2</v>
      </c>
      <c r="E5" s="166">
        <v>3</v>
      </c>
      <c r="F5" s="166">
        <v>3</v>
      </c>
      <c r="G5" s="166">
        <v>2</v>
      </c>
      <c r="H5" s="168">
        <v>2</v>
      </c>
      <c r="I5" s="168">
        <v>1</v>
      </c>
      <c r="J5" s="168">
        <v>2</v>
      </c>
      <c r="K5" s="168">
        <v>1.5</v>
      </c>
      <c r="L5" s="168">
        <v>3</v>
      </c>
      <c r="M5" s="168">
        <v>3</v>
      </c>
    </row>
    <row r="6" spans="1:13" ht="15.75" customHeight="1">
      <c r="A6" s="45" t="s">
        <v>100</v>
      </c>
      <c r="B6" s="166">
        <v>1</v>
      </c>
      <c r="C6" s="166">
        <v>2</v>
      </c>
      <c r="D6" s="166">
        <v>2</v>
      </c>
      <c r="E6" s="166">
        <v>3</v>
      </c>
      <c r="F6" s="166">
        <v>2</v>
      </c>
      <c r="G6" s="166">
        <v>2</v>
      </c>
      <c r="H6" s="168">
        <v>2</v>
      </c>
      <c r="I6" s="168">
        <v>1</v>
      </c>
      <c r="J6" s="168">
        <v>2</v>
      </c>
      <c r="K6" s="168">
        <v>1.25</v>
      </c>
      <c r="L6" s="168">
        <v>3</v>
      </c>
      <c r="M6" s="168">
        <v>3</v>
      </c>
    </row>
    <row r="7" spans="1:13" ht="15.75" customHeight="1">
      <c r="A7" s="45" t="s">
        <v>123</v>
      </c>
      <c r="B7" s="166">
        <v>1</v>
      </c>
      <c r="C7" s="166">
        <v>2</v>
      </c>
      <c r="D7" s="166">
        <v>2</v>
      </c>
      <c r="E7" s="166">
        <v>3</v>
      </c>
      <c r="F7" s="166">
        <v>2</v>
      </c>
      <c r="G7" s="166">
        <v>3</v>
      </c>
      <c r="H7" s="168">
        <v>2</v>
      </c>
      <c r="I7" s="168">
        <v>1</v>
      </c>
      <c r="J7" s="168">
        <v>3</v>
      </c>
      <c r="K7" s="168">
        <v>1.1666666670000001</v>
      </c>
      <c r="L7" s="168">
        <v>3</v>
      </c>
      <c r="M7" s="168">
        <v>3</v>
      </c>
    </row>
    <row r="8" spans="1:13" ht="15.75" customHeight="1">
      <c r="A8" s="45" t="s">
        <v>321</v>
      </c>
      <c r="B8" s="166">
        <v>1</v>
      </c>
      <c r="C8" s="166">
        <v>2</v>
      </c>
      <c r="D8" s="166">
        <v>2</v>
      </c>
      <c r="E8" s="166">
        <v>3</v>
      </c>
      <c r="F8" s="166">
        <v>3</v>
      </c>
      <c r="G8" s="166">
        <v>2</v>
      </c>
      <c r="H8" s="168">
        <v>2</v>
      </c>
      <c r="I8" s="168">
        <v>1</v>
      </c>
      <c r="J8" s="168">
        <v>1</v>
      </c>
      <c r="K8" s="168">
        <v>1.5</v>
      </c>
      <c r="L8" s="168">
        <v>3</v>
      </c>
      <c r="M8" s="168">
        <v>3</v>
      </c>
    </row>
    <row r="9" spans="1:13" ht="15.75" customHeight="1">
      <c r="A9" s="45" t="s">
        <v>614</v>
      </c>
      <c r="B9" s="166">
        <v>1</v>
      </c>
      <c r="C9" s="166">
        <v>2</v>
      </c>
      <c r="D9" s="166">
        <v>2</v>
      </c>
      <c r="E9" s="166">
        <v>1</v>
      </c>
      <c r="F9" s="166">
        <v>1</v>
      </c>
      <c r="G9" s="166">
        <v>3</v>
      </c>
      <c r="H9" s="168">
        <v>3</v>
      </c>
      <c r="I9" s="168">
        <v>1</v>
      </c>
      <c r="J9" s="168">
        <v>3</v>
      </c>
      <c r="K9" s="168">
        <v>1.75</v>
      </c>
      <c r="L9" s="168">
        <v>3</v>
      </c>
      <c r="M9" s="168">
        <v>2</v>
      </c>
    </row>
    <row r="10" spans="1:13" ht="15.75" customHeight="1">
      <c r="A10" s="45" t="s">
        <v>149</v>
      </c>
      <c r="B10" s="166">
        <v>1</v>
      </c>
      <c r="C10" s="166">
        <v>2</v>
      </c>
      <c r="D10" s="166">
        <v>2</v>
      </c>
      <c r="E10" s="166">
        <v>2</v>
      </c>
      <c r="F10" s="166">
        <v>3</v>
      </c>
      <c r="G10" s="166">
        <v>1</v>
      </c>
      <c r="H10" s="168">
        <v>2</v>
      </c>
      <c r="I10" s="168">
        <v>1</v>
      </c>
      <c r="J10" s="168">
        <v>2</v>
      </c>
      <c r="K10" s="168">
        <v>1.625</v>
      </c>
      <c r="L10" s="168">
        <v>3</v>
      </c>
      <c r="M10" s="168">
        <v>3</v>
      </c>
    </row>
    <row r="11" spans="1:13" ht="15.75" customHeight="1">
      <c r="A11" s="45" t="s">
        <v>138</v>
      </c>
      <c r="B11" s="166">
        <v>1</v>
      </c>
      <c r="C11" s="166">
        <v>2</v>
      </c>
      <c r="D11" s="166">
        <v>2</v>
      </c>
      <c r="E11" s="166">
        <v>1</v>
      </c>
      <c r="F11" s="166">
        <v>2</v>
      </c>
      <c r="G11" s="166">
        <v>2</v>
      </c>
      <c r="H11" s="168">
        <v>2</v>
      </c>
      <c r="I11" s="168">
        <v>1</v>
      </c>
      <c r="J11" s="168">
        <v>3</v>
      </c>
      <c r="K11" s="168">
        <v>1</v>
      </c>
      <c r="L11" s="168">
        <v>3</v>
      </c>
      <c r="M11" s="168">
        <v>3</v>
      </c>
    </row>
    <row r="12" spans="1:13" ht="15.75" customHeight="1">
      <c r="A12" s="45" t="s">
        <v>628</v>
      </c>
      <c r="B12" s="166">
        <v>1</v>
      </c>
      <c r="C12" s="166">
        <v>2</v>
      </c>
      <c r="D12" s="166">
        <v>3</v>
      </c>
      <c r="E12" s="166">
        <v>3</v>
      </c>
      <c r="F12" s="166">
        <v>2</v>
      </c>
      <c r="G12" s="166">
        <v>2</v>
      </c>
      <c r="H12" s="168">
        <v>2</v>
      </c>
      <c r="I12" s="168">
        <v>1</v>
      </c>
      <c r="J12" s="168">
        <v>3</v>
      </c>
      <c r="K12" s="168">
        <v>1.125</v>
      </c>
      <c r="L12" s="168">
        <v>3</v>
      </c>
      <c r="M12" s="168">
        <v>3</v>
      </c>
    </row>
    <row r="13" spans="1:13" ht="15.75" customHeight="1">
      <c r="A13" s="45" t="s">
        <v>129</v>
      </c>
      <c r="B13" s="166">
        <v>1</v>
      </c>
      <c r="C13" s="166">
        <v>2</v>
      </c>
      <c r="D13" s="166">
        <v>2</v>
      </c>
      <c r="E13" s="166">
        <v>3</v>
      </c>
      <c r="F13" s="166">
        <v>2</v>
      </c>
      <c r="G13" s="166">
        <v>1</v>
      </c>
      <c r="H13" s="168">
        <v>1</v>
      </c>
      <c r="I13" s="168">
        <v>1</v>
      </c>
      <c r="J13" s="168">
        <v>3</v>
      </c>
      <c r="K13" s="168">
        <v>3</v>
      </c>
      <c r="L13" s="168">
        <v>3</v>
      </c>
      <c r="M13" s="168">
        <v>2</v>
      </c>
    </row>
    <row r="14" spans="1:13" ht="15.75" customHeight="1">
      <c r="A14" s="45" t="s">
        <v>174</v>
      </c>
      <c r="B14" s="166">
        <v>1</v>
      </c>
      <c r="C14" s="166">
        <v>1</v>
      </c>
      <c r="D14" s="166">
        <v>2</v>
      </c>
      <c r="E14" s="166">
        <v>3</v>
      </c>
      <c r="F14" s="166">
        <v>3</v>
      </c>
      <c r="G14" s="166">
        <v>1</v>
      </c>
      <c r="H14" s="168">
        <v>2</v>
      </c>
      <c r="I14" s="168">
        <v>3</v>
      </c>
      <c r="J14" s="168">
        <v>2</v>
      </c>
      <c r="K14" s="168">
        <v>2.25</v>
      </c>
      <c r="L14" s="168">
        <v>3</v>
      </c>
      <c r="M14" s="168">
        <v>3</v>
      </c>
    </row>
    <row r="15" spans="1:13" ht="15.75" customHeight="1">
      <c r="A15" s="45" t="s">
        <v>157</v>
      </c>
      <c r="B15" s="166">
        <v>1</v>
      </c>
      <c r="C15" s="166">
        <v>2</v>
      </c>
      <c r="D15" s="166">
        <v>2</v>
      </c>
      <c r="E15" s="166">
        <v>3</v>
      </c>
      <c r="F15" s="166">
        <v>3</v>
      </c>
      <c r="G15" s="166">
        <v>1</v>
      </c>
      <c r="H15" s="168">
        <v>2</v>
      </c>
      <c r="I15" s="168">
        <v>3</v>
      </c>
      <c r="J15" s="168">
        <v>2</v>
      </c>
      <c r="K15" s="168">
        <v>1.6666666670000001</v>
      </c>
      <c r="L15" s="168">
        <v>3</v>
      </c>
      <c r="M15" s="168">
        <v>3</v>
      </c>
    </row>
    <row r="16" spans="1:13" ht="15.75" customHeight="1">
      <c r="A16" s="45" t="s">
        <v>188</v>
      </c>
      <c r="B16" s="166">
        <v>1</v>
      </c>
      <c r="C16" s="166">
        <v>1</v>
      </c>
      <c r="D16" s="166">
        <v>2</v>
      </c>
      <c r="E16" s="166">
        <v>3</v>
      </c>
      <c r="F16" s="166">
        <v>3</v>
      </c>
      <c r="G16" s="166">
        <v>2</v>
      </c>
      <c r="H16" s="168">
        <v>1</v>
      </c>
      <c r="I16" s="168">
        <v>1</v>
      </c>
      <c r="J16" s="168">
        <v>2</v>
      </c>
      <c r="K16" s="168">
        <v>2.375</v>
      </c>
      <c r="L16" s="168">
        <v>3</v>
      </c>
      <c r="M16" s="168">
        <v>3</v>
      </c>
    </row>
    <row r="17" spans="1:13" ht="15.75" customHeight="1">
      <c r="A17" s="45" t="s">
        <v>634</v>
      </c>
      <c r="B17" s="166">
        <v>1</v>
      </c>
      <c r="C17" s="166">
        <v>2</v>
      </c>
      <c r="D17" s="166">
        <v>2</v>
      </c>
      <c r="E17" s="166">
        <v>3</v>
      </c>
      <c r="F17" s="166">
        <v>3</v>
      </c>
      <c r="G17" s="166">
        <v>2</v>
      </c>
      <c r="H17" s="168">
        <v>2</v>
      </c>
      <c r="I17" s="168">
        <v>1</v>
      </c>
      <c r="J17" s="168">
        <v>1</v>
      </c>
      <c r="K17" s="168">
        <v>1.25</v>
      </c>
      <c r="L17" s="168">
        <v>3</v>
      </c>
      <c r="M17" s="168">
        <v>3</v>
      </c>
    </row>
    <row r="18" spans="1:13" ht="15.75" customHeight="1">
      <c r="A18" s="45" t="s">
        <v>259</v>
      </c>
      <c r="B18" s="166">
        <v>1</v>
      </c>
      <c r="C18" s="166">
        <v>2</v>
      </c>
      <c r="D18" s="166">
        <v>2</v>
      </c>
      <c r="E18" s="166">
        <v>3</v>
      </c>
      <c r="F18" s="166">
        <v>2</v>
      </c>
      <c r="G18" s="166">
        <v>1</v>
      </c>
      <c r="H18" s="168">
        <v>1</v>
      </c>
      <c r="I18" s="168">
        <v>1</v>
      </c>
      <c r="J18" s="168">
        <v>1</v>
      </c>
      <c r="K18" s="168">
        <v>1.25</v>
      </c>
      <c r="L18" s="168">
        <v>3</v>
      </c>
      <c r="M18" s="168">
        <v>3</v>
      </c>
    </row>
    <row r="19" spans="1:13" ht="15.75" customHeight="1">
      <c r="A19" s="45" t="s">
        <v>1394</v>
      </c>
      <c r="B19" s="166">
        <v>1</v>
      </c>
      <c r="C19" s="166">
        <v>1</v>
      </c>
      <c r="D19" s="166">
        <v>2</v>
      </c>
      <c r="E19" s="166">
        <v>3</v>
      </c>
      <c r="F19" s="166">
        <v>3</v>
      </c>
      <c r="G19" s="166">
        <v>1</v>
      </c>
      <c r="H19" s="168">
        <v>1</v>
      </c>
      <c r="I19" s="168">
        <v>1</v>
      </c>
      <c r="J19" s="168">
        <v>1</v>
      </c>
      <c r="K19" s="168">
        <v>2</v>
      </c>
      <c r="L19" s="168">
        <v>3</v>
      </c>
      <c r="M19" s="168">
        <v>3</v>
      </c>
    </row>
    <row r="20" spans="1:13" ht="15.75" customHeight="1">
      <c r="A20" s="45" t="s">
        <v>303</v>
      </c>
      <c r="B20" s="166">
        <v>1</v>
      </c>
      <c r="C20" s="166">
        <v>1</v>
      </c>
      <c r="D20" s="166">
        <v>2</v>
      </c>
      <c r="E20" s="166">
        <v>3</v>
      </c>
      <c r="F20" s="166">
        <v>3</v>
      </c>
      <c r="G20" s="166">
        <v>1</v>
      </c>
      <c r="H20" s="168">
        <v>1</v>
      </c>
      <c r="I20" s="168">
        <v>3</v>
      </c>
      <c r="J20" s="168">
        <v>2</v>
      </c>
      <c r="K20" s="168">
        <v>2.25</v>
      </c>
      <c r="L20" s="168">
        <v>3</v>
      </c>
      <c r="M20" s="168">
        <v>3</v>
      </c>
    </row>
    <row r="21" spans="1:13" ht="15.75" customHeight="1">
      <c r="A21" s="45" t="s">
        <v>420</v>
      </c>
      <c r="B21" s="166">
        <v>1</v>
      </c>
      <c r="C21" s="166">
        <v>2</v>
      </c>
      <c r="D21" s="166">
        <v>2</v>
      </c>
      <c r="E21" s="166">
        <v>3</v>
      </c>
      <c r="F21" s="166">
        <v>2</v>
      </c>
      <c r="G21" s="166">
        <v>3</v>
      </c>
      <c r="H21" s="168">
        <v>3</v>
      </c>
      <c r="I21" s="168">
        <v>1</v>
      </c>
      <c r="J21" s="168">
        <v>3</v>
      </c>
      <c r="K21" s="168">
        <v>1.3333333329999999</v>
      </c>
      <c r="L21" s="168">
        <v>3</v>
      </c>
      <c r="M21" s="168">
        <v>3</v>
      </c>
    </row>
    <row r="22" spans="1:13" ht="15.75" customHeight="1">
      <c r="A22" s="45" t="s">
        <v>1396</v>
      </c>
      <c r="B22" s="166">
        <v>1</v>
      </c>
      <c r="C22" s="166">
        <v>1</v>
      </c>
      <c r="D22" s="166">
        <v>2</v>
      </c>
      <c r="E22" s="166">
        <v>3</v>
      </c>
      <c r="F22" s="166">
        <v>2</v>
      </c>
      <c r="G22" s="166">
        <v>3</v>
      </c>
      <c r="H22" s="168">
        <v>2</v>
      </c>
      <c r="I22" s="168">
        <v>1</v>
      </c>
      <c r="J22" s="168">
        <v>3</v>
      </c>
      <c r="K22" s="168">
        <v>1.6666666670000001</v>
      </c>
      <c r="L22" s="168">
        <v>3</v>
      </c>
      <c r="M22" s="168">
        <v>3</v>
      </c>
    </row>
    <row r="23" spans="1:13" ht="15.75" customHeight="1">
      <c r="A23" s="45" t="s">
        <v>447</v>
      </c>
      <c r="B23" s="166">
        <v>1</v>
      </c>
      <c r="C23" s="166">
        <v>1</v>
      </c>
      <c r="D23" s="166">
        <v>2</v>
      </c>
      <c r="E23" s="166">
        <v>3</v>
      </c>
      <c r="F23" s="166">
        <v>3</v>
      </c>
      <c r="G23" s="166">
        <v>2</v>
      </c>
      <c r="H23" s="168">
        <v>1</v>
      </c>
      <c r="I23" s="168">
        <v>3</v>
      </c>
      <c r="J23" s="168">
        <v>1</v>
      </c>
      <c r="K23" s="168">
        <v>2.25</v>
      </c>
      <c r="L23" s="168">
        <v>3</v>
      </c>
      <c r="M23" s="168">
        <v>3</v>
      </c>
    </row>
    <row r="24" spans="1:13" ht="15.75" customHeight="1">
      <c r="A24" s="45" t="s">
        <v>800</v>
      </c>
      <c r="B24" s="166">
        <v>1</v>
      </c>
      <c r="C24" s="166">
        <v>2</v>
      </c>
      <c r="D24" s="166">
        <v>2</v>
      </c>
      <c r="E24" s="166">
        <v>3</v>
      </c>
      <c r="F24" s="166">
        <v>3</v>
      </c>
      <c r="G24" s="166">
        <v>3</v>
      </c>
      <c r="H24" s="168">
        <v>2</v>
      </c>
      <c r="I24" s="168">
        <v>1</v>
      </c>
      <c r="J24" s="168">
        <v>1</v>
      </c>
      <c r="K24" s="168">
        <v>1.5</v>
      </c>
      <c r="L24" s="168">
        <v>3</v>
      </c>
      <c r="M24" s="168">
        <v>3</v>
      </c>
    </row>
    <row r="25" spans="1:13" ht="15.75" customHeight="1">
      <c r="A25" s="45" t="s">
        <v>937</v>
      </c>
      <c r="B25" s="166">
        <v>1</v>
      </c>
      <c r="C25" s="166">
        <v>2</v>
      </c>
      <c r="D25" s="166">
        <v>2</v>
      </c>
      <c r="E25" s="166">
        <v>3</v>
      </c>
      <c r="F25" s="166">
        <v>3</v>
      </c>
      <c r="G25" s="166">
        <v>2</v>
      </c>
      <c r="H25" s="168">
        <v>3</v>
      </c>
      <c r="I25" s="168">
        <v>1</v>
      </c>
      <c r="J25" s="168">
        <v>3</v>
      </c>
      <c r="K25" s="168">
        <v>1.25</v>
      </c>
      <c r="L25" s="168">
        <v>2</v>
      </c>
      <c r="M25" s="168">
        <v>3</v>
      </c>
    </row>
    <row r="26" spans="1:13" ht="15.75" customHeight="1">
      <c r="A26" s="45" t="s">
        <v>1273</v>
      </c>
      <c r="B26" s="166">
        <v>1</v>
      </c>
      <c r="C26" s="166">
        <v>1</v>
      </c>
      <c r="D26" s="166">
        <v>2</v>
      </c>
      <c r="E26" s="166">
        <v>3</v>
      </c>
      <c r="F26" s="166">
        <v>3</v>
      </c>
      <c r="G26" s="166">
        <v>2</v>
      </c>
      <c r="H26" s="168">
        <v>2</v>
      </c>
      <c r="I26" s="168">
        <v>3</v>
      </c>
      <c r="J26" s="168">
        <v>2</v>
      </c>
      <c r="K26" s="168">
        <v>2.3333333330000001</v>
      </c>
      <c r="L26" s="168">
        <v>2</v>
      </c>
      <c r="M26" s="168">
        <v>3</v>
      </c>
    </row>
    <row r="27" spans="1:13" ht="15.75" customHeight="1">
      <c r="A27" s="45" t="s">
        <v>1291</v>
      </c>
      <c r="B27" s="166">
        <v>1</v>
      </c>
      <c r="C27" s="166">
        <v>3</v>
      </c>
      <c r="D27" s="166">
        <v>2</v>
      </c>
      <c r="E27" s="166">
        <v>3</v>
      </c>
      <c r="F27" s="166">
        <v>3</v>
      </c>
      <c r="G27" s="166">
        <v>2</v>
      </c>
      <c r="H27" s="168">
        <v>2</v>
      </c>
      <c r="I27" s="168">
        <v>1</v>
      </c>
      <c r="J27" s="168">
        <v>1</v>
      </c>
      <c r="K27" s="168">
        <v>2</v>
      </c>
      <c r="L27" s="168">
        <v>2</v>
      </c>
      <c r="M27" s="168">
        <v>3</v>
      </c>
    </row>
    <row r="28" spans="1:13" ht="15.75" customHeight="1">
      <c r="A28" s="45" t="s">
        <v>1313</v>
      </c>
      <c r="B28" s="166">
        <v>1</v>
      </c>
      <c r="C28" s="166">
        <v>2</v>
      </c>
      <c r="D28" s="166">
        <v>2</v>
      </c>
      <c r="E28" s="166">
        <v>3</v>
      </c>
      <c r="F28" s="166">
        <v>2</v>
      </c>
      <c r="G28" s="166">
        <v>1</v>
      </c>
      <c r="H28" s="168">
        <v>1</v>
      </c>
      <c r="I28" s="168">
        <v>1</v>
      </c>
      <c r="J28" s="168">
        <v>1</v>
      </c>
      <c r="K28" s="168">
        <v>1.3333333329999999</v>
      </c>
      <c r="L28" s="168">
        <v>2</v>
      </c>
      <c r="M28" s="168">
        <v>3</v>
      </c>
    </row>
    <row r="29" spans="1:13" ht="15.75" customHeight="1">
      <c r="B29" s="166"/>
      <c r="C29" s="166"/>
      <c r="D29" s="166"/>
      <c r="E29" s="166"/>
      <c r="F29" s="166"/>
      <c r="G29" s="166"/>
      <c r="H29" s="168"/>
      <c r="I29" s="168"/>
      <c r="J29" s="168"/>
      <c r="K29" s="168"/>
      <c r="L29" s="168"/>
      <c r="M29" s="168"/>
    </row>
    <row r="30" spans="1:13" ht="15.75" customHeight="1">
      <c r="B30" s="166">
        <f t="shared" ref="B30:M30" si="0">AVERAGE(B2:B28)</f>
        <v>1</v>
      </c>
      <c r="C30" s="166">
        <f t="shared" si="0"/>
        <v>1.7777777777777777</v>
      </c>
      <c r="D30" s="166">
        <f t="shared" si="0"/>
        <v>2.0370370370370372</v>
      </c>
      <c r="E30" s="166">
        <f t="shared" si="0"/>
        <v>2.8148148148148149</v>
      </c>
      <c r="F30" s="166">
        <f t="shared" si="0"/>
        <v>2.5555555555555554</v>
      </c>
      <c r="G30" s="166">
        <f t="shared" si="0"/>
        <v>1.8888888888888888</v>
      </c>
      <c r="H30" s="168">
        <f t="shared" si="0"/>
        <v>1.8148148148148149</v>
      </c>
      <c r="I30" s="168">
        <f t="shared" si="0"/>
        <v>1.3703703703703705</v>
      </c>
      <c r="J30" s="168">
        <f t="shared" si="0"/>
        <v>2.074074074074074</v>
      </c>
      <c r="K30" s="168">
        <f t="shared" si="0"/>
        <v>1.6358024691481481</v>
      </c>
      <c r="L30" s="168">
        <f t="shared" si="0"/>
        <v>2.8518518518518516</v>
      </c>
      <c r="M30" s="168">
        <f t="shared" si="0"/>
        <v>2.925925925925926</v>
      </c>
    </row>
    <row r="34" spans="3:7" ht="15.75" customHeight="1">
      <c r="C34" s="166" t="s">
        <v>582</v>
      </c>
      <c r="D34" s="45">
        <v>1</v>
      </c>
      <c r="F34" s="167" t="s">
        <v>577</v>
      </c>
      <c r="G34" s="45">
        <v>1.8148148148148149</v>
      </c>
    </row>
    <row r="35" spans="3:7" ht="15.75" customHeight="1">
      <c r="C35" s="166" t="s">
        <v>586</v>
      </c>
      <c r="D35" s="45">
        <v>1.7777777777777777</v>
      </c>
      <c r="F35" s="168" t="s">
        <v>1494</v>
      </c>
      <c r="G35" s="45">
        <v>1.3703703703703705</v>
      </c>
    </row>
    <row r="36" spans="3:7" ht="15.75" customHeight="1">
      <c r="C36" s="166" t="s">
        <v>25</v>
      </c>
      <c r="D36" s="45">
        <v>2.0370370370370372</v>
      </c>
      <c r="F36" s="168" t="s">
        <v>1495</v>
      </c>
      <c r="G36" s="45">
        <v>2.074074074074074</v>
      </c>
    </row>
    <row r="37" spans="3:7" ht="15.75" customHeight="1">
      <c r="C37" s="166" t="s">
        <v>574</v>
      </c>
      <c r="D37" s="45">
        <v>2.8148148148148149</v>
      </c>
      <c r="F37" s="168" t="s">
        <v>1496</v>
      </c>
      <c r="G37" s="45">
        <v>1.6358024691481481</v>
      </c>
    </row>
    <row r="38" spans="3:7" ht="15.75" customHeight="1">
      <c r="C38" s="166" t="s">
        <v>6</v>
      </c>
      <c r="D38" s="45">
        <v>2.5555555555555554</v>
      </c>
      <c r="F38" s="168" t="s">
        <v>9</v>
      </c>
      <c r="G38" s="45">
        <v>2.8518518518518516</v>
      </c>
    </row>
    <row r="39" spans="3:7" ht="15.75" customHeight="1">
      <c r="C39" s="166" t="s">
        <v>1500</v>
      </c>
      <c r="D39" s="45">
        <v>1.8888888888888888</v>
      </c>
      <c r="F39" s="168" t="s">
        <v>573</v>
      </c>
      <c r="G39" s="45">
        <v>2.925925925925926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P1001"/>
  <sheetViews>
    <sheetView workbookViewId="0"/>
  </sheetViews>
  <sheetFormatPr baseColWidth="10" defaultColWidth="12.6640625" defaultRowHeight="15.75" customHeight="1"/>
  <cols>
    <col min="1" max="1" width="26.1640625" customWidth="1"/>
    <col min="2" max="2" width="14.83203125" customWidth="1"/>
  </cols>
  <sheetData>
    <row r="1" spans="1:16" ht="43">
      <c r="A1" s="140" t="s">
        <v>18</v>
      </c>
      <c r="B1" s="169" t="s">
        <v>1501</v>
      </c>
      <c r="C1" s="169" t="s">
        <v>1502</v>
      </c>
      <c r="D1" s="170" t="s">
        <v>1503</v>
      </c>
      <c r="E1" s="171" t="s">
        <v>23</v>
      </c>
      <c r="G1" s="172"/>
      <c r="H1" s="140" t="s">
        <v>18</v>
      </c>
      <c r="I1" s="140" t="s">
        <v>1504</v>
      </c>
      <c r="J1" s="140" t="s">
        <v>1505</v>
      </c>
      <c r="K1" s="140" t="s">
        <v>1506</v>
      </c>
      <c r="M1" s="45" t="s">
        <v>16</v>
      </c>
      <c r="N1" s="45" t="s">
        <v>76</v>
      </c>
      <c r="O1" s="45" t="s">
        <v>1507</v>
      </c>
      <c r="P1" s="45" t="s">
        <v>79</v>
      </c>
    </row>
    <row r="2" spans="1:16" ht="16">
      <c r="A2" s="140" t="s">
        <v>1508</v>
      </c>
      <c r="B2" s="169"/>
      <c r="C2" s="169"/>
      <c r="D2" s="170"/>
      <c r="E2" s="171"/>
      <c r="G2" s="172"/>
      <c r="H2" s="140" t="s">
        <v>1509</v>
      </c>
      <c r="I2" s="145"/>
      <c r="J2" s="145"/>
      <c r="K2" s="145"/>
      <c r="M2" s="140" t="s">
        <v>1510</v>
      </c>
      <c r="N2" s="145"/>
      <c r="O2" s="145"/>
      <c r="P2" s="145"/>
    </row>
    <row r="3" spans="1:16" ht="15.75" customHeight="1">
      <c r="A3" s="116" t="s">
        <v>177</v>
      </c>
      <c r="B3" s="173"/>
      <c r="C3" s="173"/>
      <c r="D3" s="173"/>
      <c r="E3" s="174" t="s">
        <v>1511</v>
      </c>
      <c r="G3" s="93"/>
      <c r="H3" s="175" t="s">
        <v>83</v>
      </c>
      <c r="I3" s="176">
        <v>2.361111111</v>
      </c>
      <c r="J3" s="176">
        <v>1.396501905</v>
      </c>
      <c r="K3" s="176">
        <v>0.74974799999999997</v>
      </c>
      <c r="M3" s="45" t="s">
        <v>80</v>
      </c>
    </row>
    <row r="4" spans="1:16" ht="15.75" customHeight="1">
      <c r="A4" s="93" t="s">
        <v>355</v>
      </c>
      <c r="B4" s="177"/>
      <c r="C4" s="177"/>
      <c r="D4" s="177"/>
      <c r="E4" s="178" t="s">
        <v>1512</v>
      </c>
      <c r="G4" s="93"/>
      <c r="H4" s="93" t="s">
        <v>110</v>
      </c>
      <c r="I4" s="179">
        <v>1.7777777779999999</v>
      </c>
      <c r="J4" s="179">
        <v>1.0816413659999999</v>
      </c>
      <c r="K4" s="179">
        <v>1.226</v>
      </c>
    </row>
    <row r="5" spans="1:16" ht="15.75" customHeight="1">
      <c r="A5" s="45" t="s">
        <v>141</v>
      </c>
      <c r="B5" s="177"/>
      <c r="C5" s="177"/>
      <c r="D5" s="177"/>
      <c r="E5" s="178" t="s">
        <v>1513</v>
      </c>
      <c r="G5" s="93"/>
      <c r="H5" s="93" t="s">
        <v>152</v>
      </c>
      <c r="I5" s="179">
        <v>2.407407407</v>
      </c>
      <c r="J5" s="179">
        <v>1.537857517</v>
      </c>
      <c r="K5" s="179">
        <v>0.8</v>
      </c>
      <c r="M5" s="45" t="s">
        <v>93</v>
      </c>
    </row>
    <row r="6" spans="1:16" ht="15.75" customHeight="1">
      <c r="A6" s="45" t="s">
        <v>277</v>
      </c>
      <c r="B6" s="177"/>
      <c r="C6" s="177"/>
      <c r="D6" s="177"/>
      <c r="E6" s="178" t="s">
        <v>1512</v>
      </c>
      <c r="G6" s="93"/>
      <c r="H6" s="93" t="s">
        <v>177</v>
      </c>
      <c r="I6" s="179">
        <v>2.4166666669999999</v>
      </c>
      <c r="J6" s="179">
        <v>1.690702937</v>
      </c>
      <c r="K6" s="179">
        <v>0.93400000000000005</v>
      </c>
      <c r="M6" s="45" t="s">
        <v>116</v>
      </c>
    </row>
    <row r="7" spans="1:16" ht="15.75" customHeight="1">
      <c r="A7" s="45" t="s">
        <v>170</v>
      </c>
      <c r="B7" s="177"/>
      <c r="C7" s="177"/>
      <c r="D7" s="177"/>
      <c r="E7" s="178" t="s">
        <v>1514</v>
      </c>
      <c r="G7" s="93"/>
      <c r="H7" s="93" t="s">
        <v>141</v>
      </c>
      <c r="I7" s="179">
        <v>1.7777777779999999</v>
      </c>
      <c r="J7" s="179">
        <v>2.0800838229999998</v>
      </c>
      <c r="K7" s="179">
        <v>1.631</v>
      </c>
      <c r="M7" s="45" t="s">
        <v>119</v>
      </c>
    </row>
    <row r="8" spans="1:16" ht="15.75" customHeight="1">
      <c r="A8" s="45" t="s">
        <v>132</v>
      </c>
      <c r="B8" s="177"/>
      <c r="C8" s="177"/>
      <c r="D8" s="177"/>
      <c r="E8" s="178" t="s">
        <v>1515</v>
      </c>
      <c r="G8" s="93"/>
      <c r="H8" s="93" t="s">
        <v>160</v>
      </c>
      <c r="I8" s="179">
        <v>2.3333333330000001</v>
      </c>
      <c r="J8" s="179">
        <v>1.4305459519999999</v>
      </c>
      <c r="K8" s="179">
        <v>0.79700000000000004</v>
      </c>
      <c r="M8" s="45" t="s">
        <v>100</v>
      </c>
    </row>
    <row r="9" spans="1:16" ht="15.75" customHeight="1">
      <c r="A9" s="45" t="s">
        <v>1240</v>
      </c>
      <c r="B9" s="177"/>
      <c r="C9" s="177"/>
      <c r="D9" s="177"/>
      <c r="E9" s="178" t="s">
        <v>1516</v>
      </c>
      <c r="G9" s="93"/>
      <c r="M9" s="45" t="s">
        <v>123</v>
      </c>
    </row>
    <row r="10" spans="1:16" ht="15.75" customHeight="1">
      <c r="A10" s="45" t="s">
        <v>286</v>
      </c>
      <c r="B10" s="177"/>
      <c r="C10" s="177"/>
      <c r="D10" s="177"/>
      <c r="E10" s="178" t="s">
        <v>1517</v>
      </c>
      <c r="M10" s="45" t="s">
        <v>321</v>
      </c>
    </row>
    <row r="11" spans="1:16" ht="15.75" customHeight="1">
      <c r="A11" s="45" t="s">
        <v>372</v>
      </c>
      <c r="B11" s="177"/>
      <c r="C11" s="177"/>
      <c r="D11" s="177"/>
      <c r="E11" s="178" t="s">
        <v>1518</v>
      </c>
      <c r="M11" s="45" t="s">
        <v>614</v>
      </c>
    </row>
    <row r="12" spans="1:16" ht="15.75" customHeight="1">
      <c r="A12" s="45" t="s">
        <v>787</v>
      </c>
      <c r="B12" s="177"/>
      <c r="C12" s="177"/>
      <c r="D12" s="177"/>
      <c r="E12" s="178" t="s">
        <v>1519</v>
      </c>
      <c r="M12" s="45" t="s">
        <v>149</v>
      </c>
    </row>
    <row r="13" spans="1:16" ht="15.75" customHeight="1">
      <c r="A13" s="45" t="s">
        <v>841</v>
      </c>
      <c r="B13" s="177"/>
      <c r="C13" s="177"/>
      <c r="D13" s="177"/>
      <c r="E13" s="178" t="s">
        <v>1516</v>
      </c>
      <c r="M13" s="45" t="s">
        <v>138</v>
      </c>
    </row>
    <row r="14" spans="1:16" ht="15.75" customHeight="1">
      <c r="A14" s="45" t="s">
        <v>794</v>
      </c>
      <c r="B14" s="177"/>
      <c r="C14" s="177"/>
      <c r="D14" s="177"/>
      <c r="E14" s="178" t="s">
        <v>1516</v>
      </c>
      <c r="M14" s="45" t="s">
        <v>628</v>
      </c>
    </row>
    <row r="16" spans="1:16" ht="15.75" customHeight="1">
      <c r="A16" s="45" t="s">
        <v>184</v>
      </c>
      <c r="B16" s="177"/>
      <c r="C16" s="177"/>
      <c r="D16" s="177"/>
      <c r="E16" s="178" t="s">
        <v>1520</v>
      </c>
      <c r="M16" s="45" t="s">
        <v>129</v>
      </c>
    </row>
    <row r="17" spans="1:13" ht="15.75" customHeight="1">
      <c r="A17" s="45" t="s">
        <v>637</v>
      </c>
      <c r="B17" s="177"/>
      <c r="C17" s="177"/>
      <c r="D17" s="177"/>
      <c r="E17" s="178" t="s">
        <v>1519</v>
      </c>
      <c r="M17" s="45" t="s">
        <v>174</v>
      </c>
    </row>
    <row r="18" spans="1:13" ht="15.75" customHeight="1">
      <c r="A18" s="45" t="s">
        <v>327</v>
      </c>
      <c r="B18" s="177"/>
      <c r="C18" s="177"/>
      <c r="D18" s="177"/>
      <c r="E18" s="178" t="s">
        <v>1516</v>
      </c>
      <c r="M18" s="45" t="s">
        <v>157</v>
      </c>
    </row>
    <row r="19" spans="1:13" ht="15.75" customHeight="1">
      <c r="A19" s="45" t="s">
        <v>1249</v>
      </c>
      <c r="B19" s="177"/>
      <c r="C19" s="177"/>
      <c r="D19" s="177"/>
      <c r="E19" s="178" t="s">
        <v>1516</v>
      </c>
      <c r="M19" s="45" t="s">
        <v>188</v>
      </c>
    </row>
    <row r="20" spans="1:13" ht="15.75" customHeight="1">
      <c r="A20" s="93" t="s">
        <v>152</v>
      </c>
      <c r="B20" s="177"/>
      <c r="C20" s="177"/>
      <c r="D20" s="177"/>
      <c r="E20" s="178" t="s">
        <v>1521</v>
      </c>
      <c r="M20" s="45" t="s">
        <v>634</v>
      </c>
    </row>
    <row r="21" spans="1:13" ht="15.75" customHeight="1">
      <c r="A21" s="45" t="s">
        <v>1256</v>
      </c>
      <c r="B21" s="177"/>
      <c r="C21" s="177"/>
      <c r="D21" s="177"/>
      <c r="E21" s="178" t="s">
        <v>1516</v>
      </c>
      <c r="M21" s="45" t="s">
        <v>259</v>
      </c>
    </row>
    <row r="22" spans="1:13" ht="15.75" customHeight="1">
      <c r="A22" s="45" t="s">
        <v>110</v>
      </c>
      <c r="B22" s="177"/>
      <c r="C22" s="177"/>
      <c r="D22" s="177"/>
      <c r="E22" s="178" t="s">
        <v>1512</v>
      </c>
      <c r="M22" s="45" t="s">
        <v>1394</v>
      </c>
    </row>
    <row r="23" spans="1:13" ht="15.75" customHeight="1">
      <c r="A23" s="45" t="s">
        <v>847</v>
      </c>
      <c r="B23" s="177"/>
      <c r="C23" s="177"/>
      <c r="D23" s="177"/>
      <c r="E23" s="178" t="s">
        <v>1522</v>
      </c>
      <c r="M23" s="45" t="s">
        <v>303</v>
      </c>
    </row>
    <row r="24" spans="1:13" ht="15.75" customHeight="1">
      <c r="A24" s="45" t="s">
        <v>1231</v>
      </c>
      <c r="B24" s="177"/>
      <c r="C24" s="177"/>
      <c r="D24" s="177"/>
      <c r="E24" s="178" t="s">
        <v>1516</v>
      </c>
      <c r="M24" s="45" t="s">
        <v>420</v>
      </c>
    </row>
    <row r="25" spans="1:13" ht="15.75" customHeight="1">
      <c r="A25" s="45" t="s">
        <v>1141</v>
      </c>
      <c r="B25" s="177"/>
      <c r="C25" s="177"/>
      <c r="D25" s="177"/>
      <c r="E25" s="178" t="s">
        <v>1519</v>
      </c>
      <c r="M25" s="45" t="s">
        <v>1396</v>
      </c>
    </row>
    <row r="26" spans="1:13" ht="15.75" customHeight="1">
      <c r="A26" s="45" t="s">
        <v>310</v>
      </c>
      <c r="B26" s="177"/>
      <c r="C26" s="177"/>
      <c r="D26" s="177"/>
      <c r="E26" s="178" t="s">
        <v>1519</v>
      </c>
      <c r="M26" s="45" t="s">
        <v>447</v>
      </c>
    </row>
    <row r="27" spans="1:13" ht="15.75" customHeight="1">
      <c r="A27" s="45" t="s">
        <v>707</v>
      </c>
      <c r="B27" s="177"/>
      <c r="C27" s="177"/>
      <c r="D27" s="177"/>
      <c r="E27" s="178" t="s">
        <v>1516</v>
      </c>
      <c r="M27" s="45" t="s">
        <v>800</v>
      </c>
    </row>
    <row r="28" spans="1:13" ht="15.75" customHeight="1">
      <c r="A28" s="45" t="s">
        <v>739</v>
      </c>
      <c r="B28" s="177"/>
      <c r="C28" s="177"/>
      <c r="D28" s="177"/>
      <c r="E28" s="178" t="s">
        <v>1519</v>
      </c>
      <c r="M28" s="45" t="s">
        <v>937</v>
      </c>
    </row>
    <row r="29" spans="1:13" ht="15.75" customHeight="1">
      <c r="A29" s="45" t="s">
        <v>245</v>
      </c>
      <c r="B29" s="177"/>
      <c r="C29" s="177"/>
      <c r="D29" s="177"/>
      <c r="E29" s="178" t="s">
        <v>1516</v>
      </c>
      <c r="M29" s="45" t="s">
        <v>1273</v>
      </c>
    </row>
    <row r="30" spans="1:13" ht="15.75" customHeight="1">
      <c r="A30" s="45" t="s">
        <v>1152</v>
      </c>
      <c r="B30" s="177"/>
      <c r="C30" s="177"/>
      <c r="D30" s="177"/>
      <c r="E30" s="178" t="s">
        <v>1516</v>
      </c>
      <c r="M30" s="45" t="s">
        <v>1291</v>
      </c>
    </row>
    <row r="31" spans="1:13" ht="15.75" customHeight="1">
      <c r="A31" s="45" t="s">
        <v>160</v>
      </c>
      <c r="B31" s="177"/>
      <c r="C31" s="177"/>
      <c r="D31" s="177"/>
      <c r="E31" s="178" t="s">
        <v>1520</v>
      </c>
      <c r="M31" s="45" t="s">
        <v>1313</v>
      </c>
    </row>
    <row r="32" spans="1:13" ht="15.75" customHeight="1">
      <c r="A32" s="45" t="s">
        <v>83</v>
      </c>
      <c r="B32" s="177"/>
      <c r="C32" s="177"/>
      <c r="D32" s="177"/>
      <c r="E32" s="178" t="s">
        <v>1523</v>
      </c>
    </row>
    <row r="33" spans="1:5" ht="15.75" customHeight="1">
      <c r="A33" s="45" t="s">
        <v>224</v>
      </c>
      <c r="B33" s="177"/>
      <c r="C33" s="177"/>
      <c r="D33" s="177"/>
      <c r="E33" s="178" t="s">
        <v>1524</v>
      </c>
    </row>
    <row r="34" spans="1:5" ht="15.75" customHeight="1">
      <c r="A34" s="45" t="s">
        <v>318</v>
      </c>
      <c r="B34" s="177"/>
      <c r="C34" s="177"/>
      <c r="D34" s="177"/>
      <c r="E34" s="178" t="s">
        <v>1512</v>
      </c>
    </row>
    <row r="35" spans="1:5" ht="15.75" customHeight="1">
      <c r="A35" s="93" t="s">
        <v>819</v>
      </c>
      <c r="B35" s="177"/>
      <c r="C35" s="177"/>
      <c r="D35" s="177"/>
      <c r="E35" s="178" t="s">
        <v>1524</v>
      </c>
    </row>
    <row r="36" spans="1:5" ht="15.75" customHeight="1">
      <c r="A36" s="45" t="s">
        <v>257</v>
      </c>
      <c r="B36" s="177"/>
      <c r="C36" s="177"/>
      <c r="D36" s="177"/>
      <c r="E36" s="178" t="s">
        <v>1519</v>
      </c>
    </row>
    <row r="37" spans="1:5" ht="15.75" customHeight="1">
      <c r="A37" s="45" t="s">
        <v>859</v>
      </c>
      <c r="B37" s="177"/>
      <c r="C37" s="177"/>
      <c r="D37" s="177"/>
      <c r="E37" s="178" t="s">
        <v>1519</v>
      </c>
    </row>
    <row r="38" spans="1:5" ht="15.75" customHeight="1">
      <c r="A38" s="45" t="s">
        <v>336</v>
      </c>
      <c r="B38" s="177"/>
      <c r="C38" s="177"/>
      <c r="D38" s="177"/>
      <c r="E38" s="178" t="s">
        <v>1524</v>
      </c>
    </row>
    <row r="39" spans="1:5" ht="15.75" customHeight="1">
      <c r="A39" s="45" t="s">
        <v>970</v>
      </c>
      <c r="B39" s="177"/>
      <c r="C39" s="177"/>
      <c r="D39" s="177"/>
      <c r="E39" s="178" t="s">
        <v>1516</v>
      </c>
    </row>
    <row r="40" spans="1:5" ht="15.75" customHeight="1">
      <c r="B40" s="180"/>
      <c r="C40" s="180"/>
      <c r="D40" s="180"/>
    </row>
    <row r="41" spans="1:5" ht="15.75" customHeight="1">
      <c r="B41" s="180"/>
      <c r="C41" s="180"/>
      <c r="D41" s="180"/>
    </row>
    <row r="42" spans="1:5" ht="15.75" customHeight="1">
      <c r="B42" s="180"/>
      <c r="C42" s="180"/>
      <c r="D42" s="180"/>
    </row>
    <row r="43" spans="1:5" ht="15.75" customHeight="1">
      <c r="B43" s="180"/>
      <c r="C43" s="180"/>
      <c r="D43" s="180"/>
    </row>
    <row r="44" spans="1:5" ht="15.75" customHeight="1">
      <c r="B44" s="180"/>
      <c r="C44" s="180"/>
      <c r="D44" s="180"/>
    </row>
    <row r="45" spans="1:5" ht="15.75" customHeight="1">
      <c r="B45" s="180"/>
      <c r="C45" s="180"/>
      <c r="D45" s="180"/>
    </row>
    <row r="46" spans="1:5" ht="15.75" customHeight="1">
      <c r="B46" s="180"/>
      <c r="C46" s="180"/>
      <c r="D46" s="180"/>
    </row>
    <row r="47" spans="1:5" ht="13">
      <c r="B47" s="180"/>
      <c r="C47" s="180"/>
      <c r="D47" s="180"/>
    </row>
    <row r="48" spans="1:5" ht="13">
      <c r="B48" s="180"/>
      <c r="C48" s="180"/>
      <c r="D48" s="180"/>
    </row>
    <row r="49" spans="2:4" ht="13">
      <c r="B49" s="180"/>
      <c r="C49" s="180"/>
      <c r="D49" s="180"/>
    </row>
    <row r="50" spans="2:4" ht="13">
      <c r="B50" s="180"/>
      <c r="C50" s="180"/>
      <c r="D50" s="180"/>
    </row>
    <row r="51" spans="2:4" ht="13">
      <c r="B51" s="180"/>
      <c r="C51" s="180"/>
      <c r="D51" s="180"/>
    </row>
    <row r="52" spans="2:4" ht="13">
      <c r="B52" s="180"/>
      <c r="C52" s="180"/>
      <c r="D52" s="180"/>
    </row>
    <row r="53" spans="2:4" ht="13">
      <c r="B53" s="180"/>
      <c r="C53" s="180"/>
      <c r="D53" s="180"/>
    </row>
    <row r="54" spans="2:4" ht="13">
      <c r="B54" s="180"/>
      <c r="C54" s="180"/>
      <c r="D54" s="180"/>
    </row>
    <row r="55" spans="2:4" ht="13">
      <c r="B55" s="180"/>
      <c r="C55" s="180"/>
      <c r="D55" s="180"/>
    </row>
    <row r="56" spans="2:4" ht="13">
      <c r="B56" s="180"/>
      <c r="C56" s="180"/>
      <c r="D56" s="180"/>
    </row>
    <row r="57" spans="2:4" ht="13">
      <c r="B57" s="180"/>
      <c r="C57" s="180"/>
      <c r="D57" s="180"/>
    </row>
    <row r="58" spans="2:4" ht="13">
      <c r="B58" s="180"/>
      <c r="C58" s="180"/>
      <c r="D58" s="180"/>
    </row>
    <row r="59" spans="2:4" ht="13">
      <c r="B59" s="180"/>
      <c r="C59" s="180"/>
      <c r="D59" s="180"/>
    </row>
    <row r="60" spans="2:4" ht="13">
      <c r="B60" s="180"/>
      <c r="C60" s="180"/>
      <c r="D60" s="180"/>
    </row>
    <row r="61" spans="2:4" ht="13">
      <c r="B61" s="180"/>
      <c r="C61" s="180"/>
      <c r="D61" s="180"/>
    </row>
    <row r="62" spans="2:4" ht="13">
      <c r="B62" s="180"/>
      <c r="C62" s="180"/>
      <c r="D62" s="180"/>
    </row>
    <row r="63" spans="2:4" ht="13">
      <c r="B63" s="180"/>
      <c r="C63" s="180"/>
      <c r="D63" s="180"/>
    </row>
    <row r="64" spans="2:4" ht="13">
      <c r="B64" s="180"/>
      <c r="C64" s="180"/>
      <c r="D64" s="180"/>
    </row>
    <row r="65" spans="2:4" ht="13">
      <c r="B65" s="180"/>
      <c r="C65" s="180"/>
      <c r="D65" s="180"/>
    </row>
    <row r="66" spans="2:4" ht="13">
      <c r="B66" s="180"/>
      <c r="C66" s="180"/>
      <c r="D66" s="180"/>
    </row>
    <row r="67" spans="2:4" ht="13">
      <c r="B67" s="180"/>
      <c r="C67" s="180"/>
      <c r="D67" s="180"/>
    </row>
    <row r="68" spans="2:4" ht="13">
      <c r="B68" s="180"/>
      <c r="C68" s="180"/>
      <c r="D68" s="180"/>
    </row>
    <row r="69" spans="2:4" ht="13">
      <c r="B69" s="180"/>
      <c r="C69" s="180"/>
      <c r="D69" s="180"/>
    </row>
    <row r="70" spans="2:4" ht="13">
      <c r="B70" s="180"/>
      <c r="C70" s="180"/>
      <c r="D70" s="180"/>
    </row>
    <row r="71" spans="2:4" ht="13">
      <c r="B71" s="180"/>
      <c r="C71" s="180"/>
      <c r="D71" s="180"/>
    </row>
    <row r="72" spans="2:4" ht="13">
      <c r="B72" s="180"/>
      <c r="C72" s="180"/>
      <c r="D72" s="180"/>
    </row>
    <row r="73" spans="2:4" ht="13">
      <c r="B73" s="180"/>
      <c r="C73" s="180"/>
      <c r="D73" s="180"/>
    </row>
    <row r="74" spans="2:4" ht="13">
      <c r="B74" s="180"/>
      <c r="C74" s="180"/>
      <c r="D74" s="180"/>
    </row>
    <row r="75" spans="2:4" ht="13">
      <c r="B75" s="180"/>
      <c r="C75" s="180"/>
      <c r="D75" s="180"/>
    </row>
    <row r="76" spans="2:4" ht="13">
      <c r="B76" s="180"/>
      <c r="C76" s="180"/>
      <c r="D76" s="180"/>
    </row>
    <row r="77" spans="2:4" ht="13">
      <c r="B77" s="180"/>
      <c r="C77" s="180"/>
      <c r="D77" s="180"/>
    </row>
    <row r="78" spans="2:4" ht="13">
      <c r="B78" s="180"/>
      <c r="C78" s="180"/>
      <c r="D78" s="180"/>
    </row>
    <row r="79" spans="2:4" ht="13">
      <c r="B79" s="180"/>
      <c r="C79" s="180"/>
      <c r="D79" s="180"/>
    </row>
    <row r="80" spans="2:4" ht="13">
      <c r="B80" s="180"/>
      <c r="C80" s="180"/>
      <c r="D80" s="180"/>
    </row>
    <row r="81" spans="2:4" ht="13">
      <c r="B81" s="180"/>
      <c r="C81" s="180"/>
      <c r="D81" s="180"/>
    </row>
    <row r="82" spans="2:4" ht="13">
      <c r="B82" s="180"/>
      <c r="C82" s="180"/>
      <c r="D82" s="180"/>
    </row>
    <row r="83" spans="2:4" ht="13">
      <c r="B83" s="180"/>
      <c r="C83" s="180"/>
      <c r="D83" s="180"/>
    </row>
    <row r="84" spans="2:4" ht="13">
      <c r="B84" s="180"/>
      <c r="C84" s="180"/>
      <c r="D84" s="180"/>
    </row>
    <row r="85" spans="2:4" ht="13">
      <c r="B85" s="180"/>
      <c r="C85" s="180"/>
      <c r="D85" s="180"/>
    </row>
    <row r="86" spans="2:4" ht="13">
      <c r="B86" s="180"/>
      <c r="C86" s="180"/>
      <c r="D86" s="180"/>
    </row>
    <row r="87" spans="2:4" ht="13">
      <c r="B87" s="180"/>
      <c r="C87" s="180"/>
      <c r="D87" s="180"/>
    </row>
    <row r="88" spans="2:4" ht="13">
      <c r="B88" s="180"/>
      <c r="C88" s="180"/>
      <c r="D88" s="180"/>
    </row>
    <row r="89" spans="2:4" ht="13">
      <c r="B89" s="180"/>
      <c r="C89" s="180"/>
      <c r="D89" s="180"/>
    </row>
    <row r="90" spans="2:4" ht="13">
      <c r="B90" s="180"/>
      <c r="C90" s="180"/>
      <c r="D90" s="180"/>
    </row>
    <row r="91" spans="2:4" ht="13">
      <c r="B91" s="180"/>
      <c r="C91" s="180"/>
      <c r="D91" s="180"/>
    </row>
    <row r="92" spans="2:4" ht="13">
      <c r="B92" s="180"/>
      <c r="C92" s="180"/>
      <c r="D92" s="180"/>
    </row>
    <row r="93" spans="2:4" ht="13">
      <c r="B93" s="180"/>
      <c r="C93" s="180"/>
      <c r="D93" s="180"/>
    </row>
    <row r="94" spans="2:4" ht="13">
      <c r="B94" s="180"/>
      <c r="C94" s="180"/>
      <c r="D94" s="180"/>
    </row>
    <row r="95" spans="2:4" ht="13">
      <c r="B95" s="180"/>
      <c r="C95" s="180"/>
      <c r="D95" s="180"/>
    </row>
    <row r="96" spans="2:4" ht="13">
      <c r="B96" s="180"/>
      <c r="C96" s="180"/>
      <c r="D96" s="180"/>
    </row>
    <row r="97" spans="2:4" ht="13">
      <c r="B97" s="180"/>
      <c r="C97" s="180"/>
      <c r="D97" s="180"/>
    </row>
    <row r="98" spans="2:4" ht="13">
      <c r="B98" s="180"/>
      <c r="C98" s="180"/>
      <c r="D98" s="180"/>
    </row>
    <row r="99" spans="2:4" ht="13">
      <c r="B99" s="180"/>
      <c r="C99" s="180"/>
      <c r="D99" s="180"/>
    </row>
    <row r="100" spans="2:4" ht="13">
      <c r="B100" s="180"/>
      <c r="C100" s="180"/>
      <c r="D100" s="180"/>
    </row>
    <row r="101" spans="2:4" ht="13">
      <c r="B101" s="180"/>
      <c r="C101" s="180"/>
      <c r="D101" s="180"/>
    </row>
    <row r="102" spans="2:4" ht="13">
      <c r="B102" s="180"/>
      <c r="C102" s="180"/>
      <c r="D102" s="180"/>
    </row>
    <row r="103" spans="2:4" ht="13">
      <c r="B103" s="180"/>
      <c r="C103" s="180"/>
      <c r="D103" s="180"/>
    </row>
    <row r="104" spans="2:4" ht="13">
      <c r="B104" s="180"/>
      <c r="C104" s="180"/>
      <c r="D104" s="180"/>
    </row>
    <row r="105" spans="2:4" ht="13">
      <c r="B105" s="180"/>
      <c r="C105" s="180"/>
      <c r="D105" s="180"/>
    </row>
    <row r="106" spans="2:4" ht="13">
      <c r="B106" s="180"/>
      <c r="C106" s="180"/>
      <c r="D106" s="180"/>
    </row>
    <row r="107" spans="2:4" ht="13">
      <c r="B107" s="180"/>
      <c r="C107" s="180"/>
      <c r="D107" s="180"/>
    </row>
    <row r="108" spans="2:4" ht="13">
      <c r="B108" s="180"/>
      <c r="C108" s="180"/>
      <c r="D108" s="180"/>
    </row>
    <row r="109" spans="2:4" ht="13">
      <c r="B109" s="180"/>
      <c r="C109" s="180"/>
      <c r="D109" s="180"/>
    </row>
    <row r="110" spans="2:4" ht="13">
      <c r="B110" s="180"/>
      <c r="C110" s="180"/>
      <c r="D110" s="180"/>
    </row>
    <row r="111" spans="2:4" ht="13">
      <c r="B111" s="180"/>
      <c r="C111" s="180"/>
      <c r="D111" s="180"/>
    </row>
    <row r="112" spans="2:4" ht="13">
      <c r="B112" s="180"/>
      <c r="C112" s="180"/>
      <c r="D112" s="180"/>
    </row>
    <row r="113" spans="2:4" ht="13">
      <c r="B113" s="180"/>
      <c r="C113" s="180"/>
      <c r="D113" s="180"/>
    </row>
    <row r="114" spans="2:4" ht="13">
      <c r="B114" s="180"/>
      <c r="C114" s="180"/>
      <c r="D114" s="180"/>
    </row>
    <row r="115" spans="2:4" ht="13">
      <c r="B115" s="180"/>
      <c r="C115" s="180"/>
      <c r="D115" s="180"/>
    </row>
    <row r="116" spans="2:4" ht="13">
      <c r="B116" s="180"/>
      <c r="C116" s="180"/>
      <c r="D116" s="180"/>
    </row>
    <row r="117" spans="2:4" ht="13">
      <c r="B117" s="180"/>
      <c r="C117" s="180"/>
      <c r="D117" s="180"/>
    </row>
    <row r="118" spans="2:4" ht="13">
      <c r="B118" s="180"/>
      <c r="C118" s="180"/>
      <c r="D118" s="180"/>
    </row>
    <row r="119" spans="2:4" ht="13">
      <c r="B119" s="180"/>
      <c r="C119" s="180"/>
      <c r="D119" s="180"/>
    </row>
    <row r="120" spans="2:4" ht="13">
      <c r="B120" s="180"/>
      <c r="C120" s="180"/>
      <c r="D120" s="180"/>
    </row>
    <row r="121" spans="2:4" ht="13">
      <c r="B121" s="180"/>
      <c r="C121" s="180"/>
      <c r="D121" s="180"/>
    </row>
    <row r="122" spans="2:4" ht="13">
      <c r="B122" s="180"/>
      <c r="C122" s="180"/>
      <c r="D122" s="180"/>
    </row>
    <row r="123" spans="2:4" ht="13">
      <c r="B123" s="180"/>
      <c r="C123" s="180"/>
      <c r="D123" s="180"/>
    </row>
    <row r="124" spans="2:4" ht="13">
      <c r="B124" s="180"/>
      <c r="C124" s="180"/>
      <c r="D124" s="180"/>
    </row>
    <row r="125" spans="2:4" ht="13">
      <c r="B125" s="180"/>
      <c r="C125" s="180"/>
      <c r="D125" s="180"/>
    </row>
    <row r="126" spans="2:4" ht="13">
      <c r="B126" s="180"/>
      <c r="C126" s="180"/>
      <c r="D126" s="180"/>
    </row>
    <row r="127" spans="2:4" ht="13">
      <c r="B127" s="180"/>
      <c r="C127" s="180"/>
      <c r="D127" s="180"/>
    </row>
    <row r="128" spans="2:4" ht="13">
      <c r="B128" s="180"/>
      <c r="C128" s="180"/>
      <c r="D128" s="180"/>
    </row>
    <row r="129" spans="2:4" ht="13">
      <c r="B129" s="180"/>
      <c r="C129" s="180"/>
      <c r="D129" s="180"/>
    </row>
    <row r="130" spans="2:4" ht="13">
      <c r="B130" s="180"/>
      <c r="C130" s="180"/>
      <c r="D130" s="180"/>
    </row>
    <row r="131" spans="2:4" ht="13">
      <c r="B131" s="180"/>
      <c r="C131" s="180"/>
      <c r="D131" s="180"/>
    </row>
    <row r="132" spans="2:4" ht="13">
      <c r="B132" s="180"/>
      <c r="C132" s="180"/>
      <c r="D132" s="180"/>
    </row>
    <row r="133" spans="2:4" ht="13">
      <c r="B133" s="180"/>
      <c r="C133" s="180"/>
      <c r="D133" s="180"/>
    </row>
    <row r="134" spans="2:4" ht="13">
      <c r="B134" s="180"/>
      <c r="C134" s="180"/>
      <c r="D134" s="180"/>
    </row>
    <row r="135" spans="2:4" ht="13">
      <c r="B135" s="180"/>
      <c r="C135" s="180"/>
      <c r="D135" s="180"/>
    </row>
    <row r="136" spans="2:4" ht="13">
      <c r="B136" s="180"/>
      <c r="C136" s="180"/>
      <c r="D136" s="180"/>
    </row>
    <row r="137" spans="2:4" ht="13">
      <c r="B137" s="180"/>
      <c r="C137" s="180"/>
      <c r="D137" s="180"/>
    </row>
    <row r="138" spans="2:4" ht="13">
      <c r="B138" s="180"/>
      <c r="C138" s="180"/>
      <c r="D138" s="180"/>
    </row>
    <row r="139" spans="2:4" ht="13">
      <c r="B139" s="180"/>
      <c r="C139" s="180"/>
      <c r="D139" s="180"/>
    </row>
    <row r="140" spans="2:4" ht="13">
      <c r="B140" s="180"/>
      <c r="C140" s="180"/>
      <c r="D140" s="180"/>
    </row>
    <row r="141" spans="2:4" ht="13">
      <c r="B141" s="180"/>
      <c r="C141" s="180"/>
      <c r="D141" s="180"/>
    </row>
    <row r="142" spans="2:4" ht="13">
      <c r="B142" s="180"/>
      <c r="C142" s="180"/>
      <c r="D142" s="180"/>
    </row>
    <row r="143" spans="2:4" ht="13">
      <c r="B143" s="180"/>
      <c r="C143" s="180"/>
      <c r="D143" s="180"/>
    </row>
    <row r="144" spans="2:4" ht="13">
      <c r="B144" s="180"/>
      <c r="C144" s="180"/>
      <c r="D144" s="180"/>
    </row>
    <row r="145" spans="2:4" ht="13">
      <c r="B145" s="180"/>
      <c r="C145" s="180"/>
      <c r="D145" s="180"/>
    </row>
    <row r="146" spans="2:4" ht="13">
      <c r="B146" s="180"/>
      <c r="C146" s="180"/>
      <c r="D146" s="180"/>
    </row>
    <row r="147" spans="2:4" ht="13">
      <c r="B147" s="180"/>
      <c r="C147" s="180"/>
      <c r="D147" s="180"/>
    </row>
    <row r="148" spans="2:4" ht="13">
      <c r="B148" s="180"/>
      <c r="C148" s="180"/>
      <c r="D148" s="180"/>
    </row>
    <row r="149" spans="2:4" ht="13">
      <c r="B149" s="180"/>
      <c r="C149" s="180"/>
      <c r="D149" s="180"/>
    </row>
    <row r="150" spans="2:4" ht="13">
      <c r="B150" s="180"/>
      <c r="C150" s="180"/>
      <c r="D150" s="180"/>
    </row>
    <row r="151" spans="2:4" ht="13">
      <c r="B151" s="180"/>
      <c r="C151" s="180"/>
      <c r="D151" s="180"/>
    </row>
    <row r="152" spans="2:4" ht="13">
      <c r="B152" s="180"/>
      <c r="C152" s="180"/>
      <c r="D152" s="180"/>
    </row>
    <row r="153" spans="2:4" ht="13">
      <c r="B153" s="180"/>
      <c r="C153" s="180"/>
      <c r="D153" s="180"/>
    </row>
    <row r="154" spans="2:4" ht="13">
      <c r="B154" s="180"/>
      <c r="C154" s="180"/>
      <c r="D154" s="180"/>
    </row>
    <row r="155" spans="2:4" ht="13">
      <c r="B155" s="180"/>
      <c r="C155" s="180"/>
      <c r="D155" s="180"/>
    </row>
    <row r="156" spans="2:4" ht="13">
      <c r="B156" s="180"/>
      <c r="C156" s="180"/>
      <c r="D156" s="180"/>
    </row>
    <row r="157" spans="2:4" ht="13">
      <c r="B157" s="180"/>
      <c r="C157" s="180"/>
      <c r="D157" s="180"/>
    </row>
    <row r="158" spans="2:4" ht="13">
      <c r="B158" s="180"/>
      <c r="C158" s="180"/>
      <c r="D158" s="180"/>
    </row>
    <row r="159" spans="2:4" ht="13">
      <c r="B159" s="180"/>
      <c r="C159" s="180"/>
      <c r="D159" s="180"/>
    </row>
    <row r="160" spans="2:4" ht="13">
      <c r="B160" s="180"/>
      <c r="C160" s="180"/>
      <c r="D160" s="180"/>
    </row>
    <row r="161" spans="2:4" ht="13">
      <c r="B161" s="180"/>
      <c r="C161" s="180"/>
      <c r="D161" s="180"/>
    </row>
    <row r="162" spans="2:4" ht="13">
      <c r="B162" s="180"/>
      <c r="C162" s="180"/>
      <c r="D162" s="180"/>
    </row>
    <row r="163" spans="2:4" ht="13">
      <c r="B163" s="180"/>
      <c r="C163" s="180"/>
      <c r="D163" s="180"/>
    </row>
    <row r="164" spans="2:4" ht="13">
      <c r="B164" s="180"/>
      <c r="C164" s="180"/>
      <c r="D164" s="180"/>
    </row>
    <row r="165" spans="2:4" ht="13">
      <c r="B165" s="180"/>
      <c r="C165" s="180"/>
      <c r="D165" s="180"/>
    </row>
    <row r="166" spans="2:4" ht="13">
      <c r="B166" s="180"/>
      <c r="C166" s="180"/>
      <c r="D166" s="180"/>
    </row>
    <row r="167" spans="2:4" ht="13">
      <c r="B167" s="180"/>
      <c r="C167" s="180"/>
      <c r="D167" s="180"/>
    </row>
    <row r="168" spans="2:4" ht="13">
      <c r="B168" s="180"/>
      <c r="C168" s="180"/>
      <c r="D168" s="180"/>
    </row>
    <row r="169" spans="2:4" ht="13">
      <c r="B169" s="180"/>
      <c r="C169" s="180"/>
      <c r="D169" s="180"/>
    </row>
    <row r="170" spans="2:4" ht="13">
      <c r="B170" s="180"/>
      <c r="C170" s="180"/>
      <c r="D170" s="180"/>
    </row>
    <row r="171" spans="2:4" ht="13">
      <c r="B171" s="180"/>
      <c r="C171" s="180"/>
      <c r="D171" s="180"/>
    </row>
    <row r="172" spans="2:4" ht="13">
      <c r="B172" s="180"/>
      <c r="C172" s="180"/>
      <c r="D172" s="180"/>
    </row>
    <row r="173" spans="2:4" ht="13">
      <c r="B173" s="180"/>
      <c r="C173" s="180"/>
      <c r="D173" s="180"/>
    </row>
    <row r="174" spans="2:4" ht="13">
      <c r="B174" s="180"/>
      <c r="C174" s="180"/>
      <c r="D174" s="180"/>
    </row>
    <row r="175" spans="2:4" ht="13">
      <c r="B175" s="180"/>
      <c r="C175" s="180"/>
      <c r="D175" s="180"/>
    </row>
    <row r="176" spans="2:4" ht="13">
      <c r="B176" s="180"/>
      <c r="C176" s="180"/>
      <c r="D176" s="180"/>
    </row>
    <row r="177" spans="2:4" ht="13">
      <c r="B177" s="180"/>
      <c r="C177" s="180"/>
      <c r="D177" s="180"/>
    </row>
    <row r="178" spans="2:4" ht="13">
      <c r="B178" s="180"/>
      <c r="C178" s="180"/>
      <c r="D178" s="180"/>
    </row>
    <row r="179" spans="2:4" ht="13">
      <c r="B179" s="180"/>
      <c r="C179" s="180"/>
      <c r="D179" s="180"/>
    </row>
    <row r="180" spans="2:4" ht="13">
      <c r="B180" s="180"/>
      <c r="C180" s="180"/>
      <c r="D180" s="180"/>
    </row>
    <row r="181" spans="2:4" ht="13">
      <c r="B181" s="180"/>
      <c r="C181" s="180"/>
      <c r="D181" s="180"/>
    </row>
    <row r="182" spans="2:4" ht="13">
      <c r="B182" s="180"/>
      <c r="C182" s="180"/>
      <c r="D182" s="180"/>
    </row>
    <row r="183" spans="2:4" ht="13">
      <c r="B183" s="180"/>
      <c r="C183" s="180"/>
      <c r="D183" s="180"/>
    </row>
    <row r="184" spans="2:4" ht="13">
      <c r="B184" s="180"/>
      <c r="C184" s="180"/>
      <c r="D184" s="180"/>
    </row>
    <row r="185" spans="2:4" ht="13">
      <c r="B185" s="180"/>
      <c r="C185" s="180"/>
      <c r="D185" s="180"/>
    </row>
    <row r="186" spans="2:4" ht="13">
      <c r="B186" s="180"/>
      <c r="C186" s="180"/>
      <c r="D186" s="180"/>
    </row>
    <row r="187" spans="2:4" ht="13">
      <c r="B187" s="180"/>
      <c r="C187" s="180"/>
      <c r="D187" s="180"/>
    </row>
    <row r="188" spans="2:4" ht="13">
      <c r="B188" s="180"/>
      <c r="C188" s="180"/>
      <c r="D188" s="180"/>
    </row>
    <row r="189" spans="2:4" ht="13">
      <c r="B189" s="180"/>
      <c r="C189" s="180"/>
      <c r="D189" s="180"/>
    </row>
    <row r="190" spans="2:4" ht="13">
      <c r="B190" s="180"/>
      <c r="C190" s="180"/>
      <c r="D190" s="180"/>
    </row>
    <row r="191" spans="2:4" ht="13">
      <c r="B191" s="180"/>
      <c r="C191" s="180"/>
      <c r="D191" s="180"/>
    </row>
    <row r="192" spans="2:4" ht="13">
      <c r="B192" s="180"/>
      <c r="C192" s="180"/>
      <c r="D192" s="180"/>
    </row>
    <row r="193" spans="2:4" ht="13">
      <c r="B193" s="180"/>
      <c r="C193" s="180"/>
      <c r="D193" s="180"/>
    </row>
    <row r="194" spans="2:4" ht="13">
      <c r="B194" s="180"/>
      <c r="C194" s="180"/>
      <c r="D194" s="180"/>
    </row>
    <row r="195" spans="2:4" ht="13">
      <c r="B195" s="180"/>
      <c r="C195" s="180"/>
      <c r="D195" s="180"/>
    </row>
    <row r="196" spans="2:4" ht="13">
      <c r="B196" s="180"/>
      <c r="C196" s="180"/>
      <c r="D196" s="180"/>
    </row>
    <row r="197" spans="2:4" ht="13">
      <c r="B197" s="180"/>
      <c r="C197" s="180"/>
      <c r="D197" s="180"/>
    </row>
    <row r="198" spans="2:4" ht="13">
      <c r="B198" s="180"/>
      <c r="C198" s="180"/>
      <c r="D198" s="180"/>
    </row>
    <row r="199" spans="2:4" ht="13">
      <c r="B199" s="180"/>
      <c r="C199" s="180"/>
      <c r="D199" s="180"/>
    </row>
    <row r="200" spans="2:4" ht="13">
      <c r="B200" s="180"/>
      <c r="C200" s="180"/>
      <c r="D200" s="180"/>
    </row>
    <row r="201" spans="2:4" ht="13">
      <c r="B201" s="180"/>
      <c r="C201" s="180"/>
      <c r="D201" s="180"/>
    </row>
    <row r="202" spans="2:4" ht="13">
      <c r="B202" s="180"/>
      <c r="C202" s="180"/>
      <c r="D202" s="180"/>
    </row>
    <row r="203" spans="2:4" ht="13">
      <c r="B203" s="180"/>
      <c r="C203" s="180"/>
      <c r="D203" s="180"/>
    </row>
    <row r="204" spans="2:4" ht="13">
      <c r="B204" s="180"/>
      <c r="C204" s="180"/>
      <c r="D204" s="180"/>
    </row>
    <row r="205" spans="2:4" ht="13">
      <c r="B205" s="180"/>
      <c r="C205" s="180"/>
      <c r="D205" s="180"/>
    </row>
    <row r="206" spans="2:4" ht="13">
      <c r="B206" s="180"/>
      <c r="C206" s="180"/>
      <c r="D206" s="180"/>
    </row>
    <row r="207" spans="2:4" ht="13">
      <c r="B207" s="180"/>
      <c r="C207" s="180"/>
      <c r="D207" s="180"/>
    </row>
    <row r="208" spans="2:4" ht="13">
      <c r="B208" s="180"/>
      <c r="C208" s="180"/>
      <c r="D208" s="180"/>
    </row>
    <row r="209" spans="2:4" ht="13">
      <c r="B209" s="180"/>
      <c r="C209" s="180"/>
      <c r="D209" s="180"/>
    </row>
    <row r="210" spans="2:4" ht="13">
      <c r="B210" s="180"/>
      <c r="C210" s="180"/>
      <c r="D210" s="180"/>
    </row>
    <row r="211" spans="2:4" ht="13">
      <c r="B211" s="180"/>
      <c r="C211" s="180"/>
      <c r="D211" s="180"/>
    </row>
    <row r="212" spans="2:4" ht="13">
      <c r="B212" s="180"/>
      <c r="C212" s="180"/>
      <c r="D212" s="180"/>
    </row>
    <row r="213" spans="2:4" ht="13">
      <c r="B213" s="180"/>
      <c r="C213" s="180"/>
      <c r="D213" s="180"/>
    </row>
    <row r="214" spans="2:4" ht="13">
      <c r="B214" s="180"/>
      <c r="C214" s="180"/>
      <c r="D214" s="180"/>
    </row>
    <row r="215" spans="2:4" ht="13">
      <c r="B215" s="180"/>
      <c r="C215" s="180"/>
      <c r="D215" s="180"/>
    </row>
    <row r="216" spans="2:4" ht="13">
      <c r="B216" s="180"/>
      <c r="C216" s="180"/>
      <c r="D216" s="180"/>
    </row>
    <row r="217" spans="2:4" ht="13">
      <c r="B217" s="180"/>
      <c r="C217" s="180"/>
      <c r="D217" s="180"/>
    </row>
    <row r="218" spans="2:4" ht="13">
      <c r="B218" s="180"/>
      <c r="C218" s="180"/>
      <c r="D218" s="180"/>
    </row>
    <row r="219" spans="2:4" ht="13">
      <c r="B219" s="180"/>
      <c r="C219" s="180"/>
      <c r="D219" s="180"/>
    </row>
    <row r="220" spans="2:4" ht="13">
      <c r="B220" s="180"/>
      <c r="C220" s="180"/>
      <c r="D220" s="180"/>
    </row>
    <row r="221" spans="2:4" ht="13">
      <c r="B221" s="180"/>
      <c r="C221" s="180"/>
      <c r="D221" s="180"/>
    </row>
    <row r="222" spans="2:4" ht="13">
      <c r="B222" s="180"/>
      <c r="C222" s="180"/>
      <c r="D222" s="180"/>
    </row>
    <row r="223" spans="2:4" ht="13">
      <c r="B223" s="180"/>
      <c r="C223" s="180"/>
      <c r="D223" s="180"/>
    </row>
    <row r="224" spans="2:4" ht="13">
      <c r="B224" s="180"/>
      <c r="C224" s="180"/>
      <c r="D224" s="180"/>
    </row>
    <row r="225" spans="2:4" ht="13">
      <c r="B225" s="180"/>
      <c r="C225" s="180"/>
      <c r="D225" s="180"/>
    </row>
    <row r="226" spans="2:4" ht="13">
      <c r="B226" s="180"/>
      <c r="C226" s="180"/>
      <c r="D226" s="180"/>
    </row>
    <row r="227" spans="2:4" ht="13">
      <c r="B227" s="180"/>
      <c r="C227" s="180"/>
      <c r="D227" s="180"/>
    </row>
    <row r="228" spans="2:4" ht="13">
      <c r="B228" s="180"/>
      <c r="C228" s="180"/>
      <c r="D228" s="180"/>
    </row>
    <row r="229" spans="2:4" ht="13">
      <c r="B229" s="180"/>
      <c r="C229" s="180"/>
      <c r="D229" s="180"/>
    </row>
    <row r="230" spans="2:4" ht="13">
      <c r="B230" s="180"/>
      <c r="C230" s="180"/>
      <c r="D230" s="180"/>
    </row>
    <row r="231" spans="2:4" ht="13">
      <c r="B231" s="180"/>
      <c r="C231" s="180"/>
      <c r="D231" s="180"/>
    </row>
    <row r="232" spans="2:4" ht="13">
      <c r="B232" s="180"/>
      <c r="C232" s="180"/>
      <c r="D232" s="180"/>
    </row>
    <row r="233" spans="2:4" ht="13">
      <c r="B233" s="180"/>
      <c r="C233" s="180"/>
      <c r="D233" s="180"/>
    </row>
    <row r="234" spans="2:4" ht="13">
      <c r="B234" s="180"/>
      <c r="C234" s="180"/>
      <c r="D234" s="180"/>
    </row>
    <row r="235" spans="2:4" ht="13">
      <c r="B235" s="180"/>
      <c r="C235" s="180"/>
      <c r="D235" s="180"/>
    </row>
    <row r="236" spans="2:4" ht="13">
      <c r="B236" s="180"/>
      <c r="C236" s="180"/>
      <c r="D236" s="180"/>
    </row>
    <row r="237" spans="2:4" ht="13">
      <c r="B237" s="180"/>
      <c r="C237" s="180"/>
      <c r="D237" s="180"/>
    </row>
    <row r="238" spans="2:4" ht="13">
      <c r="B238" s="180"/>
      <c r="C238" s="180"/>
      <c r="D238" s="180"/>
    </row>
    <row r="239" spans="2:4" ht="13">
      <c r="B239" s="180"/>
      <c r="C239" s="180"/>
      <c r="D239" s="180"/>
    </row>
    <row r="240" spans="2:4" ht="13">
      <c r="B240" s="180"/>
      <c r="C240" s="180"/>
      <c r="D240" s="180"/>
    </row>
    <row r="241" spans="2:4" ht="13">
      <c r="B241" s="180"/>
      <c r="C241" s="180"/>
      <c r="D241" s="180"/>
    </row>
    <row r="242" spans="2:4" ht="13">
      <c r="B242" s="180"/>
      <c r="C242" s="180"/>
      <c r="D242" s="180"/>
    </row>
    <row r="243" spans="2:4" ht="13">
      <c r="B243" s="180"/>
      <c r="C243" s="180"/>
      <c r="D243" s="180"/>
    </row>
    <row r="244" spans="2:4" ht="13">
      <c r="B244" s="180"/>
      <c r="C244" s="180"/>
      <c r="D244" s="180"/>
    </row>
    <row r="245" spans="2:4" ht="13">
      <c r="B245" s="180"/>
      <c r="C245" s="180"/>
      <c r="D245" s="180"/>
    </row>
    <row r="246" spans="2:4" ht="13">
      <c r="B246" s="180"/>
      <c r="C246" s="180"/>
      <c r="D246" s="180"/>
    </row>
    <row r="247" spans="2:4" ht="13">
      <c r="B247" s="180"/>
      <c r="C247" s="180"/>
      <c r="D247" s="180"/>
    </row>
    <row r="248" spans="2:4" ht="13">
      <c r="B248" s="180"/>
      <c r="C248" s="180"/>
      <c r="D248" s="180"/>
    </row>
    <row r="249" spans="2:4" ht="13">
      <c r="B249" s="180"/>
      <c r="C249" s="180"/>
      <c r="D249" s="180"/>
    </row>
    <row r="250" spans="2:4" ht="13">
      <c r="B250" s="180"/>
      <c r="C250" s="180"/>
      <c r="D250" s="180"/>
    </row>
    <row r="251" spans="2:4" ht="13">
      <c r="B251" s="180"/>
      <c r="C251" s="180"/>
      <c r="D251" s="180"/>
    </row>
    <row r="252" spans="2:4" ht="13">
      <c r="B252" s="180"/>
      <c r="C252" s="180"/>
      <c r="D252" s="180"/>
    </row>
    <row r="253" spans="2:4" ht="13">
      <c r="B253" s="180"/>
      <c r="C253" s="180"/>
      <c r="D253" s="180"/>
    </row>
    <row r="254" spans="2:4" ht="13">
      <c r="B254" s="180"/>
      <c r="C254" s="180"/>
      <c r="D254" s="180"/>
    </row>
    <row r="255" spans="2:4" ht="13">
      <c r="B255" s="180"/>
      <c r="C255" s="180"/>
      <c r="D255" s="180"/>
    </row>
    <row r="256" spans="2:4" ht="13">
      <c r="B256" s="180"/>
      <c r="C256" s="180"/>
      <c r="D256" s="180"/>
    </row>
    <row r="257" spans="2:4" ht="13">
      <c r="B257" s="180"/>
      <c r="C257" s="180"/>
      <c r="D257" s="180"/>
    </row>
    <row r="258" spans="2:4" ht="13">
      <c r="B258" s="180"/>
      <c r="C258" s="180"/>
      <c r="D258" s="180"/>
    </row>
    <row r="259" spans="2:4" ht="13">
      <c r="B259" s="180"/>
      <c r="C259" s="180"/>
      <c r="D259" s="180"/>
    </row>
    <row r="260" spans="2:4" ht="13">
      <c r="B260" s="180"/>
      <c r="C260" s="180"/>
      <c r="D260" s="180"/>
    </row>
    <row r="261" spans="2:4" ht="13">
      <c r="B261" s="180"/>
      <c r="C261" s="180"/>
      <c r="D261" s="180"/>
    </row>
    <row r="262" spans="2:4" ht="13">
      <c r="B262" s="180"/>
      <c r="C262" s="180"/>
      <c r="D262" s="180"/>
    </row>
    <row r="263" spans="2:4" ht="13">
      <c r="B263" s="180"/>
      <c r="C263" s="180"/>
      <c r="D263" s="180"/>
    </row>
    <row r="264" spans="2:4" ht="13">
      <c r="B264" s="180"/>
      <c r="C264" s="180"/>
      <c r="D264" s="180"/>
    </row>
    <row r="265" spans="2:4" ht="13">
      <c r="B265" s="180"/>
      <c r="C265" s="180"/>
      <c r="D265" s="180"/>
    </row>
    <row r="266" spans="2:4" ht="13">
      <c r="B266" s="180"/>
      <c r="C266" s="180"/>
      <c r="D266" s="180"/>
    </row>
    <row r="267" spans="2:4" ht="13">
      <c r="B267" s="180"/>
      <c r="C267" s="180"/>
      <c r="D267" s="180"/>
    </row>
    <row r="268" spans="2:4" ht="13">
      <c r="B268" s="180"/>
      <c r="C268" s="180"/>
      <c r="D268" s="180"/>
    </row>
    <row r="269" spans="2:4" ht="13">
      <c r="B269" s="180"/>
      <c r="C269" s="180"/>
      <c r="D269" s="180"/>
    </row>
    <row r="270" spans="2:4" ht="13">
      <c r="B270" s="180"/>
      <c r="C270" s="180"/>
      <c r="D270" s="180"/>
    </row>
    <row r="271" spans="2:4" ht="13">
      <c r="B271" s="180"/>
      <c r="C271" s="180"/>
      <c r="D271" s="180"/>
    </row>
    <row r="272" spans="2:4" ht="13">
      <c r="B272" s="180"/>
      <c r="C272" s="180"/>
      <c r="D272" s="180"/>
    </row>
    <row r="273" spans="2:4" ht="13">
      <c r="B273" s="180"/>
      <c r="C273" s="180"/>
      <c r="D273" s="180"/>
    </row>
    <row r="274" spans="2:4" ht="13">
      <c r="B274" s="180"/>
      <c r="C274" s="180"/>
      <c r="D274" s="180"/>
    </row>
    <row r="275" spans="2:4" ht="13">
      <c r="B275" s="180"/>
      <c r="C275" s="180"/>
      <c r="D275" s="180"/>
    </row>
    <row r="276" spans="2:4" ht="13">
      <c r="B276" s="180"/>
      <c r="C276" s="180"/>
      <c r="D276" s="180"/>
    </row>
    <row r="277" spans="2:4" ht="13">
      <c r="B277" s="180"/>
      <c r="C277" s="180"/>
      <c r="D277" s="180"/>
    </row>
    <row r="278" spans="2:4" ht="13">
      <c r="B278" s="180"/>
      <c r="C278" s="180"/>
      <c r="D278" s="180"/>
    </row>
    <row r="279" spans="2:4" ht="13">
      <c r="B279" s="180"/>
      <c r="C279" s="180"/>
      <c r="D279" s="180"/>
    </row>
    <row r="280" spans="2:4" ht="13">
      <c r="B280" s="180"/>
      <c r="C280" s="180"/>
      <c r="D280" s="180"/>
    </row>
    <row r="281" spans="2:4" ht="13">
      <c r="B281" s="180"/>
      <c r="C281" s="180"/>
      <c r="D281" s="180"/>
    </row>
    <row r="282" spans="2:4" ht="13">
      <c r="B282" s="180"/>
      <c r="C282" s="180"/>
      <c r="D282" s="180"/>
    </row>
    <row r="283" spans="2:4" ht="13">
      <c r="B283" s="180"/>
      <c r="C283" s="180"/>
      <c r="D283" s="180"/>
    </row>
    <row r="284" spans="2:4" ht="13">
      <c r="B284" s="180"/>
      <c r="C284" s="180"/>
      <c r="D284" s="180"/>
    </row>
    <row r="285" spans="2:4" ht="13">
      <c r="B285" s="180"/>
      <c r="C285" s="180"/>
      <c r="D285" s="180"/>
    </row>
    <row r="286" spans="2:4" ht="13">
      <c r="B286" s="180"/>
      <c r="C286" s="180"/>
      <c r="D286" s="180"/>
    </row>
    <row r="287" spans="2:4" ht="13">
      <c r="B287" s="180"/>
      <c r="C287" s="180"/>
      <c r="D287" s="180"/>
    </row>
    <row r="288" spans="2:4" ht="13">
      <c r="B288" s="180"/>
      <c r="C288" s="180"/>
      <c r="D288" s="180"/>
    </row>
    <row r="289" spans="2:4" ht="13">
      <c r="B289" s="180"/>
      <c r="C289" s="180"/>
      <c r="D289" s="180"/>
    </row>
    <row r="290" spans="2:4" ht="13">
      <c r="B290" s="180"/>
      <c r="C290" s="180"/>
      <c r="D290" s="180"/>
    </row>
    <row r="291" spans="2:4" ht="13">
      <c r="B291" s="180"/>
      <c r="C291" s="180"/>
      <c r="D291" s="180"/>
    </row>
    <row r="292" spans="2:4" ht="13">
      <c r="B292" s="180"/>
      <c r="C292" s="180"/>
      <c r="D292" s="180"/>
    </row>
    <row r="293" spans="2:4" ht="13">
      <c r="B293" s="180"/>
      <c r="C293" s="180"/>
      <c r="D293" s="180"/>
    </row>
    <row r="294" spans="2:4" ht="13">
      <c r="B294" s="180"/>
      <c r="C294" s="180"/>
      <c r="D294" s="180"/>
    </row>
    <row r="295" spans="2:4" ht="13">
      <c r="B295" s="180"/>
      <c r="C295" s="180"/>
      <c r="D295" s="180"/>
    </row>
    <row r="296" spans="2:4" ht="13">
      <c r="B296" s="180"/>
      <c r="C296" s="180"/>
      <c r="D296" s="180"/>
    </row>
    <row r="297" spans="2:4" ht="13">
      <c r="B297" s="180"/>
      <c r="C297" s="180"/>
      <c r="D297" s="180"/>
    </row>
    <row r="298" spans="2:4" ht="13">
      <c r="B298" s="180"/>
      <c r="C298" s="180"/>
      <c r="D298" s="180"/>
    </row>
    <row r="299" spans="2:4" ht="13">
      <c r="B299" s="180"/>
      <c r="C299" s="180"/>
      <c r="D299" s="180"/>
    </row>
    <row r="300" spans="2:4" ht="13">
      <c r="B300" s="180"/>
      <c r="C300" s="180"/>
      <c r="D300" s="180"/>
    </row>
    <row r="301" spans="2:4" ht="13">
      <c r="B301" s="180"/>
      <c r="C301" s="180"/>
      <c r="D301" s="180"/>
    </row>
    <row r="302" spans="2:4" ht="13">
      <c r="B302" s="180"/>
      <c r="C302" s="180"/>
      <c r="D302" s="180"/>
    </row>
    <row r="303" spans="2:4" ht="13">
      <c r="B303" s="180"/>
      <c r="C303" s="180"/>
      <c r="D303" s="180"/>
    </row>
    <row r="304" spans="2:4" ht="13">
      <c r="B304" s="180"/>
      <c r="C304" s="180"/>
      <c r="D304" s="180"/>
    </row>
    <row r="305" spans="2:4" ht="13">
      <c r="B305" s="180"/>
      <c r="C305" s="180"/>
      <c r="D305" s="180"/>
    </row>
    <row r="306" spans="2:4" ht="13">
      <c r="B306" s="180"/>
      <c r="C306" s="180"/>
      <c r="D306" s="180"/>
    </row>
    <row r="307" spans="2:4" ht="13">
      <c r="B307" s="180"/>
      <c r="C307" s="180"/>
      <c r="D307" s="180"/>
    </row>
    <row r="308" spans="2:4" ht="13">
      <c r="B308" s="180"/>
      <c r="C308" s="180"/>
      <c r="D308" s="180"/>
    </row>
    <row r="309" spans="2:4" ht="13">
      <c r="B309" s="180"/>
      <c r="C309" s="180"/>
      <c r="D309" s="180"/>
    </row>
    <row r="310" spans="2:4" ht="13">
      <c r="B310" s="180"/>
      <c r="C310" s="180"/>
      <c r="D310" s="180"/>
    </row>
    <row r="311" spans="2:4" ht="13">
      <c r="B311" s="180"/>
      <c r="C311" s="180"/>
      <c r="D311" s="180"/>
    </row>
    <row r="312" spans="2:4" ht="13">
      <c r="B312" s="180"/>
      <c r="C312" s="180"/>
      <c r="D312" s="180"/>
    </row>
    <row r="313" spans="2:4" ht="13">
      <c r="B313" s="180"/>
      <c r="C313" s="180"/>
      <c r="D313" s="180"/>
    </row>
    <row r="314" spans="2:4" ht="13">
      <c r="B314" s="180"/>
      <c r="C314" s="180"/>
      <c r="D314" s="180"/>
    </row>
    <row r="315" spans="2:4" ht="13">
      <c r="B315" s="180"/>
      <c r="C315" s="180"/>
      <c r="D315" s="180"/>
    </row>
    <row r="316" spans="2:4" ht="13">
      <c r="B316" s="180"/>
      <c r="C316" s="180"/>
      <c r="D316" s="180"/>
    </row>
    <row r="317" spans="2:4" ht="13">
      <c r="B317" s="180"/>
      <c r="C317" s="180"/>
      <c r="D317" s="180"/>
    </row>
    <row r="318" spans="2:4" ht="13">
      <c r="B318" s="180"/>
      <c r="C318" s="180"/>
      <c r="D318" s="180"/>
    </row>
    <row r="319" spans="2:4" ht="13">
      <c r="B319" s="180"/>
      <c r="C319" s="180"/>
      <c r="D319" s="180"/>
    </row>
    <row r="320" spans="2:4" ht="13">
      <c r="B320" s="180"/>
      <c r="C320" s="180"/>
      <c r="D320" s="180"/>
    </row>
    <row r="321" spans="2:4" ht="13">
      <c r="B321" s="180"/>
      <c r="C321" s="180"/>
      <c r="D321" s="180"/>
    </row>
    <row r="322" spans="2:4" ht="13">
      <c r="B322" s="180"/>
      <c r="C322" s="180"/>
      <c r="D322" s="180"/>
    </row>
    <row r="323" spans="2:4" ht="13">
      <c r="B323" s="180"/>
      <c r="C323" s="180"/>
      <c r="D323" s="180"/>
    </row>
    <row r="324" spans="2:4" ht="13">
      <c r="B324" s="180"/>
      <c r="C324" s="180"/>
      <c r="D324" s="180"/>
    </row>
    <row r="325" spans="2:4" ht="13">
      <c r="B325" s="180"/>
      <c r="C325" s="180"/>
      <c r="D325" s="180"/>
    </row>
    <row r="326" spans="2:4" ht="13">
      <c r="B326" s="180"/>
      <c r="C326" s="180"/>
      <c r="D326" s="180"/>
    </row>
    <row r="327" spans="2:4" ht="13">
      <c r="B327" s="180"/>
      <c r="C327" s="180"/>
      <c r="D327" s="180"/>
    </row>
    <row r="328" spans="2:4" ht="13">
      <c r="B328" s="180"/>
      <c r="C328" s="180"/>
      <c r="D328" s="180"/>
    </row>
    <row r="329" spans="2:4" ht="13">
      <c r="B329" s="180"/>
      <c r="C329" s="180"/>
      <c r="D329" s="180"/>
    </row>
    <row r="330" spans="2:4" ht="13">
      <c r="B330" s="180"/>
      <c r="C330" s="180"/>
      <c r="D330" s="180"/>
    </row>
    <row r="331" spans="2:4" ht="13">
      <c r="B331" s="180"/>
      <c r="C331" s="180"/>
      <c r="D331" s="180"/>
    </row>
    <row r="332" spans="2:4" ht="13">
      <c r="B332" s="180"/>
      <c r="C332" s="180"/>
      <c r="D332" s="180"/>
    </row>
    <row r="333" spans="2:4" ht="13">
      <c r="B333" s="180"/>
      <c r="C333" s="180"/>
      <c r="D333" s="180"/>
    </row>
    <row r="334" spans="2:4" ht="13">
      <c r="B334" s="180"/>
      <c r="C334" s="180"/>
      <c r="D334" s="180"/>
    </row>
    <row r="335" spans="2:4" ht="13">
      <c r="B335" s="180"/>
      <c r="C335" s="180"/>
      <c r="D335" s="180"/>
    </row>
    <row r="336" spans="2:4" ht="13">
      <c r="B336" s="180"/>
      <c r="C336" s="180"/>
      <c r="D336" s="180"/>
    </row>
    <row r="337" spans="2:4" ht="13">
      <c r="B337" s="180"/>
      <c r="C337" s="180"/>
      <c r="D337" s="180"/>
    </row>
    <row r="338" spans="2:4" ht="13">
      <c r="B338" s="180"/>
      <c r="C338" s="180"/>
      <c r="D338" s="180"/>
    </row>
    <row r="339" spans="2:4" ht="13">
      <c r="B339" s="180"/>
      <c r="C339" s="180"/>
      <c r="D339" s="180"/>
    </row>
    <row r="340" spans="2:4" ht="13">
      <c r="B340" s="180"/>
      <c r="C340" s="180"/>
      <c r="D340" s="180"/>
    </row>
    <row r="341" spans="2:4" ht="13">
      <c r="B341" s="180"/>
      <c r="C341" s="180"/>
      <c r="D341" s="180"/>
    </row>
    <row r="342" spans="2:4" ht="13">
      <c r="B342" s="180"/>
      <c r="C342" s="180"/>
      <c r="D342" s="180"/>
    </row>
    <row r="343" spans="2:4" ht="13">
      <c r="B343" s="180"/>
      <c r="C343" s="180"/>
      <c r="D343" s="180"/>
    </row>
    <row r="344" spans="2:4" ht="13">
      <c r="B344" s="180"/>
      <c r="C344" s="180"/>
      <c r="D344" s="180"/>
    </row>
    <row r="345" spans="2:4" ht="13">
      <c r="B345" s="180"/>
      <c r="C345" s="180"/>
      <c r="D345" s="180"/>
    </row>
    <row r="346" spans="2:4" ht="13">
      <c r="B346" s="180"/>
      <c r="C346" s="180"/>
      <c r="D346" s="180"/>
    </row>
    <row r="347" spans="2:4" ht="13">
      <c r="B347" s="180"/>
      <c r="C347" s="180"/>
      <c r="D347" s="180"/>
    </row>
    <row r="348" spans="2:4" ht="13">
      <c r="B348" s="180"/>
      <c r="C348" s="180"/>
      <c r="D348" s="180"/>
    </row>
    <row r="349" spans="2:4" ht="13">
      <c r="B349" s="180"/>
      <c r="C349" s="180"/>
      <c r="D349" s="180"/>
    </row>
    <row r="350" spans="2:4" ht="13">
      <c r="B350" s="180"/>
      <c r="C350" s="180"/>
      <c r="D350" s="180"/>
    </row>
    <row r="351" spans="2:4" ht="13">
      <c r="B351" s="180"/>
      <c r="C351" s="180"/>
      <c r="D351" s="180"/>
    </row>
    <row r="352" spans="2:4" ht="13">
      <c r="B352" s="180"/>
      <c r="C352" s="180"/>
      <c r="D352" s="180"/>
    </row>
    <row r="353" spans="2:4" ht="13">
      <c r="B353" s="180"/>
      <c r="C353" s="180"/>
      <c r="D353" s="180"/>
    </row>
    <row r="354" spans="2:4" ht="13">
      <c r="B354" s="180"/>
      <c r="C354" s="180"/>
      <c r="D354" s="180"/>
    </row>
    <row r="355" spans="2:4" ht="13">
      <c r="B355" s="180"/>
      <c r="C355" s="180"/>
      <c r="D355" s="180"/>
    </row>
    <row r="356" spans="2:4" ht="13">
      <c r="B356" s="180"/>
      <c r="C356" s="180"/>
      <c r="D356" s="180"/>
    </row>
    <row r="357" spans="2:4" ht="13">
      <c r="B357" s="180"/>
      <c r="C357" s="180"/>
      <c r="D357" s="180"/>
    </row>
    <row r="358" spans="2:4" ht="13">
      <c r="B358" s="180"/>
      <c r="C358" s="180"/>
      <c r="D358" s="180"/>
    </row>
    <row r="359" spans="2:4" ht="13">
      <c r="B359" s="180"/>
      <c r="C359" s="180"/>
      <c r="D359" s="180"/>
    </row>
    <row r="360" spans="2:4" ht="13">
      <c r="B360" s="180"/>
      <c r="C360" s="180"/>
      <c r="D360" s="180"/>
    </row>
    <row r="361" spans="2:4" ht="13">
      <c r="B361" s="180"/>
      <c r="C361" s="180"/>
      <c r="D361" s="180"/>
    </row>
    <row r="362" spans="2:4" ht="13">
      <c r="B362" s="180"/>
      <c r="C362" s="180"/>
      <c r="D362" s="180"/>
    </row>
    <row r="363" spans="2:4" ht="13">
      <c r="B363" s="180"/>
      <c r="C363" s="180"/>
      <c r="D363" s="180"/>
    </row>
    <row r="364" spans="2:4" ht="13">
      <c r="B364" s="180"/>
      <c r="C364" s="180"/>
      <c r="D364" s="180"/>
    </row>
    <row r="365" spans="2:4" ht="13">
      <c r="B365" s="180"/>
      <c r="C365" s="180"/>
      <c r="D365" s="180"/>
    </row>
    <row r="366" spans="2:4" ht="13">
      <c r="B366" s="180"/>
      <c r="C366" s="180"/>
      <c r="D366" s="180"/>
    </row>
    <row r="367" spans="2:4" ht="13">
      <c r="B367" s="180"/>
      <c r="C367" s="180"/>
      <c r="D367" s="180"/>
    </row>
    <row r="368" spans="2:4" ht="13">
      <c r="B368" s="180"/>
      <c r="C368" s="180"/>
      <c r="D368" s="180"/>
    </row>
    <row r="369" spans="2:4" ht="13">
      <c r="B369" s="180"/>
      <c r="C369" s="180"/>
      <c r="D369" s="180"/>
    </row>
    <row r="370" spans="2:4" ht="13">
      <c r="B370" s="180"/>
      <c r="C370" s="180"/>
      <c r="D370" s="180"/>
    </row>
    <row r="371" spans="2:4" ht="13">
      <c r="B371" s="180"/>
      <c r="C371" s="180"/>
      <c r="D371" s="180"/>
    </row>
    <row r="372" spans="2:4" ht="13">
      <c r="B372" s="180"/>
      <c r="C372" s="180"/>
      <c r="D372" s="180"/>
    </row>
    <row r="373" spans="2:4" ht="13">
      <c r="B373" s="180"/>
      <c r="C373" s="180"/>
      <c r="D373" s="180"/>
    </row>
    <row r="374" spans="2:4" ht="13">
      <c r="B374" s="180"/>
      <c r="C374" s="180"/>
      <c r="D374" s="180"/>
    </row>
    <row r="375" spans="2:4" ht="13">
      <c r="B375" s="180"/>
      <c r="C375" s="180"/>
      <c r="D375" s="180"/>
    </row>
    <row r="376" spans="2:4" ht="13">
      <c r="B376" s="180"/>
      <c r="C376" s="180"/>
      <c r="D376" s="180"/>
    </row>
    <row r="377" spans="2:4" ht="13">
      <c r="B377" s="180"/>
      <c r="C377" s="180"/>
      <c r="D377" s="180"/>
    </row>
    <row r="378" spans="2:4" ht="13">
      <c r="B378" s="180"/>
      <c r="C378" s="180"/>
      <c r="D378" s="180"/>
    </row>
    <row r="379" spans="2:4" ht="13">
      <c r="B379" s="180"/>
      <c r="C379" s="180"/>
      <c r="D379" s="180"/>
    </row>
    <row r="380" spans="2:4" ht="13">
      <c r="B380" s="180"/>
      <c r="C380" s="180"/>
      <c r="D380" s="180"/>
    </row>
    <row r="381" spans="2:4" ht="13">
      <c r="B381" s="180"/>
      <c r="C381" s="180"/>
      <c r="D381" s="180"/>
    </row>
    <row r="382" spans="2:4" ht="13">
      <c r="B382" s="180"/>
      <c r="C382" s="180"/>
      <c r="D382" s="180"/>
    </row>
    <row r="383" spans="2:4" ht="13">
      <c r="B383" s="180"/>
      <c r="C383" s="180"/>
      <c r="D383" s="180"/>
    </row>
    <row r="384" spans="2:4" ht="13">
      <c r="B384" s="180"/>
      <c r="C384" s="180"/>
      <c r="D384" s="180"/>
    </row>
    <row r="385" spans="2:4" ht="13">
      <c r="B385" s="180"/>
      <c r="C385" s="180"/>
      <c r="D385" s="180"/>
    </row>
    <row r="386" spans="2:4" ht="13">
      <c r="B386" s="180"/>
      <c r="C386" s="180"/>
      <c r="D386" s="180"/>
    </row>
    <row r="387" spans="2:4" ht="13">
      <c r="B387" s="180"/>
      <c r="C387" s="180"/>
      <c r="D387" s="180"/>
    </row>
    <row r="388" spans="2:4" ht="13">
      <c r="B388" s="180"/>
      <c r="C388" s="180"/>
      <c r="D388" s="180"/>
    </row>
    <row r="389" spans="2:4" ht="13">
      <c r="B389" s="180"/>
      <c r="C389" s="180"/>
      <c r="D389" s="180"/>
    </row>
    <row r="390" spans="2:4" ht="13">
      <c r="B390" s="180"/>
      <c r="C390" s="180"/>
      <c r="D390" s="180"/>
    </row>
    <row r="391" spans="2:4" ht="13">
      <c r="B391" s="180"/>
      <c r="C391" s="180"/>
      <c r="D391" s="180"/>
    </row>
    <row r="392" spans="2:4" ht="13">
      <c r="B392" s="180"/>
      <c r="C392" s="180"/>
      <c r="D392" s="180"/>
    </row>
    <row r="393" spans="2:4" ht="13">
      <c r="B393" s="180"/>
      <c r="C393" s="180"/>
      <c r="D393" s="180"/>
    </row>
    <row r="394" spans="2:4" ht="13">
      <c r="B394" s="180"/>
      <c r="C394" s="180"/>
      <c r="D394" s="180"/>
    </row>
    <row r="395" spans="2:4" ht="13">
      <c r="B395" s="180"/>
      <c r="C395" s="180"/>
      <c r="D395" s="180"/>
    </row>
    <row r="396" spans="2:4" ht="13">
      <c r="B396" s="180"/>
      <c r="C396" s="180"/>
      <c r="D396" s="180"/>
    </row>
    <row r="397" spans="2:4" ht="13">
      <c r="B397" s="180"/>
      <c r="C397" s="180"/>
      <c r="D397" s="180"/>
    </row>
    <row r="398" spans="2:4" ht="13">
      <c r="B398" s="180"/>
      <c r="C398" s="180"/>
      <c r="D398" s="180"/>
    </row>
    <row r="399" spans="2:4" ht="13">
      <c r="B399" s="180"/>
      <c r="C399" s="180"/>
      <c r="D399" s="180"/>
    </row>
    <row r="400" spans="2:4" ht="13">
      <c r="B400" s="180"/>
      <c r="C400" s="180"/>
      <c r="D400" s="180"/>
    </row>
    <row r="401" spans="2:4" ht="13">
      <c r="B401" s="180"/>
      <c r="C401" s="180"/>
      <c r="D401" s="180"/>
    </row>
    <row r="402" spans="2:4" ht="13">
      <c r="B402" s="180"/>
      <c r="C402" s="180"/>
      <c r="D402" s="180"/>
    </row>
    <row r="403" spans="2:4" ht="13">
      <c r="B403" s="180"/>
      <c r="C403" s="180"/>
      <c r="D403" s="180"/>
    </row>
    <row r="404" spans="2:4" ht="13">
      <c r="B404" s="180"/>
      <c r="C404" s="180"/>
      <c r="D404" s="180"/>
    </row>
    <row r="405" spans="2:4" ht="13">
      <c r="B405" s="180"/>
      <c r="C405" s="180"/>
      <c r="D405" s="180"/>
    </row>
    <row r="406" spans="2:4" ht="13">
      <c r="B406" s="180"/>
      <c r="C406" s="180"/>
      <c r="D406" s="180"/>
    </row>
    <row r="407" spans="2:4" ht="13">
      <c r="B407" s="180"/>
      <c r="C407" s="180"/>
      <c r="D407" s="180"/>
    </row>
    <row r="408" spans="2:4" ht="13">
      <c r="B408" s="180"/>
      <c r="C408" s="180"/>
      <c r="D408" s="180"/>
    </row>
    <row r="409" spans="2:4" ht="13">
      <c r="B409" s="180"/>
      <c r="C409" s="180"/>
      <c r="D409" s="180"/>
    </row>
    <row r="410" spans="2:4" ht="13">
      <c r="B410" s="180"/>
      <c r="C410" s="180"/>
      <c r="D410" s="180"/>
    </row>
    <row r="411" spans="2:4" ht="13">
      <c r="B411" s="180"/>
      <c r="C411" s="180"/>
      <c r="D411" s="180"/>
    </row>
    <row r="412" spans="2:4" ht="13">
      <c r="B412" s="180"/>
      <c r="C412" s="180"/>
      <c r="D412" s="180"/>
    </row>
    <row r="413" spans="2:4" ht="13">
      <c r="B413" s="180"/>
      <c r="C413" s="180"/>
      <c r="D413" s="180"/>
    </row>
    <row r="414" spans="2:4" ht="13">
      <c r="B414" s="180"/>
      <c r="C414" s="180"/>
      <c r="D414" s="180"/>
    </row>
    <row r="415" spans="2:4" ht="13">
      <c r="B415" s="180"/>
      <c r="C415" s="180"/>
      <c r="D415" s="180"/>
    </row>
    <row r="416" spans="2:4" ht="13">
      <c r="B416" s="180"/>
      <c r="C416" s="180"/>
      <c r="D416" s="180"/>
    </row>
    <row r="417" spans="2:4" ht="13">
      <c r="B417" s="180"/>
      <c r="C417" s="180"/>
      <c r="D417" s="180"/>
    </row>
    <row r="418" spans="2:4" ht="13">
      <c r="B418" s="180"/>
      <c r="C418" s="180"/>
      <c r="D418" s="180"/>
    </row>
    <row r="419" spans="2:4" ht="13">
      <c r="B419" s="180"/>
      <c r="C419" s="180"/>
      <c r="D419" s="180"/>
    </row>
    <row r="420" spans="2:4" ht="13">
      <c r="B420" s="180"/>
      <c r="C420" s="180"/>
      <c r="D420" s="180"/>
    </row>
    <row r="421" spans="2:4" ht="13">
      <c r="B421" s="180"/>
      <c r="C421" s="180"/>
      <c r="D421" s="180"/>
    </row>
    <row r="422" spans="2:4" ht="13">
      <c r="B422" s="180"/>
      <c r="C422" s="180"/>
      <c r="D422" s="180"/>
    </row>
    <row r="423" spans="2:4" ht="13">
      <c r="B423" s="180"/>
      <c r="C423" s="180"/>
      <c r="D423" s="180"/>
    </row>
    <row r="424" spans="2:4" ht="13">
      <c r="B424" s="180"/>
      <c r="C424" s="180"/>
      <c r="D424" s="180"/>
    </row>
    <row r="425" spans="2:4" ht="13">
      <c r="B425" s="180"/>
      <c r="C425" s="180"/>
      <c r="D425" s="180"/>
    </row>
    <row r="426" spans="2:4" ht="13">
      <c r="B426" s="180"/>
      <c r="C426" s="180"/>
      <c r="D426" s="180"/>
    </row>
    <row r="427" spans="2:4" ht="13">
      <c r="B427" s="180"/>
      <c r="C427" s="180"/>
      <c r="D427" s="180"/>
    </row>
    <row r="428" spans="2:4" ht="13">
      <c r="B428" s="180"/>
      <c r="C428" s="180"/>
      <c r="D428" s="180"/>
    </row>
    <row r="429" spans="2:4" ht="13">
      <c r="B429" s="180"/>
      <c r="C429" s="180"/>
      <c r="D429" s="180"/>
    </row>
    <row r="430" spans="2:4" ht="13">
      <c r="B430" s="180"/>
      <c r="C430" s="180"/>
      <c r="D430" s="180"/>
    </row>
    <row r="431" spans="2:4" ht="13">
      <c r="B431" s="180"/>
      <c r="C431" s="180"/>
      <c r="D431" s="180"/>
    </row>
    <row r="432" spans="2:4" ht="13">
      <c r="B432" s="180"/>
      <c r="C432" s="180"/>
      <c r="D432" s="180"/>
    </row>
    <row r="433" spans="2:4" ht="13">
      <c r="B433" s="180"/>
      <c r="C433" s="180"/>
      <c r="D433" s="180"/>
    </row>
    <row r="434" spans="2:4" ht="13">
      <c r="B434" s="180"/>
      <c r="C434" s="180"/>
      <c r="D434" s="180"/>
    </row>
    <row r="435" spans="2:4" ht="13">
      <c r="B435" s="180"/>
      <c r="C435" s="180"/>
      <c r="D435" s="180"/>
    </row>
    <row r="436" spans="2:4" ht="13">
      <c r="B436" s="180"/>
      <c r="C436" s="180"/>
      <c r="D436" s="180"/>
    </row>
    <row r="437" spans="2:4" ht="13">
      <c r="B437" s="180"/>
      <c r="C437" s="180"/>
      <c r="D437" s="180"/>
    </row>
    <row r="438" spans="2:4" ht="13">
      <c r="B438" s="180"/>
      <c r="C438" s="180"/>
      <c r="D438" s="180"/>
    </row>
    <row r="439" spans="2:4" ht="13">
      <c r="B439" s="180"/>
      <c r="C439" s="180"/>
      <c r="D439" s="180"/>
    </row>
    <row r="440" spans="2:4" ht="13">
      <c r="B440" s="180"/>
      <c r="C440" s="180"/>
      <c r="D440" s="180"/>
    </row>
    <row r="441" spans="2:4" ht="13">
      <c r="B441" s="180"/>
      <c r="C441" s="180"/>
      <c r="D441" s="180"/>
    </row>
    <row r="442" spans="2:4" ht="13">
      <c r="B442" s="180"/>
      <c r="C442" s="180"/>
      <c r="D442" s="180"/>
    </row>
    <row r="443" spans="2:4" ht="13">
      <c r="B443" s="180"/>
      <c r="C443" s="180"/>
      <c r="D443" s="180"/>
    </row>
    <row r="444" spans="2:4" ht="13">
      <c r="B444" s="180"/>
      <c r="C444" s="180"/>
      <c r="D444" s="180"/>
    </row>
    <row r="445" spans="2:4" ht="13">
      <c r="B445" s="180"/>
      <c r="C445" s="180"/>
      <c r="D445" s="180"/>
    </row>
    <row r="446" spans="2:4" ht="13">
      <c r="B446" s="180"/>
      <c r="C446" s="180"/>
      <c r="D446" s="180"/>
    </row>
    <row r="447" spans="2:4" ht="13">
      <c r="B447" s="180"/>
      <c r="C447" s="180"/>
      <c r="D447" s="180"/>
    </row>
    <row r="448" spans="2:4" ht="13">
      <c r="B448" s="180"/>
      <c r="C448" s="180"/>
      <c r="D448" s="180"/>
    </row>
    <row r="449" spans="2:4" ht="13">
      <c r="B449" s="180"/>
      <c r="C449" s="180"/>
      <c r="D449" s="180"/>
    </row>
    <row r="450" spans="2:4" ht="13">
      <c r="B450" s="180"/>
      <c r="C450" s="180"/>
      <c r="D450" s="180"/>
    </row>
    <row r="451" spans="2:4" ht="13">
      <c r="B451" s="180"/>
      <c r="C451" s="180"/>
      <c r="D451" s="180"/>
    </row>
    <row r="452" spans="2:4" ht="13">
      <c r="B452" s="180"/>
      <c r="C452" s="180"/>
      <c r="D452" s="180"/>
    </row>
    <row r="453" spans="2:4" ht="13">
      <c r="B453" s="180"/>
      <c r="C453" s="180"/>
      <c r="D453" s="180"/>
    </row>
    <row r="454" spans="2:4" ht="13">
      <c r="B454" s="180"/>
      <c r="C454" s="180"/>
      <c r="D454" s="180"/>
    </row>
    <row r="455" spans="2:4" ht="13">
      <c r="B455" s="180"/>
      <c r="C455" s="180"/>
      <c r="D455" s="180"/>
    </row>
    <row r="456" spans="2:4" ht="13">
      <c r="B456" s="180"/>
      <c r="C456" s="180"/>
      <c r="D456" s="180"/>
    </row>
    <row r="457" spans="2:4" ht="13">
      <c r="B457" s="180"/>
      <c r="C457" s="180"/>
      <c r="D457" s="180"/>
    </row>
    <row r="458" spans="2:4" ht="13">
      <c r="B458" s="180"/>
      <c r="C458" s="180"/>
      <c r="D458" s="180"/>
    </row>
    <row r="459" spans="2:4" ht="13">
      <c r="B459" s="180"/>
      <c r="C459" s="180"/>
      <c r="D459" s="180"/>
    </row>
    <row r="460" spans="2:4" ht="13">
      <c r="B460" s="180"/>
      <c r="C460" s="180"/>
      <c r="D460" s="180"/>
    </row>
    <row r="461" spans="2:4" ht="13">
      <c r="B461" s="180"/>
      <c r="C461" s="180"/>
      <c r="D461" s="180"/>
    </row>
    <row r="462" spans="2:4" ht="13">
      <c r="B462" s="180"/>
      <c r="C462" s="180"/>
      <c r="D462" s="180"/>
    </row>
    <row r="463" spans="2:4" ht="13">
      <c r="B463" s="180"/>
      <c r="C463" s="180"/>
      <c r="D463" s="180"/>
    </row>
    <row r="464" spans="2:4" ht="13">
      <c r="B464" s="180"/>
      <c r="C464" s="180"/>
      <c r="D464" s="180"/>
    </row>
    <row r="465" spans="2:4" ht="13">
      <c r="B465" s="180"/>
      <c r="C465" s="180"/>
      <c r="D465" s="180"/>
    </row>
    <row r="466" spans="2:4" ht="13">
      <c r="B466" s="180"/>
      <c r="C466" s="180"/>
      <c r="D466" s="180"/>
    </row>
    <row r="467" spans="2:4" ht="13">
      <c r="B467" s="180"/>
      <c r="C467" s="180"/>
      <c r="D467" s="180"/>
    </row>
    <row r="468" spans="2:4" ht="13">
      <c r="B468" s="180"/>
      <c r="C468" s="180"/>
      <c r="D468" s="180"/>
    </row>
    <row r="469" spans="2:4" ht="13">
      <c r="B469" s="180"/>
      <c r="C469" s="180"/>
      <c r="D469" s="180"/>
    </row>
    <row r="470" spans="2:4" ht="13">
      <c r="B470" s="180"/>
      <c r="C470" s="180"/>
      <c r="D470" s="180"/>
    </row>
    <row r="471" spans="2:4" ht="13">
      <c r="B471" s="180"/>
      <c r="C471" s="180"/>
      <c r="D471" s="180"/>
    </row>
    <row r="472" spans="2:4" ht="13">
      <c r="B472" s="180"/>
      <c r="C472" s="180"/>
      <c r="D472" s="180"/>
    </row>
    <row r="473" spans="2:4" ht="13">
      <c r="B473" s="180"/>
      <c r="C473" s="180"/>
      <c r="D473" s="180"/>
    </row>
    <row r="474" spans="2:4" ht="13">
      <c r="B474" s="180"/>
      <c r="C474" s="180"/>
      <c r="D474" s="180"/>
    </row>
    <row r="475" spans="2:4" ht="13">
      <c r="B475" s="180"/>
      <c r="C475" s="180"/>
      <c r="D475" s="180"/>
    </row>
    <row r="476" spans="2:4" ht="13">
      <c r="B476" s="180"/>
      <c r="C476" s="180"/>
      <c r="D476" s="180"/>
    </row>
    <row r="477" spans="2:4" ht="13">
      <c r="B477" s="180"/>
      <c r="C477" s="180"/>
      <c r="D477" s="180"/>
    </row>
    <row r="478" spans="2:4" ht="13">
      <c r="B478" s="180"/>
      <c r="C478" s="180"/>
      <c r="D478" s="180"/>
    </row>
    <row r="479" spans="2:4" ht="13">
      <c r="B479" s="180"/>
      <c r="C479" s="180"/>
      <c r="D479" s="180"/>
    </row>
    <row r="480" spans="2:4" ht="13">
      <c r="B480" s="180"/>
      <c r="C480" s="180"/>
      <c r="D480" s="180"/>
    </row>
    <row r="481" spans="2:4" ht="13">
      <c r="B481" s="180"/>
      <c r="C481" s="180"/>
      <c r="D481" s="180"/>
    </row>
    <row r="482" spans="2:4" ht="13">
      <c r="B482" s="180"/>
      <c r="C482" s="180"/>
      <c r="D482" s="180"/>
    </row>
    <row r="483" spans="2:4" ht="13">
      <c r="B483" s="180"/>
      <c r="C483" s="180"/>
      <c r="D483" s="180"/>
    </row>
    <row r="484" spans="2:4" ht="13">
      <c r="B484" s="180"/>
      <c r="C484" s="180"/>
      <c r="D484" s="180"/>
    </row>
    <row r="485" spans="2:4" ht="13">
      <c r="B485" s="180"/>
      <c r="C485" s="180"/>
      <c r="D485" s="180"/>
    </row>
    <row r="486" spans="2:4" ht="13">
      <c r="B486" s="180"/>
      <c r="C486" s="180"/>
      <c r="D486" s="180"/>
    </row>
    <row r="487" spans="2:4" ht="13">
      <c r="B487" s="180"/>
      <c r="C487" s="180"/>
      <c r="D487" s="180"/>
    </row>
    <row r="488" spans="2:4" ht="13">
      <c r="B488" s="180"/>
      <c r="C488" s="180"/>
      <c r="D488" s="180"/>
    </row>
    <row r="489" spans="2:4" ht="13">
      <c r="B489" s="180"/>
      <c r="C489" s="180"/>
      <c r="D489" s="180"/>
    </row>
    <row r="490" spans="2:4" ht="13">
      <c r="B490" s="180"/>
      <c r="C490" s="180"/>
      <c r="D490" s="180"/>
    </row>
    <row r="491" spans="2:4" ht="13">
      <c r="B491" s="180"/>
      <c r="C491" s="180"/>
      <c r="D491" s="180"/>
    </row>
    <row r="492" spans="2:4" ht="13">
      <c r="B492" s="180"/>
      <c r="C492" s="180"/>
      <c r="D492" s="180"/>
    </row>
    <row r="493" spans="2:4" ht="13">
      <c r="B493" s="180"/>
      <c r="C493" s="180"/>
      <c r="D493" s="180"/>
    </row>
    <row r="494" spans="2:4" ht="13">
      <c r="B494" s="180"/>
      <c r="C494" s="180"/>
      <c r="D494" s="180"/>
    </row>
    <row r="495" spans="2:4" ht="13">
      <c r="B495" s="180"/>
      <c r="C495" s="180"/>
      <c r="D495" s="180"/>
    </row>
    <row r="496" spans="2:4" ht="13">
      <c r="B496" s="180"/>
      <c r="C496" s="180"/>
      <c r="D496" s="180"/>
    </row>
    <row r="497" spans="2:4" ht="13">
      <c r="B497" s="180"/>
      <c r="C497" s="180"/>
      <c r="D497" s="180"/>
    </row>
    <row r="498" spans="2:4" ht="13">
      <c r="B498" s="180"/>
      <c r="C498" s="180"/>
      <c r="D498" s="180"/>
    </row>
    <row r="499" spans="2:4" ht="13">
      <c r="B499" s="180"/>
      <c r="C499" s="180"/>
      <c r="D499" s="180"/>
    </row>
    <row r="500" spans="2:4" ht="13">
      <c r="B500" s="180"/>
      <c r="C500" s="180"/>
      <c r="D500" s="180"/>
    </row>
    <row r="501" spans="2:4" ht="13">
      <c r="B501" s="180"/>
      <c r="C501" s="180"/>
      <c r="D501" s="180"/>
    </row>
    <row r="502" spans="2:4" ht="13">
      <c r="B502" s="180"/>
      <c r="C502" s="180"/>
      <c r="D502" s="180"/>
    </row>
    <row r="503" spans="2:4" ht="13">
      <c r="B503" s="180"/>
      <c r="C503" s="180"/>
      <c r="D503" s="180"/>
    </row>
    <row r="504" spans="2:4" ht="13">
      <c r="B504" s="180"/>
      <c r="C504" s="180"/>
      <c r="D504" s="180"/>
    </row>
    <row r="505" spans="2:4" ht="13">
      <c r="B505" s="180"/>
      <c r="C505" s="180"/>
      <c r="D505" s="180"/>
    </row>
    <row r="506" spans="2:4" ht="13">
      <c r="B506" s="180"/>
      <c r="C506" s="180"/>
      <c r="D506" s="180"/>
    </row>
    <row r="507" spans="2:4" ht="13">
      <c r="B507" s="180"/>
      <c r="C507" s="180"/>
      <c r="D507" s="180"/>
    </row>
    <row r="508" spans="2:4" ht="13">
      <c r="B508" s="180"/>
      <c r="C508" s="180"/>
      <c r="D508" s="180"/>
    </row>
    <row r="509" spans="2:4" ht="13">
      <c r="B509" s="180"/>
      <c r="C509" s="180"/>
      <c r="D509" s="180"/>
    </row>
    <row r="510" spans="2:4" ht="13">
      <c r="B510" s="180"/>
      <c r="C510" s="180"/>
      <c r="D510" s="180"/>
    </row>
    <row r="511" spans="2:4" ht="13">
      <c r="B511" s="180"/>
      <c r="C511" s="180"/>
      <c r="D511" s="180"/>
    </row>
    <row r="512" spans="2:4" ht="13">
      <c r="B512" s="180"/>
      <c r="C512" s="180"/>
      <c r="D512" s="180"/>
    </row>
    <row r="513" spans="2:4" ht="13">
      <c r="B513" s="180"/>
      <c r="C513" s="180"/>
      <c r="D513" s="180"/>
    </row>
    <row r="514" spans="2:4" ht="13">
      <c r="B514" s="180"/>
      <c r="C514" s="180"/>
      <c r="D514" s="180"/>
    </row>
    <row r="515" spans="2:4" ht="13">
      <c r="B515" s="180"/>
      <c r="C515" s="180"/>
      <c r="D515" s="180"/>
    </row>
    <row r="516" spans="2:4" ht="13">
      <c r="B516" s="180"/>
      <c r="C516" s="180"/>
      <c r="D516" s="180"/>
    </row>
    <row r="517" spans="2:4" ht="13">
      <c r="B517" s="180"/>
      <c r="C517" s="180"/>
      <c r="D517" s="180"/>
    </row>
    <row r="518" spans="2:4" ht="13">
      <c r="B518" s="180"/>
      <c r="C518" s="180"/>
      <c r="D518" s="180"/>
    </row>
    <row r="519" spans="2:4" ht="13">
      <c r="B519" s="180"/>
      <c r="C519" s="180"/>
      <c r="D519" s="180"/>
    </row>
    <row r="520" spans="2:4" ht="13">
      <c r="B520" s="180"/>
      <c r="C520" s="180"/>
      <c r="D520" s="180"/>
    </row>
    <row r="521" spans="2:4" ht="13">
      <c r="B521" s="180"/>
      <c r="C521" s="180"/>
      <c r="D521" s="180"/>
    </row>
    <row r="522" spans="2:4" ht="13">
      <c r="B522" s="180"/>
      <c r="C522" s="180"/>
      <c r="D522" s="180"/>
    </row>
    <row r="523" spans="2:4" ht="13">
      <c r="B523" s="180"/>
      <c r="C523" s="180"/>
      <c r="D523" s="180"/>
    </row>
    <row r="524" spans="2:4" ht="13">
      <c r="B524" s="180"/>
      <c r="C524" s="180"/>
      <c r="D524" s="180"/>
    </row>
    <row r="525" spans="2:4" ht="13">
      <c r="B525" s="180"/>
      <c r="C525" s="180"/>
      <c r="D525" s="180"/>
    </row>
    <row r="526" spans="2:4" ht="13">
      <c r="B526" s="180"/>
      <c r="C526" s="180"/>
      <c r="D526" s="180"/>
    </row>
    <row r="527" spans="2:4" ht="13">
      <c r="B527" s="180"/>
      <c r="C527" s="180"/>
      <c r="D527" s="180"/>
    </row>
    <row r="528" spans="2:4" ht="13">
      <c r="B528" s="180"/>
      <c r="C528" s="180"/>
      <c r="D528" s="180"/>
    </row>
    <row r="529" spans="2:4" ht="13">
      <c r="B529" s="180"/>
      <c r="C529" s="180"/>
      <c r="D529" s="180"/>
    </row>
    <row r="530" spans="2:4" ht="13">
      <c r="B530" s="180"/>
      <c r="C530" s="180"/>
      <c r="D530" s="180"/>
    </row>
    <row r="531" spans="2:4" ht="13">
      <c r="B531" s="180"/>
      <c r="C531" s="180"/>
      <c r="D531" s="180"/>
    </row>
    <row r="532" spans="2:4" ht="13">
      <c r="B532" s="180"/>
      <c r="C532" s="180"/>
      <c r="D532" s="180"/>
    </row>
    <row r="533" spans="2:4" ht="13">
      <c r="B533" s="180"/>
      <c r="C533" s="180"/>
      <c r="D533" s="180"/>
    </row>
    <row r="534" spans="2:4" ht="13">
      <c r="B534" s="180"/>
      <c r="C534" s="180"/>
      <c r="D534" s="180"/>
    </row>
    <row r="535" spans="2:4" ht="13">
      <c r="B535" s="180"/>
      <c r="C535" s="180"/>
      <c r="D535" s="180"/>
    </row>
    <row r="536" spans="2:4" ht="13">
      <c r="B536" s="180"/>
      <c r="C536" s="180"/>
      <c r="D536" s="180"/>
    </row>
    <row r="537" spans="2:4" ht="13">
      <c r="B537" s="180"/>
      <c r="C537" s="180"/>
      <c r="D537" s="180"/>
    </row>
    <row r="538" spans="2:4" ht="13">
      <c r="B538" s="180"/>
      <c r="C538" s="180"/>
      <c r="D538" s="180"/>
    </row>
    <row r="539" spans="2:4" ht="13">
      <c r="B539" s="180"/>
      <c r="C539" s="180"/>
      <c r="D539" s="180"/>
    </row>
    <row r="540" spans="2:4" ht="13">
      <c r="B540" s="180"/>
      <c r="C540" s="180"/>
      <c r="D540" s="180"/>
    </row>
    <row r="541" spans="2:4" ht="13">
      <c r="B541" s="180"/>
      <c r="C541" s="180"/>
      <c r="D541" s="180"/>
    </row>
    <row r="542" spans="2:4" ht="13">
      <c r="B542" s="180"/>
      <c r="C542" s="180"/>
      <c r="D542" s="180"/>
    </row>
    <row r="543" spans="2:4" ht="13">
      <c r="B543" s="180"/>
      <c r="C543" s="180"/>
      <c r="D543" s="180"/>
    </row>
    <row r="544" spans="2:4" ht="13">
      <c r="B544" s="180"/>
      <c r="C544" s="180"/>
      <c r="D544" s="180"/>
    </row>
    <row r="545" spans="2:4" ht="13">
      <c r="B545" s="180"/>
      <c r="C545" s="180"/>
      <c r="D545" s="180"/>
    </row>
    <row r="546" spans="2:4" ht="13">
      <c r="B546" s="180"/>
      <c r="C546" s="180"/>
      <c r="D546" s="180"/>
    </row>
    <row r="547" spans="2:4" ht="13">
      <c r="B547" s="180"/>
      <c r="C547" s="180"/>
      <c r="D547" s="180"/>
    </row>
    <row r="548" spans="2:4" ht="13">
      <c r="B548" s="180"/>
      <c r="C548" s="180"/>
      <c r="D548" s="180"/>
    </row>
    <row r="549" spans="2:4" ht="13">
      <c r="B549" s="180"/>
      <c r="C549" s="180"/>
      <c r="D549" s="180"/>
    </row>
    <row r="550" spans="2:4" ht="13">
      <c r="B550" s="180"/>
      <c r="C550" s="180"/>
      <c r="D550" s="180"/>
    </row>
    <row r="551" spans="2:4" ht="13">
      <c r="B551" s="180"/>
      <c r="C551" s="180"/>
      <c r="D551" s="180"/>
    </row>
    <row r="552" spans="2:4" ht="13">
      <c r="B552" s="180"/>
      <c r="C552" s="180"/>
      <c r="D552" s="180"/>
    </row>
    <row r="553" spans="2:4" ht="13">
      <c r="B553" s="180"/>
      <c r="C553" s="180"/>
      <c r="D553" s="180"/>
    </row>
    <row r="554" spans="2:4" ht="13">
      <c r="B554" s="180"/>
      <c r="C554" s="180"/>
      <c r="D554" s="180"/>
    </row>
    <row r="555" spans="2:4" ht="13">
      <c r="B555" s="180"/>
      <c r="C555" s="180"/>
      <c r="D555" s="180"/>
    </row>
    <row r="556" spans="2:4" ht="13">
      <c r="B556" s="180"/>
      <c r="C556" s="180"/>
      <c r="D556" s="180"/>
    </row>
    <row r="557" spans="2:4" ht="13">
      <c r="B557" s="180"/>
      <c r="C557" s="180"/>
      <c r="D557" s="180"/>
    </row>
    <row r="558" spans="2:4" ht="13">
      <c r="B558" s="180"/>
      <c r="C558" s="180"/>
      <c r="D558" s="180"/>
    </row>
    <row r="559" spans="2:4" ht="13">
      <c r="B559" s="180"/>
      <c r="C559" s="180"/>
      <c r="D559" s="180"/>
    </row>
    <row r="560" spans="2:4" ht="13">
      <c r="B560" s="180"/>
      <c r="C560" s="180"/>
      <c r="D560" s="180"/>
    </row>
    <row r="561" spans="2:4" ht="13">
      <c r="B561" s="180"/>
      <c r="C561" s="180"/>
      <c r="D561" s="180"/>
    </row>
    <row r="562" spans="2:4" ht="13">
      <c r="B562" s="180"/>
      <c r="C562" s="180"/>
      <c r="D562" s="180"/>
    </row>
    <row r="563" spans="2:4" ht="13">
      <c r="B563" s="180"/>
      <c r="C563" s="180"/>
      <c r="D563" s="180"/>
    </row>
    <row r="564" spans="2:4" ht="13">
      <c r="B564" s="180"/>
      <c r="C564" s="180"/>
      <c r="D564" s="180"/>
    </row>
    <row r="565" spans="2:4" ht="13">
      <c r="B565" s="180"/>
      <c r="C565" s="180"/>
      <c r="D565" s="180"/>
    </row>
    <row r="566" spans="2:4" ht="13">
      <c r="B566" s="180"/>
      <c r="C566" s="180"/>
      <c r="D566" s="180"/>
    </row>
    <row r="567" spans="2:4" ht="13">
      <c r="B567" s="180"/>
      <c r="C567" s="180"/>
      <c r="D567" s="180"/>
    </row>
    <row r="568" spans="2:4" ht="13">
      <c r="B568" s="180"/>
      <c r="C568" s="180"/>
      <c r="D568" s="180"/>
    </row>
    <row r="569" spans="2:4" ht="13">
      <c r="B569" s="180"/>
      <c r="C569" s="180"/>
      <c r="D569" s="180"/>
    </row>
    <row r="570" spans="2:4" ht="13">
      <c r="B570" s="180"/>
      <c r="C570" s="180"/>
      <c r="D570" s="180"/>
    </row>
    <row r="571" spans="2:4" ht="13">
      <c r="B571" s="180"/>
      <c r="C571" s="180"/>
      <c r="D571" s="180"/>
    </row>
    <row r="572" spans="2:4" ht="13">
      <c r="B572" s="180"/>
      <c r="C572" s="180"/>
      <c r="D572" s="180"/>
    </row>
    <row r="573" spans="2:4" ht="13">
      <c r="B573" s="180"/>
      <c r="C573" s="180"/>
      <c r="D573" s="180"/>
    </row>
    <row r="574" spans="2:4" ht="13">
      <c r="B574" s="180"/>
      <c r="C574" s="180"/>
      <c r="D574" s="180"/>
    </row>
    <row r="575" spans="2:4" ht="13">
      <c r="B575" s="180"/>
      <c r="C575" s="180"/>
      <c r="D575" s="180"/>
    </row>
    <row r="576" spans="2:4" ht="13">
      <c r="B576" s="180"/>
      <c r="C576" s="180"/>
      <c r="D576" s="180"/>
    </row>
    <row r="577" spans="2:4" ht="13">
      <c r="B577" s="180"/>
      <c r="C577" s="180"/>
      <c r="D577" s="180"/>
    </row>
    <row r="578" spans="2:4" ht="13">
      <c r="B578" s="180"/>
      <c r="C578" s="180"/>
      <c r="D578" s="180"/>
    </row>
    <row r="579" spans="2:4" ht="13">
      <c r="B579" s="180"/>
      <c r="C579" s="180"/>
      <c r="D579" s="180"/>
    </row>
    <row r="580" spans="2:4" ht="13">
      <c r="B580" s="180"/>
      <c r="C580" s="180"/>
      <c r="D580" s="180"/>
    </row>
    <row r="581" spans="2:4" ht="13">
      <c r="B581" s="180"/>
      <c r="C581" s="180"/>
      <c r="D581" s="180"/>
    </row>
    <row r="582" spans="2:4" ht="13">
      <c r="B582" s="180"/>
      <c r="C582" s="180"/>
      <c r="D582" s="180"/>
    </row>
    <row r="583" spans="2:4" ht="13">
      <c r="B583" s="180"/>
      <c r="C583" s="180"/>
      <c r="D583" s="180"/>
    </row>
    <row r="584" spans="2:4" ht="13">
      <c r="B584" s="180"/>
      <c r="C584" s="180"/>
      <c r="D584" s="180"/>
    </row>
    <row r="585" spans="2:4" ht="13">
      <c r="B585" s="180"/>
      <c r="C585" s="180"/>
      <c r="D585" s="180"/>
    </row>
    <row r="586" spans="2:4" ht="13">
      <c r="B586" s="180"/>
      <c r="C586" s="180"/>
      <c r="D586" s="180"/>
    </row>
    <row r="587" spans="2:4" ht="13">
      <c r="B587" s="180"/>
      <c r="C587" s="180"/>
      <c r="D587" s="180"/>
    </row>
    <row r="588" spans="2:4" ht="13">
      <c r="B588" s="180"/>
      <c r="C588" s="180"/>
      <c r="D588" s="180"/>
    </row>
    <row r="589" spans="2:4" ht="13">
      <c r="B589" s="180"/>
      <c r="C589" s="180"/>
      <c r="D589" s="180"/>
    </row>
    <row r="590" spans="2:4" ht="13">
      <c r="B590" s="180"/>
      <c r="C590" s="180"/>
      <c r="D590" s="180"/>
    </row>
    <row r="591" spans="2:4" ht="13">
      <c r="B591" s="180"/>
      <c r="C591" s="180"/>
      <c r="D591" s="180"/>
    </row>
    <row r="592" spans="2:4" ht="13">
      <c r="B592" s="180"/>
      <c r="C592" s="180"/>
      <c r="D592" s="180"/>
    </row>
    <row r="593" spans="2:4" ht="13">
      <c r="B593" s="180"/>
      <c r="C593" s="180"/>
      <c r="D593" s="180"/>
    </row>
    <row r="594" spans="2:4" ht="13">
      <c r="B594" s="180"/>
      <c r="C594" s="180"/>
      <c r="D594" s="180"/>
    </row>
    <row r="595" spans="2:4" ht="13">
      <c r="B595" s="180"/>
      <c r="C595" s="180"/>
      <c r="D595" s="180"/>
    </row>
    <row r="596" spans="2:4" ht="13">
      <c r="B596" s="180"/>
      <c r="C596" s="180"/>
      <c r="D596" s="180"/>
    </row>
    <row r="597" spans="2:4" ht="13">
      <c r="B597" s="180"/>
      <c r="C597" s="180"/>
      <c r="D597" s="180"/>
    </row>
    <row r="598" spans="2:4" ht="13">
      <c r="B598" s="180"/>
      <c r="C598" s="180"/>
      <c r="D598" s="180"/>
    </row>
    <row r="599" spans="2:4" ht="13">
      <c r="B599" s="180"/>
      <c r="C599" s="180"/>
      <c r="D599" s="180"/>
    </row>
    <row r="600" spans="2:4" ht="13">
      <c r="B600" s="180"/>
      <c r="C600" s="180"/>
      <c r="D600" s="180"/>
    </row>
    <row r="601" spans="2:4" ht="13">
      <c r="B601" s="180"/>
      <c r="C601" s="180"/>
      <c r="D601" s="180"/>
    </row>
    <row r="602" spans="2:4" ht="13">
      <c r="B602" s="180"/>
      <c r="C602" s="180"/>
      <c r="D602" s="180"/>
    </row>
    <row r="603" spans="2:4" ht="13">
      <c r="B603" s="180"/>
      <c r="C603" s="180"/>
      <c r="D603" s="180"/>
    </row>
    <row r="604" spans="2:4" ht="13">
      <c r="B604" s="180"/>
      <c r="C604" s="180"/>
      <c r="D604" s="180"/>
    </row>
    <row r="605" spans="2:4" ht="13">
      <c r="B605" s="180"/>
      <c r="C605" s="180"/>
      <c r="D605" s="180"/>
    </row>
    <row r="606" spans="2:4" ht="13">
      <c r="B606" s="180"/>
      <c r="C606" s="180"/>
      <c r="D606" s="180"/>
    </row>
    <row r="607" spans="2:4" ht="13">
      <c r="B607" s="180"/>
      <c r="C607" s="180"/>
      <c r="D607" s="180"/>
    </row>
    <row r="608" spans="2:4" ht="13">
      <c r="B608" s="180"/>
      <c r="C608" s="180"/>
      <c r="D608" s="180"/>
    </row>
    <row r="609" spans="2:4" ht="13">
      <c r="B609" s="180"/>
      <c r="C609" s="180"/>
      <c r="D609" s="180"/>
    </row>
    <row r="610" spans="2:4" ht="13">
      <c r="B610" s="180"/>
      <c r="C610" s="180"/>
      <c r="D610" s="180"/>
    </row>
    <row r="611" spans="2:4" ht="13">
      <c r="B611" s="180"/>
      <c r="C611" s="180"/>
      <c r="D611" s="180"/>
    </row>
    <row r="612" spans="2:4" ht="13">
      <c r="B612" s="180"/>
      <c r="C612" s="180"/>
      <c r="D612" s="180"/>
    </row>
    <row r="613" spans="2:4" ht="13">
      <c r="B613" s="180"/>
      <c r="C613" s="180"/>
      <c r="D613" s="180"/>
    </row>
    <row r="614" spans="2:4" ht="13">
      <c r="B614" s="180"/>
      <c r="C614" s="180"/>
      <c r="D614" s="180"/>
    </row>
    <row r="615" spans="2:4" ht="13">
      <c r="B615" s="180"/>
      <c r="C615" s="180"/>
      <c r="D615" s="180"/>
    </row>
    <row r="616" spans="2:4" ht="13">
      <c r="B616" s="180"/>
      <c r="C616" s="180"/>
      <c r="D616" s="180"/>
    </row>
    <row r="617" spans="2:4" ht="13">
      <c r="B617" s="180"/>
      <c r="C617" s="180"/>
      <c r="D617" s="180"/>
    </row>
    <row r="618" spans="2:4" ht="13">
      <c r="B618" s="180"/>
      <c r="C618" s="180"/>
      <c r="D618" s="180"/>
    </row>
    <row r="619" spans="2:4" ht="13">
      <c r="B619" s="180"/>
      <c r="C619" s="180"/>
      <c r="D619" s="180"/>
    </row>
    <row r="620" spans="2:4" ht="13">
      <c r="B620" s="180"/>
      <c r="C620" s="180"/>
      <c r="D620" s="180"/>
    </row>
    <row r="621" spans="2:4" ht="13">
      <c r="B621" s="180"/>
      <c r="C621" s="180"/>
      <c r="D621" s="180"/>
    </row>
    <row r="622" spans="2:4" ht="13">
      <c r="B622" s="180"/>
      <c r="C622" s="180"/>
      <c r="D622" s="180"/>
    </row>
    <row r="623" spans="2:4" ht="13">
      <c r="B623" s="180"/>
      <c r="C623" s="180"/>
      <c r="D623" s="180"/>
    </row>
    <row r="624" spans="2:4" ht="13">
      <c r="B624" s="180"/>
      <c r="C624" s="180"/>
      <c r="D624" s="180"/>
    </row>
    <row r="625" spans="2:4" ht="13">
      <c r="B625" s="180"/>
      <c r="C625" s="180"/>
      <c r="D625" s="180"/>
    </row>
    <row r="626" spans="2:4" ht="13">
      <c r="B626" s="180"/>
      <c r="C626" s="180"/>
      <c r="D626" s="180"/>
    </row>
    <row r="627" spans="2:4" ht="13">
      <c r="B627" s="180"/>
      <c r="C627" s="180"/>
      <c r="D627" s="180"/>
    </row>
    <row r="628" spans="2:4" ht="13">
      <c r="B628" s="180"/>
      <c r="C628" s="180"/>
      <c r="D628" s="180"/>
    </row>
    <row r="629" spans="2:4" ht="13">
      <c r="B629" s="180"/>
      <c r="C629" s="180"/>
      <c r="D629" s="180"/>
    </row>
    <row r="630" spans="2:4" ht="13">
      <c r="B630" s="180"/>
      <c r="C630" s="180"/>
      <c r="D630" s="180"/>
    </row>
    <row r="631" spans="2:4" ht="13">
      <c r="B631" s="180"/>
      <c r="C631" s="180"/>
      <c r="D631" s="180"/>
    </row>
    <row r="632" spans="2:4" ht="13">
      <c r="B632" s="180"/>
      <c r="C632" s="180"/>
      <c r="D632" s="180"/>
    </row>
    <row r="633" spans="2:4" ht="13">
      <c r="B633" s="180"/>
      <c r="C633" s="180"/>
      <c r="D633" s="180"/>
    </row>
    <row r="634" spans="2:4" ht="13">
      <c r="B634" s="180"/>
      <c r="C634" s="180"/>
      <c r="D634" s="180"/>
    </row>
    <row r="635" spans="2:4" ht="13">
      <c r="B635" s="180"/>
      <c r="C635" s="180"/>
      <c r="D635" s="180"/>
    </row>
    <row r="636" spans="2:4" ht="13">
      <c r="B636" s="180"/>
      <c r="C636" s="180"/>
      <c r="D636" s="180"/>
    </row>
    <row r="637" spans="2:4" ht="13">
      <c r="B637" s="180"/>
      <c r="C637" s="180"/>
      <c r="D637" s="180"/>
    </row>
    <row r="638" spans="2:4" ht="13">
      <c r="B638" s="180"/>
      <c r="C638" s="180"/>
      <c r="D638" s="180"/>
    </row>
    <row r="639" spans="2:4" ht="13">
      <c r="B639" s="180"/>
      <c r="C639" s="180"/>
      <c r="D639" s="180"/>
    </row>
    <row r="640" spans="2:4" ht="13">
      <c r="B640" s="180"/>
      <c r="C640" s="180"/>
      <c r="D640" s="180"/>
    </row>
    <row r="641" spans="2:4" ht="13">
      <c r="B641" s="180"/>
      <c r="C641" s="180"/>
      <c r="D641" s="180"/>
    </row>
    <row r="642" spans="2:4" ht="13">
      <c r="B642" s="180"/>
      <c r="C642" s="180"/>
      <c r="D642" s="180"/>
    </row>
    <row r="643" spans="2:4" ht="13">
      <c r="B643" s="180"/>
      <c r="C643" s="180"/>
      <c r="D643" s="180"/>
    </row>
    <row r="644" spans="2:4" ht="13">
      <c r="B644" s="180"/>
      <c r="C644" s="180"/>
      <c r="D644" s="180"/>
    </row>
    <row r="645" spans="2:4" ht="13">
      <c r="B645" s="180"/>
      <c r="C645" s="180"/>
      <c r="D645" s="180"/>
    </row>
    <row r="646" spans="2:4" ht="13">
      <c r="B646" s="180"/>
      <c r="C646" s="180"/>
      <c r="D646" s="180"/>
    </row>
    <row r="647" spans="2:4" ht="13">
      <c r="B647" s="180"/>
      <c r="C647" s="180"/>
      <c r="D647" s="180"/>
    </row>
    <row r="648" spans="2:4" ht="13">
      <c r="B648" s="180"/>
      <c r="C648" s="180"/>
      <c r="D648" s="180"/>
    </row>
    <row r="649" spans="2:4" ht="13">
      <c r="B649" s="180"/>
      <c r="C649" s="180"/>
      <c r="D649" s="180"/>
    </row>
    <row r="650" spans="2:4" ht="13">
      <c r="B650" s="180"/>
      <c r="C650" s="180"/>
      <c r="D650" s="180"/>
    </row>
    <row r="651" spans="2:4" ht="13">
      <c r="B651" s="180"/>
      <c r="C651" s="180"/>
      <c r="D651" s="180"/>
    </row>
    <row r="652" spans="2:4" ht="13">
      <c r="B652" s="180"/>
      <c r="C652" s="180"/>
      <c r="D652" s="180"/>
    </row>
    <row r="653" spans="2:4" ht="13">
      <c r="B653" s="180"/>
      <c r="C653" s="180"/>
      <c r="D653" s="180"/>
    </row>
    <row r="654" spans="2:4" ht="13">
      <c r="B654" s="180"/>
      <c r="C654" s="180"/>
      <c r="D654" s="180"/>
    </row>
    <row r="655" spans="2:4" ht="13">
      <c r="B655" s="180"/>
      <c r="C655" s="180"/>
      <c r="D655" s="180"/>
    </row>
    <row r="656" spans="2:4" ht="13">
      <c r="B656" s="180"/>
      <c r="C656" s="180"/>
      <c r="D656" s="180"/>
    </row>
    <row r="657" spans="2:4" ht="13">
      <c r="B657" s="180"/>
      <c r="C657" s="180"/>
      <c r="D657" s="180"/>
    </row>
    <row r="658" spans="2:4" ht="13">
      <c r="B658" s="180"/>
      <c r="C658" s="180"/>
      <c r="D658" s="180"/>
    </row>
    <row r="659" spans="2:4" ht="13">
      <c r="B659" s="180"/>
      <c r="C659" s="180"/>
      <c r="D659" s="180"/>
    </row>
    <row r="660" spans="2:4" ht="13">
      <c r="B660" s="180"/>
      <c r="C660" s="180"/>
      <c r="D660" s="180"/>
    </row>
    <row r="661" spans="2:4" ht="13">
      <c r="B661" s="180"/>
      <c r="C661" s="180"/>
      <c r="D661" s="180"/>
    </row>
    <row r="662" spans="2:4" ht="13">
      <c r="B662" s="180"/>
      <c r="C662" s="180"/>
      <c r="D662" s="180"/>
    </row>
    <row r="663" spans="2:4" ht="13">
      <c r="B663" s="180"/>
      <c r="C663" s="180"/>
      <c r="D663" s="180"/>
    </row>
    <row r="664" spans="2:4" ht="13">
      <c r="B664" s="180"/>
      <c r="C664" s="180"/>
      <c r="D664" s="180"/>
    </row>
    <row r="665" spans="2:4" ht="13">
      <c r="B665" s="180"/>
      <c r="C665" s="180"/>
      <c r="D665" s="180"/>
    </row>
    <row r="666" spans="2:4" ht="13">
      <c r="B666" s="180"/>
      <c r="C666" s="180"/>
      <c r="D666" s="180"/>
    </row>
    <row r="667" spans="2:4" ht="13">
      <c r="B667" s="180"/>
      <c r="C667" s="180"/>
      <c r="D667" s="180"/>
    </row>
    <row r="668" spans="2:4" ht="13">
      <c r="B668" s="180"/>
      <c r="C668" s="180"/>
      <c r="D668" s="180"/>
    </row>
    <row r="669" spans="2:4" ht="13">
      <c r="B669" s="180"/>
      <c r="C669" s="180"/>
      <c r="D669" s="180"/>
    </row>
    <row r="670" spans="2:4" ht="13">
      <c r="B670" s="180"/>
      <c r="C670" s="180"/>
      <c r="D670" s="180"/>
    </row>
    <row r="671" spans="2:4" ht="13">
      <c r="B671" s="180"/>
      <c r="C671" s="180"/>
      <c r="D671" s="180"/>
    </row>
    <row r="672" spans="2:4" ht="13">
      <c r="B672" s="180"/>
      <c r="C672" s="180"/>
      <c r="D672" s="180"/>
    </row>
    <row r="673" spans="2:4" ht="13">
      <c r="B673" s="180"/>
      <c r="C673" s="180"/>
      <c r="D673" s="180"/>
    </row>
    <row r="674" spans="2:4" ht="13">
      <c r="B674" s="180"/>
      <c r="C674" s="180"/>
      <c r="D674" s="180"/>
    </row>
    <row r="675" spans="2:4" ht="13">
      <c r="B675" s="180"/>
      <c r="C675" s="180"/>
      <c r="D675" s="180"/>
    </row>
    <row r="676" spans="2:4" ht="13">
      <c r="B676" s="180"/>
      <c r="C676" s="180"/>
      <c r="D676" s="180"/>
    </row>
    <row r="677" spans="2:4" ht="13">
      <c r="B677" s="180"/>
      <c r="C677" s="180"/>
      <c r="D677" s="180"/>
    </row>
    <row r="678" spans="2:4" ht="13">
      <c r="B678" s="180"/>
      <c r="C678" s="180"/>
      <c r="D678" s="180"/>
    </row>
    <row r="679" spans="2:4" ht="13">
      <c r="B679" s="180"/>
      <c r="C679" s="180"/>
      <c r="D679" s="180"/>
    </row>
    <row r="680" spans="2:4" ht="13">
      <c r="B680" s="180"/>
      <c r="C680" s="180"/>
      <c r="D680" s="180"/>
    </row>
    <row r="681" spans="2:4" ht="13">
      <c r="B681" s="180"/>
      <c r="C681" s="180"/>
      <c r="D681" s="180"/>
    </row>
    <row r="682" spans="2:4" ht="13">
      <c r="B682" s="180"/>
      <c r="C682" s="180"/>
      <c r="D682" s="180"/>
    </row>
    <row r="683" spans="2:4" ht="13">
      <c r="B683" s="180"/>
      <c r="C683" s="180"/>
      <c r="D683" s="180"/>
    </row>
    <row r="684" spans="2:4" ht="13">
      <c r="B684" s="180"/>
      <c r="C684" s="180"/>
      <c r="D684" s="180"/>
    </row>
    <row r="685" spans="2:4" ht="13">
      <c r="B685" s="180"/>
      <c r="C685" s="180"/>
      <c r="D685" s="180"/>
    </row>
    <row r="686" spans="2:4" ht="13">
      <c r="B686" s="180"/>
      <c r="C686" s="180"/>
      <c r="D686" s="180"/>
    </row>
    <row r="687" spans="2:4" ht="13">
      <c r="B687" s="180"/>
      <c r="C687" s="180"/>
      <c r="D687" s="180"/>
    </row>
    <row r="688" spans="2:4" ht="13">
      <c r="B688" s="180"/>
      <c r="C688" s="180"/>
      <c r="D688" s="180"/>
    </row>
    <row r="689" spans="2:4" ht="13">
      <c r="B689" s="180"/>
      <c r="C689" s="180"/>
      <c r="D689" s="180"/>
    </row>
    <row r="690" spans="2:4" ht="13">
      <c r="B690" s="180"/>
      <c r="C690" s="180"/>
      <c r="D690" s="180"/>
    </row>
    <row r="691" spans="2:4" ht="13">
      <c r="B691" s="180"/>
      <c r="C691" s="180"/>
      <c r="D691" s="180"/>
    </row>
    <row r="692" spans="2:4" ht="13">
      <c r="B692" s="180"/>
      <c r="C692" s="180"/>
      <c r="D692" s="180"/>
    </row>
    <row r="693" spans="2:4" ht="13">
      <c r="B693" s="180"/>
      <c r="C693" s="180"/>
      <c r="D693" s="180"/>
    </row>
    <row r="694" spans="2:4" ht="13">
      <c r="B694" s="180"/>
      <c r="C694" s="180"/>
      <c r="D694" s="180"/>
    </row>
    <row r="695" spans="2:4" ht="13">
      <c r="B695" s="180"/>
      <c r="C695" s="180"/>
      <c r="D695" s="180"/>
    </row>
    <row r="696" spans="2:4" ht="13">
      <c r="B696" s="180"/>
      <c r="C696" s="180"/>
      <c r="D696" s="180"/>
    </row>
    <row r="697" spans="2:4" ht="13">
      <c r="B697" s="180"/>
      <c r="C697" s="180"/>
      <c r="D697" s="180"/>
    </row>
    <row r="698" spans="2:4" ht="13">
      <c r="B698" s="180"/>
      <c r="C698" s="180"/>
      <c r="D698" s="180"/>
    </row>
    <row r="699" spans="2:4" ht="13">
      <c r="B699" s="180"/>
      <c r="C699" s="180"/>
      <c r="D699" s="180"/>
    </row>
    <row r="700" spans="2:4" ht="13">
      <c r="B700" s="180"/>
      <c r="C700" s="180"/>
      <c r="D700" s="180"/>
    </row>
    <row r="701" spans="2:4" ht="13">
      <c r="B701" s="180"/>
      <c r="C701" s="180"/>
      <c r="D701" s="180"/>
    </row>
    <row r="702" spans="2:4" ht="13">
      <c r="B702" s="180"/>
      <c r="C702" s="180"/>
      <c r="D702" s="180"/>
    </row>
    <row r="703" spans="2:4" ht="13">
      <c r="B703" s="180"/>
      <c r="C703" s="180"/>
      <c r="D703" s="180"/>
    </row>
    <row r="704" spans="2:4" ht="13">
      <c r="B704" s="180"/>
      <c r="C704" s="180"/>
      <c r="D704" s="180"/>
    </row>
    <row r="705" spans="2:4" ht="13">
      <c r="B705" s="180"/>
      <c r="C705" s="180"/>
      <c r="D705" s="180"/>
    </row>
    <row r="706" spans="2:4" ht="13">
      <c r="B706" s="180"/>
      <c r="C706" s="180"/>
      <c r="D706" s="180"/>
    </row>
    <row r="707" spans="2:4" ht="13">
      <c r="B707" s="180"/>
      <c r="C707" s="180"/>
      <c r="D707" s="180"/>
    </row>
    <row r="708" spans="2:4" ht="13">
      <c r="B708" s="180"/>
      <c r="C708" s="180"/>
      <c r="D708" s="180"/>
    </row>
    <row r="709" spans="2:4" ht="13">
      <c r="B709" s="180"/>
      <c r="C709" s="180"/>
      <c r="D709" s="180"/>
    </row>
    <row r="710" spans="2:4" ht="13">
      <c r="B710" s="180"/>
      <c r="C710" s="180"/>
      <c r="D710" s="180"/>
    </row>
    <row r="711" spans="2:4" ht="13">
      <c r="B711" s="180"/>
      <c r="C711" s="180"/>
      <c r="D711" s="180"/>
    </row>
    <row r="712" spans="2:4" ht="13">
      <c r="B712" s="180"/>
      <c r="C712" s="180"/>
      <c r="D712" s="180"/>
    </row>
    <row r="713" spans="2:4" ht="13">
      <c r="B713" s="180"/>
      <c r="C713" s="180"/>
      <c r="D713" s="180"/>
    </row>
    <row r="714" spans="2:4" ht="13">
      <c r="B714" s="180"/>
      <c r="C714" s="180"/>
      <c r="D714" s="180"/>
    </row>
    <row r="715" spans="2:4" ht="13">
      <c r="B715" s="180"/>
      <c r="C715" s="180"/>
      <c r="D715" s="180"/>
    </row>
    <row r="716" spans="2:4" ht="13">
      <c r="B716" s="180"/>
      <c r="C716" s="180"/>
      <c r="D716" s="180"/>
    </row>
    <row r="717" spans="2:4" ht="13">
      <c r="B717" s="180"/>
      <c r="C717" s="180"/>
      <c r="D717" s="180"/>
    </row>
    <row r="718" spans="2:4" ht="13">
      <c r="B718" s="180"/>
      <c r="C718" s="180"/>
      <c r="D718" s="180"/>
    </row>
    <row r="719" spans="2:4" ht="13">
      <c r="B719" s="180"/>
      <c r="C719" s="180"/>
      <c r="D719" s="180"/>
    </row>
    <row r="720" spans="2:4" ht="13">
      <c r="B720" s="180"/>
      <c r="C720" s="180"/>
      <c r="D720" s="180"/>
    </row>
    <row r="721" spans="2:4" ht="13">
      <c r="B721" s="180"/>
      <c r="C721" s="180"/>
      <c r="D721" s="180"/>
    </row>
    <row r="722" spans="2:4" ht="13">
      <c r="B722" s="180"/>
      <c r="C722" s="180"/>
      <c r="D722" s="180"/>
    </row>
    <row r="723" spans="2:4" ht="13">
      <c r="B723" s="180"/>
      <c r="C723" s="180"/>
      <c r="D723" s="180"/>
    </row>
    <row r="724" spans="2:4" ht="13">
      <c r="B724" s="180"/>
      <c r="C724" s="180"/>
      <c r="D724" s="180"/>
    </row>
    <row r="725" spans="2:4" ht="13">
      <c r="B725" s="180"/>
      <c r="C725" s="180"/>
      <c r="D725" s="180"/>
    </row>
    <row r="726" spans="2:4" ht="13">
      <c r="B726" s="180"/>
      <c r="C726" s="180"/>
      <c r="D726" s="180"/>
    </row>
    <row r="727" spans="2:4" ht="13">
      <c r="B727" s="180"/>
      <c r="C727" s="180"/>
      <c r="D727" s="180"/>
    </row>
    <row r="728" spans="2:4" ht="13">
      <c r="B728" s="180"/>
      <c r="C728" s="180"/>
      <c r="D728" s="180"/>
    </row>
    <row r="729" spans="2:4" ht="13">
      <c r="B729" s="180"/>
      <c r="C729" s="180"/>
      <c r="D729" s="180"/>
    </row>
    <row r="730" spans="2:4" ht="13">
      <c r="B730" s="180"/>
      <c r="C730" s="180"/>
      <c r="D730" s="180"/>
    </row>
    <row r="731" spans="2:4" ht="13">
      <c r="B731" s="180"/>
      <c r="C731" s="180"/>
      <c r="D731" s="180"/>
    </row>
    <row r="732" spans="2:4" ht="13">
      <c r="B732" s="180"/>
      <c r="C732" s="180"/>
      <c r="D732" s="180"/>
    </row>
    <row r="733" spans="2:4" ht="13">
      <c r="B733" s="180"/>
      <c r="C733" s="180"/>
      <c r="D733" s="180"/>
    </row>
    <row r="734" spans="2:4" ht="13">
      <c r="B734" s="180"/>
      <c r="C734" s="180"/>
      <c r="D734" s="180"/>
    </row>
    <row r="735" spans="2:4" ht="13">
      <c r="B735" s="180"/>
      <c r="C735" s="180"/>
      <c r="D735" s="180"/>
    </row>
    <row r="736" spans="2:4" ht="13">
      <c r="B736" s="180"/>
      <c r="C736" s="180"/>
      <c r="D736" s="180"/>
    </row>
    <row r="737" spans="2:4" ht="13">
      <c r="B737" s="180"/>
      <c r="C737" s="180"/>
      <c r="D737" s="180"/>
    </row>
    <row r="738" spans="2:4" ht="13">
      <c r="B738" s="180"/>
      <c r="C738" s="180"/>
      <c r="D738" s="180"/>
    </row>
    <row r="739" spans="2:4" ht="13">
      <c r="B739" s="180"/>
      <c r="C739" s="180"/>
      <c r="D739" s="180"/>
    </row>
    <row r="740" spans="2:4" ht="13">
      <c r="B740" s="180"/>
      <c r="C740" s="180"/>
      <c r="D740" s="180"/>
    </row>
    <row r="741" spans="2:4" ht="13">
      <c r="B741" s="180"/>
      <c r="C741" s="180"/>
      <c r="D741" s="180"/>
    </row>
    <row r="742" spans="2:4" ht="13">
      <c r="B742" s="180"/>
      <c r="C742" s="180"/>
      <c r="D742" s="180"/>
    </row>
    <row r="743" spans="2:4" ht="13">
      <c r="B743" s="180"/>
      <c r="C743" s="180"/>
      <c r="D743" s="180"/>
    </row>
    <row r="744" spans="2:4" ht="13">
      <c r="B744" s="180"/>
      <c r="C744" s="180"/>
      <c r="D744" s="180"/>
    </row>
    <row r="745" spans="2:4" ht="13">
      <c r="B745" s="180"/>
      <c r="C745" s="180"/>
      <c r="D745" s="180"/>
    </row>
    <row r="746" spans="2:4" ht="13">
      <c r="B746" s="180"/>
      <c r="C746" s="180"/>
      <c r="D746" s="180"/>
    </row>
    <row r="747" spans="2:4" ht="13">
      <c r="B747" s="180"/>
      <c r="C747" s="180"/>
      <c r="D747" s="180"/>
    </row>
    <row r="748" spans="2:4" ht="13">
      <c r="B748" s="180"/>
      <c r="C748" s="180"/>
      <c r="D748" s="180"/>
    </row>
    <row r="749" spans="2:4" ht="13">
      <c r="B749" s="180"/>
      <c r="C749" s="180"/>
      <c r="D749" s="180"/>
    </row>
    <row r="750" spans="2:4" ht="13">
      <c r="B750" s="180"/>
      <c r="C750" s="180"/>
      <c r="D750" s="180"/>
    </row>
    <row r="751" spans="2:4" ht="13">
      <c r="B751" s="180"/>
      <c r="C751" s="180"/>
      <c r="D751" s="180"/>
    </row>
    <row r="752" spans="2:4" ht="13">
      <c r="B752" s="180"/>
      <c r="C752" s="180"/>
      <c r="D752" s="180"/>
    </row>
    <row r="753" spans="2:4" ht="13">
      <c r="B753" s="180"/>
      <c r="C753" s="180"/>
      <c r="D753" s="180"/>
    </row>
    <row r="754" spans="2:4" ht="13">
      <c r="B754" s="180"/>
      <c r="C754" s="180"/>
      <c r="D754" s="180"/>
    </row>
    <row r="755" spans="2:4" ht="13">
      <c r="B755" s="180"/>
      <c r="C755" s="180"/>
      <c r="D755" s="180"/>
    </row>
    <row r="756" spans="2:4" ht="13">
      <c r="B756" s="180"/>
      <c r="C756" s="180"/>
      <c r="D756" s="180"/>
    </row>
    <row r="757" spans="2:4" ht="13">
      <c r="B757" s="180"/>
      <c r="C757" s="180"/>
      <c r="D757" s="180"/>
    </row>
    <row r="758" spans="2:4" ht="13">
      <c r="B758" s="180"/>
      <c r="C758" s="180"/>
      <c r="D758" s="180"/>
    </row>
    <row r="759" spans="2:4" ht="13">
      <c r="B759" s="180"/>
      <c r="C759" s="180"/>
      <c r="D759" s="180"/>
    </row>
    <row r="760" spans="2:4" ht="13">
      <c r="B760" s="180"/>
      <c r="C760" s="180"/>
      <c r="D760" s="180"/>
    </row>
    <row r="761" spans="2:4" ht="13">
      <c r="B761" s="180"/>
      <c r="C761" s="180"/>
      <c r="D761" s="180"/>
    </row>
    <row r="762" spans="2:4" ht="13">
      <c r="B762" s="180"/>
      <c r="C762" s="180"/>
      <c r="D762" s="180"/>
    </row>
    <row r="763" spans="2:4" ht="13">
      <c r="B763" s="180"/>
      <c r="C763" s="180"/>
      <c r="D763" s="180"/>
    </row>
    <row r="764" spans="2:4" ht="13">
      <c r="B764" s="180"/>
      <c r="C764" s="180"/>
      <c r="D764" s="180"/>
    </row>
    <row r="765" spans="2:4" ht="13">
      <c r="B765" s="180"/>
      <c r="C765" s="180"/>
      <c r="D765" s="180"/>
    </row>
    <row r="766" spans="2:4" ht="13">
      <c r="B766" s="180"/>
      <c r="C766" s="180"/>
      <c r="D766" s="180"/>
    </row>
    <row r="767" spans="2:4" ht="13">
      <c r="B767" s="180"/>
      <c r="C767" s="180"/>
      <c r="D767" s="180"/>
    </row>
    <row r="768" spans="2:4" ht="13">
      <c r="B768" s="180"/>
      <c r="C768" s="180"/>
      <c r="D768" s="180"/>
    </row>
    <row r="769" spans="2:4" ht="13">
      <c r="B769" s="180"/>
      <c r="C769" s="180"/>
      <c r="D769" s="180"/>
    </row>
    <row r="770" spans="2:4" ht="13">
      <c r="B770" s="180"/>
      <c r="C770" s="180"/>
      <c r="D770" s="180"/>
    </row>
    <row r="771" spans="2:4" ht="13">
      <c r="B771" s="180"/>
      <c r="C771" s="180"/>
      <c r="D771" s="180"/>
    </row>
    <row r="772" spans="2:4" ht="13">
      <c r="B772" s="180"/>
      <c r="C772" s="180"/>
      <c r="D772" s="180"/>
    </row>
    <row r="773" spans="2:4" ht="13">
      <c r="B773" s="180"/>
      <c r="C773" s="180"/>
      <c r="D773" s="180"/>
    </row>
    <row r="774" spans="2:4" ht="13">
      <c r="B774" s="180"/>
      <c r="C774" s="180"/>
      <c r="D774" s="180"/>
    </row>
    <row r="775" spans="2:4" ht="13">
      <c r="B775" s="180"/>
      <c r="C775" s="180"/>
      <c r="D775" s="180"/>
    </row>
    <row r="776" spans="2:4" ht="13">
      <c r="B776" s="180"/>
      <c r="C776" s="180"/>
      <c r="D776" s="180"/>
    </row>
    <row r="777" spans="2:4" ht="13">
      <c r="B777" s="180"/>
      <c r="C777" s="180"/>
      <c r="D777" s="180"/>
    </row>
    <row r="778" spans="2:4" ht="13">
      <c r="B778" s="180"/>
      <c r="C778" s="180"/>
      <c r="D778" s="180"/>
    </row>
    <row r="779" spans="2:4" ht="13">
      <c r="B779" s="180"/>
      <c r="C779" s="180"/>
      <c r="D779" s="180"/>
    </row>
    <row r="780" spans="2:4" ht="13">
      <c r="B780" s="180"/>
      <c r="C780" s="180"/>
      <c r="D780" s="180"/>
    </row>
    <row r="781" spans="2:4" ht="13">
      <c r="B781" s="180"/>
      <c r="C781" s="180"/>
      <c r="D781" s="180"/>
    </row>
    <row r="782" spans="2:4" ht="13">
      <c r="B782" s="180"/>
      <c r="C782" s="180"/>
      <c r="D782" s="180"/>
    </row>
    <row r="783" spans="2:4" ht="13">
      <c r="B783" s="180"/>
      <c r="C783" s="180"/>
      <c r="D783" s="180"/>
    </row>
    <row r="784" spans="2:4" ht="13">
      <c r="B784" s="180"/>
      <c r="C784" s="180"/>
      <c r="D784" s="180"/>
    </row>
    <row r="785" spans="2:4" ht="13">
      <c r="B785" s="180"/>
      <c r="C785" s="180"/>
      <c r="D785" s="180"/>
    </row>
    <row r="786" spans="2:4" ht="13">
      <c r="B786" s="180"/>
      <c r="C786" s="180"/>
      <c r="D786" s="180"/>
    </row>
    <row r="787" spans="2:4" ht="13">
      <c r="B787" s="180"/>
      <c r="C787" s="180"/>
      <c r="D787" s="180"/>
    </row>
    <row r="788" spans="2:4" ht="13">
      <c r="B788" s="180"/>
      <c r="C788" s="180"/>
      <c r="D788" s="180"/>
    </row>
    <row r="789" spans="2:4" ht="13">
      <c r="B789" s="180"/>
      <c r="C789" s="180"/>
      <c r="D789" s="180"/>
    </row>
    <row r="790" spans="2:4" ht="13">
      <c r="B790" s="180"/>
      <c r="C790" s="180"/>
      <c r="D790" s="180"/>
    </row>
    <row r="791" spans="2:4" ht="13">
      <c r="B791" s="180"/>
      <c r="C791" s="180"/>
      <c r="D791" s="180"/>
    </row>
    <row r="792" spans="2:4" ht="13">
      <c r="B792" s="180"/>
      <c r="C792" s="180"/>
      <c r="D792" s="180"/>
    </row>
    <row r="793" spans="2:4" ht="13">
      <c r="B793" s="180"/>
      <c r="C793" s="180"/>
      <c r="D793" s="180"/>
    </row>
    <row r="794" spans="2:4" ht="13">
      <c r="B794" s="180"/>
      <c r="C794" s="180"/>
      <c r="D794" s="180"/>
    </row>
    <row r="795" spans="2:4" ht="13">
      <c r="B795" s="180"/>
      <c r="C795" s="180"/>
      <c r="D795" s="180"/>
    </row>
    <row r="796" spans="2:4" ht="13">
      <c r="B796" s="180"/>
      <c r="C796" s="180"/>
      <c r="D796" s="180"/>
    </row>
    <row r="797" spans="2:4" ht="13">
      <c r="B797" s="180"/>
      <c r="C797" s="180"/>
      <c r="D797" s="180"/>
    </row>
    <row r="798" spans="2:4" ht="13">
      <c r="B798" s="180"/>
      <c r="C798" s="180"/>
      <c r="D798" s="180"/>
    </row>
    <row r="799" spans="2:4" ht="13">
      <c r="B799" s="180"/>
      <c r="C799" s="180"/>
      <c r="D799" s="180"/>
    </row>
    <row r="800" spans="2:4" ht="13">
      <c r="B800" s="180"/>
      <c r="C800" s="180"/>
      <c r="D800" s="180"/>
    </row>
    <row r="801" spans="2:4" ht="13">
      <c r="B801" s="180"/>
      <c r="C801" s="180"/>
      <c r="D801" s="180"/>
    </row>
    <row r="802" spans="2:4" ht="13">
      <c r="B802" s="180"/>
      <c r="C802" s="180"/>
      <c r="D802" s="180"/>
    </row>
    <row r="803" spans="2:4" ht="13">
      <c r="B803" s="180"/>
      <c r="C803" s="180"/>
      <c r="D803" s="180"/>
    </row>
    <row r="804" spans="2:4" ht="13">
      <c r="B804" s="180"/>
      <c r="C804" s="180"/>
      <c r="D804" s="180"/>
    </row>
    <row r="805" spans="2:4" ht="13">
      <c r="B805" s="180"/>
      <c r="C805" s="180"/>
      <c r="D805" s="180"/>
    </row>
    <row r="806" spans="2:4" ht="13">
      <c r="B806" s="180"/>
      <c r="C806" s="180"/>
      <c r="D806" s="180"/>
    </row>
    <row r="807" spans="2:4" ht="13">
      <c r="B807" s="180"/>
      <c r="C807" s="180"/>
      <c r="D807" s="180"/>
    </row>
    <row r="808" spans="2:4" ht="13">
      <c r="B808" s="180"/>
      <c r="C808" s="180"/>
      <c r="D808" s="180"/>
    </row>
    <row r="809" spans="2:4" ht="13">
      <c r="B809" s="180"/>
      <c r="C809" s="180"/>
      <c r="D809" s="180"/>
    </row>
    <row r="810" spans="2:4" ht="13">
      <c r="B810" s="180"/>
      <c r="C810" s="180"/>
      <c r="D810" s="180"/>
    </row>
    <row r="811" spans="2:4" ht="13">
      <c r="B811" s="180"/>
      <c r="C811" s="180"/>
      <c r="D811" s="180"/>
    </row>
    <row r="812" spans="2:4" ht="13">
      <c r="B812" s="180"/>
      <c r="C812" s="180"/>
      <c r="D812" s="180"/>
    </row>
    <row r="813" spans="2:4" ht="13">
      <c r="B813" s="180"/>
      <c r="C813" s="180"/>
      <c r="D813" s="180"/>
    </row>
    <row r="814" spans="2:4" ht="13">
      <c r="B814" s="180"/>
      <c r="C814" s="180"/>
      <c r="D814" s="180"/>
    </row>
    <row r="815" spans="2:4" ht="13">
      <c r="B815" s="180"/>
      <c r="C815" s="180"/>
      <c r="D815" s="180"/>
    </row>
    <row r="816" spans="2:4" ht="13">
      <c r="B816" s="180"/>
      <c r="C816" s="180"/>
      <c r="D816" s="180"/>
    </row>
    <row r="817" spans="2:4" ht="13">
      <c r="B817" s="180"/>
      <c r="C817" s="180"/>
      <c r="D817" s="180"/>
    </row>
    <row r="818" spans="2:4" ht="13">
      <c r="B818" s="180"/>
      <c r="C818" s="180"/>
      <c r="D818" s="180"/>
    </row>
    <row r="819" spans="2:4" ht="13">
      <c r="B819" s="180"/>
      <c r="C819" s="180"/>
      <c r="D819" s="180"/>
    </row>
    <row r="820" spans="2:4" ht="13">
      <c r="B820" s="180"/>
      <c r="C820" s="180"/>
      <c r="D820" s="180"/>
    </row>
    <row r="821" spans="2:4" ht="13">
      <c r="B821" s="180"/>
      <c r="C821" s="180"/>
      <c r="D821" s="180"/>
    </row>
    <row r="822" spans="2:4" ht="13">
      <c r="B822" s="180"/>
      <c r="C822" s="180"/>
      <c r="D822" s="180"/>
    </row>
    <row r="823" spans="2:4" ht="13">
      <c r="B823" s="180"/>
      <c r="C823" s="180"/>
      <c r="D823" s="180"/>
    </row>
    <row r="824" spans="2:4" ht="13">
      <c r="B824" s="180"/>
      <c r="C824" s="180"/>
      <c r="D824" s="180"/>
    </row>
    <row r="825" spans="2:4" ht="13">
      <c r="B825" s="180"/>
      <c r="C825" s="180"/>
      <c r="D825" s="180"/>
    </row>
    <row r="826" spans="2:4" ht="13">
      <c r="B826" s="180"/>
      <c r="C826" s="180"/>
      <c r="D826" s="180"/>
    </row>
    <row r="827" spans="2:4" ht="13">
      <c r="B827" s="180"/>
      <c r="C827" s="180"/>
      <c r="D827" s="180"/>
    </row>
    <row r="828" spans="2:4" ht="13">
      <c r="B828" s="180"/>
      <c r="C828" s="180"/>
      <c r="D828" s="180"/>
    </row>
    <row r="829" spans="2:4" ht="13">
      <c r="B829" s="180"/>
      <c r="C829" s="180"/>
      <c r="D829" s="180"/>
    </row>
    <row r="830" spans="2:4" ht="13">
      <c r="B830" s="180"/>
      <c r="C830" s="180"/>
      <c r="D830" s="180"/>
    </row>
    <row r="831" spans="2:4" ht="13">
      <c r="B831" s="180"/>
      <c r="C831" s="180"/>
      <c r="D831" s="180"/>
    </row>
    <row r="832" spans="2:4" ht="13">
      <c r="B832" s="180"/>
      <c r="C832" s="180"/>
      <c r="D832" s="180"/>
    </row>
    <row r="833" spans="2:4" ht="13">
      <c r="B833" s="180"/>
      <c r="C833" s="180"/>
      <c r="D833" s="180"/>
    </row>
    <row r="834" spans="2:4" ht="13">
      <c r="B834" s="180"/>
      <c r="C834" s="180"/>
      <c r="D834" s="180"/>
    </row>
    <row r="835" spans="2:4" ht="13">
      <c r="B835" s="180"/>
      <c r="C835" s="180"/>
      <c r="D835" s="180"/>
    </row>
    <row r="836" spans="2:4" ht="13">
      <c r="B836" s="180"/>
      <c r="C836" s="180"/>
      <c r="D836" s="180"/>
    </row>
    <row r="837" spans="2:4" ht="13">
      <c r="B837" s="180"/>
      <c r="C837" s="180"/>
      <c r="D837" s="180"/>
    </row>
    <row r="838" spans="2:4" ht="13">
      <c r="B838" s="180"/>
      <c r="C838" s="180"/>
      <c r="D838" s="180"/>
    </row>
    <row r="839" spans="2:4" ht="13">
      <c r="B839" s="180"/>
      <c r="C839" s="180"/>
      <c r="D839" s="180"/>
    </row>
    <row r="840" spans="2:4" ht="13">
      <c r="B840" s="180"/>
      <c r="C840" s="180"/>
      <c r="D840" s="180"/>
    </row>
    <row r="841" spans="2:4" ht="13">
      <c r="B841" s="180"/>
      <c r="C841" s="180"/>
      <c r="D841" s="180"/>
    </row>
    <row r="842" spans="2:4" ht="13">
      <c r="B842" s="180"/>
      <c r="C842" s="180"/>
      <c r="D842" s="180"/>
    </row>
    <row r="843" spans="2:4" ht="13">
      <c r="B843" s="180"/>
      <c r="C843" s="180"/>
      <c r="D843" s="180"/>
    </row>
    <row r="844" spans="2:4" ht="13">
      <c r="B844" s="180"/>
      <c r="C844" s="180"/>
      <c r="D844" s="180"/>
    </row>
    <row r="845" spans="2:4" ht="13">
      <c r="B845" s="180"/>
      <c r="C845" s="180"/>
      <c r="D845" s="180"/>
    </row>
    <row r="846" spans="2:4" ht="13">
      <c r="B846" s="180"/>
      <c r="C846" s="180"/>
      <c r="D846" s="180"/>
    </row>
    <row r="847" spans="2:4" ht="13">
      <c r="B847" s="180"/>
      <c r="C847" s="180"/>
      <c r="D847" s="180"/>
    </row>
    <row r="848" spans="2:4" ht="13">
      <c r="B848" s="180"/>
      <c r="C848" s="180"/>
      <c r="D848" s="180"/>
    </row>
    <row r="849" spans="2:4" ht="13">
      <c r="B849" s="180"/>
      <c r="C849" s="180"/>
      <c r="D849" s="180"/>
    </row>
    <row r="850" spans="2:4" ht="13">
      <c r="B850" s="180"/>
      <c r="C850" s="180"/>
      <c r="D850" s="180"/>
    </row>
    <row r="851" spans="2:4" ht="13">
      <c r="B851" s="180"/>
      <c r="C851" s="180"/>
      <c r="D851" s="180"/>
    </row>
    <row r="852" spans="2:4" ht="13">
      <c r="B852" s="180"/>
      <c r="C852" s="180"/>
      <c r="D852" s="180"/>
    </row>
    <row r="853" spans="2:4" ht="13">
      <c r="B853" s="180"/>
      <c r="C853" s="180"/>
      <c r="D853" s="180"/>
    </row>
    <row r="854" spans="2:4" ht="13">
      <c r="B854" s="180"/>
      <c r="C854" s="180"/>
      <c r="D854" s="180"/>
    </row>
    <row r="855" spans="2:4" ht="13">
      <c r="B855" s="180"/>
      <c r="C855" s="180"/>
      <c r="D855" s="180"/>
    </row>
    <row r="856" spans="2:4" ht="13">
      <c r="B856" s="180"/>
      <c r="C856" s="180"/>
      <c r="D856" s="180"/>
    </row>
    <row r="857" spans="2:4" ht="13">
      <c r="B857" s="180"/>
      <c r="C857" s="180"/>
      <c r="D857" s="180"/>
    </row>
    <row r="858" spans="2:4" ht="13">
      <c r="B858" s="180"/>
      <c r="C858" s="180"/>
      <c r="D858" s="180"/>
    </row>
    <row r="859" spans="2:4" ht="13">
      <c r="B859" s="180"/>
      <c r="C859" s="180"/>
      <c r="D859" s="180"/>
    </row>
    <row r="860" spans="2:4" ht="13">
      <c r="B860" s="180"/>
      <c r="C860" s="180"/>
      <c r="D860" s="180"/>
    </row>
    <row r="861" spans="2:4" ht="13">
      <c r="B861" s="180"/>
      <c r="C861" s="180"/>
      <c r="D861" s="180"/>
    </row>
    <row r="862" spans="2:4" ht="13">
      <c r="B862" s="180"/>
      <c r="C862" s="180"/>
      <c r="D862" s="180"/>
    </row>
    <row r="863" spans="2:4" ht="13">
      <c r="B863" s="180"/>
      <c r="C863" s="180"/>
      <c r="D863" s="180"/>
    </row>
    <row r="864" spans="2:4" ht="13">
      <c r="B864" s="180"/>
      <c r="C864" s="180"/>
      <c r="D864" s="180"/>
    </row>
    <row r="865" spans="2:4" ht="13">
      <c r="B865" s="180"/>
      <c r="C865" s="180"/>
      <c r="D865" s="180"/>
    </row>
    <row r="866" spans="2:4" ht="13">
      <c r="B866" s="180"/>
      <c r="C866" s="180"/>
      <c r="D866" s="180"/>
    </row>
    <row r="867" spans="2:4" ht="13">
      <c r="B867" s="180"/>
      <c r="C867" s="180"/>
      <c r="D867" s="180"/>
    </row>
    <row r="868" spans="2:4" ht="13">
      <c r="B868" s="180"/>
      <c r="C868" s="180"/>
      <c r="D868" s="180"/>
    </row>
    <row r="869" spans="2:4" ht="13">
      <c r="B869" s="180"/>
      <c r="C869" s="180"/>
      <c r="D869" s="180"/>
    </row>
    <row r="870" spans="2:4" ht="13">
      <c r="B870" s="180"/>
      <c r="C870" s="180"/>
      <c r="D870" s="180"/>
    </row>
    <row r="871" spans="2:4" ht="13">
      <c r="B871" s="180"/>
      <c r="C871" s="180"/>
      <c r="D871" s="180"/>
    </row>
    <row r="872" spans="2:4" ht="13">
      <c r="B872" s="180"/>
      <c r="C872" s="180"/>
      <c r="D872" s="180"/>
    </row>
    <row r="873" spans="2:4" ht="13">
      <c r="B873" s="180"/>
      <c r="C873" s="180"/>
      <c r="D873" s="180"/>
    </row>
    <row r="874" spans="2:4" ht="13">
      <c r="B874" s="180"/>
      <c r="C874" s="180"/>
      <c r="D874" s="180"/>
    </row>
    <row r="875" spans="2:4" ht="13">
      <c r="B875" s="180"/>
      <c r="C875" s="180"/>
      <c r="D875" s="180"/>
    </row>
    <row r="876" spans="2:4" ht="13">
      <c r="B876" s="180"/>
      <c r="C876" s="180"/>
      <c r="D876" s="180"/>
    </row>
    <row r="877" spans="2:4" ht="13">
      <c r="B877" s="180"/>
      <c r="C877" s="180"/>
      <c r="D877" s="180"/>
    </row>
    <row r="878" spans="2:4" ht="13">
      <c r="B878" s="180"/>
      <c r="C878" s="180"/>
      <c r="D878" s="180"/>
    </row>
    <row r="879" spans="2:4" ht="13">
      <c r="B879" s="180"/>
      <c r="C879" s="180"/>
      <c r="D879" s="180"/>
    </row>
    <row r="880" spans="2:4" ht="13">
      <c r="B880" s="180"/>
      <c r="C880" s="180"/>
      <c r="D880" s="180"/>
    </row>
    <row r="881" spans="2:4" ht="13">
      <c r="B881" s="180"/>
      <c r="C881" s="180"/>
      <c r="D881" s="180"/>
    </row>
    <row r="882" spans="2:4" ht="13">
      <c r="B882" s="180"/>
      <c r="C882" s="180"/>
      <c r="D882" s="180"/>
    </row>
    <row r="883" spans="2:4" ht="13">
      <c r="B883" s="180"/>
      <c r="C883" s="180"/>
      <c r="D883" s="180"/>
    </row>
    <row r="884" spans="2:4" ht="13">
      <c r="B884" s="180"/>
      <c r="C884" s="180"/>
      <c r="D884" s="180"/>
    </row>
    <row r="885" spans="2:4" ht="13">
      <c r="B885" s="180"/>
      <c r="C885" s="180"/>
      <c r="D885" s="180"/>
    </row>
    <row r="886" spans="2:4" ht="13">
      <c r="B886" s="180"/>
      <c r="C886" s="180"/>
      <c r="D886" s="180"/>
    </row>
    <row r="887" spans="2:4" ht="13">
      <c r="B887" s="180"/>
      <c r="C887" s="180"/>
      <c r="D887" s="180"/>
    </row>
    <row r="888" spans="2:4" ht="13">
      <c r="B888" s="180"/>
      <c r="C888" s="180"/>
      <c r="D888" s="180"/>
    </row>
    <row r="889" spans="2:4" ht="13">
      <c r="B889" s="180"/>
      <c r="C889" s="180"/>
      <c r="D889" s="180"/>
    </row>
    <row r="890" spans="2:4" ht="13">
      <c r="B890" s="180"/>
      <c r="C890" s="180"/>
      <c r="D890" s="180"/>
    </row>
    <row r="891" spans="2:4" ht="13">
      <c r="B891" s="180"/>
      <c r="C891" s="180"/>
      <c r="D891" s="180"/>
    </row>
    <row r="892" spans="2:4" ht="13">
      <c r="B892" s="180"/>
      <c r="C892" s="180"/>
      <c r="D892" s="180"/>
    </row>
    <row r="893" spans="2:4" ht="13">
      <c r="B893" s="180"/>
      <c r="C893" s="180"/>
      <c r="D893" s="180"/>
    </row>
    <row r="894" spans="2:4" ht="13">
      <c r="B894" s="180"/>
      <c r="C894" s="180"/>
      <c r="D894" s="180"/>
    </row>
    <row r="895" spans="2:4" ht="13">
      <c r="B895" s="180"/>
      <c r="C895" s="180"/>
      <c r="D895" s="180"/>
    </row>
    <row r="896" spans="2:4" ht="13">
      <c r="B896" s="180"/>
      <c r="C896" s="180"/>
      <c r="D896" s="180"/>
    </row>
    <row r="897" spans="2:4" ht="13">
      <c r="B897" s="180"/>
      <c r="C897" s="180"/>
      <c r="D897" s="180"/>
    </row>
    <row r="898" spans="2:4" ht="13">
      <c r="B898" s="180"/>
      <c r="C898" s="180"/>
      <c r="D898" s="180"/>
    </row>
    <row r="899" spans="2:4" ht="13">
      <c r="B899" s="180"/>
      <c r="C899" s="180"/>
      <c r="D899" s="180"/>
    </row>
    <row r="900" spans="2:4" ht="13">
      <c r="B900" s="180"/>
      <c r="C900" s="180"/>
      <c r="D900" s="180"/>
    </row>
    <row r="901" spans="2:4" ht="13">
      <c r="B901" s="180"/>
      <c r="C901" s="180"/>
      <c r="D901" s="180"/>
    </row>
    <row r="902" spans="2:4" ht="13">
      <c r="B902" s="180"/>
      <c r="C902" s="180"/>
      <c r="D902" s="180"/>
    </row>
    <row r="903" spans="2:4" ht="13">
      <c r="B903" s="180"/>
      <c r="C903" s="180"/>
      <c r="D903" s="180"/>
    </row>
    <row r="904" spans="2:4" ht="13">
      <c r="B904" s="180"/>
      <c r="C904" s="180"/>
      <c r="D904" s="180"/>
    </row>
    <row r="905" spans="2:4" ht="13">
      <c r="B905" s="180"/>
      <c r="C905" s="180"/>
      <c r="D905" s="180"/>
    </row>
    <row r="906" spans="2:4" ht="13">
      <c r="B906" s="180"/>
      <c r="C906" s="180"/>
      <c r="D906" s="180"/>
    </row>
    <row r="907" spans="2:4" ht="13">
      <c r="B907" s="180"/>
      <c r="C907" s="180"/>
      <c r="D907" s="180"/>
    </row>
    <row r="908" spans="2:4" ht="13">
      <c r="B908" s="180"/>
      <c r="C908" s="180"/>
      <c r="D908" s="180"/>
    </row>
    <row r="909" spans="2:4" ht="13">
      <c r="B909" s="180"/>
      <c r="C909" s="180"/>
      <c r="D909" s="180"/>
    </row>
    <row r="910" spans="2:4" ht="13">
      <c r="B910" s="180"/>
      <c r="C910" s="180"/>
      <c r="D910" s="180"/>
    </row>
    <row r="911" spans="2:4" ht="13">
      <c r="B911" s="180"/>
      <c r="C911" s="180"/>
      <c r="D911" s="180"/>
    </row>
    <row r="912" spans="2:4" ht="13">
      <c r="B912" s="180"/>
      <c r="C912" s="180"/>
      <c r="D912" s="180"/>
    </row>
    <row r="913" spans="2:4" ht="13">
      <c r="B913" s="180"/>
      <c r="C913" s="180"/>
      <c r="D913" s="180"/>
    </row>
    <row r="914" spans="2:4" ht="13">
      <c r="B914" s="180"/>
      <c r="C914" s="180"/>
      <c r="D914" s="180"/>
    </row>
    <row r="915" spans="2:4" ht="13">
      <c r="B915" s="180"/>
      <c r="C915" s="180"/>
      <c r="D915" s="180"/>
    </row>
    <row r="916" spans="2:4" ht="13">
      <c r="B916" s="180"/>
      <c r="C916" s="180"/>
      <c r="D916" s="180"/>
    </row>
    <row r="917" spans="2:4" ht="13">
      <c r="B917" s="180"/>
      <c r="C917" s="180"/>
      <c r="D917" s="180"/>
    </row>
    <row r="918" spans="2:4" ht="13">
      <c r="B918" s="180"/>
      <c r="C918" s="180"/>
      <c r="D918" s="180"/>
    </row>
    <row r="919" spans="2:4" ht="13">
      <c r="B919" s="180"/>
      <c r="C919" s="180"/>
      <c r="D919" s="180"/>
    </row>
    <row r="920" spans="2:4" ht="13">
      <c r="B920" s="180"/>
      <c r="C920" s="180"/>
      <c r="D920" s="180"/>
    </row>
    <row r="921" spans="2:4" ht="13">
      <c r="B921" s="180"/>
      <c r="C921" s="180"/>
      <c r="D921" s="180"/>
    </row>
    <row r="922" spans="2:4" ht="13">
      <c r="B922" s="180"/>
      <c r="C922" s="180"/>
      <c r="D922" s="180"/>
    </row>
    <row r="923" spans="2:4" ht="13">
      <c r="B923" s="180"/>
      <c r="C923" s="180"/>
      <c r="D923" s="180"/>
    </row>
    <row r="924" spans="2:4" ht="13">
      <c r="B924" s="180"/>
      <c r="C924" s="180"/>
      <c r="D924" s="180"/>
    </row>
    <row r="925" spans="2:4" ht="13">
      <c r="B925" s="180"/>
      <c r="C925" s="180"/>
      <c r="D925" s="180"/>
    </row>
    <row r="926" spans="2:4" ht="13">
      <c r="B926" s="180"/>
      <c r="C926" s="180"/>
      <c r="D926" s="180"/>
    </row>
    <row r="927" spans="2:4" ht="13">
      <c r="B927" s="180"/>
      <c r="C927" s="180"/>
      <c r="D927" s="180"/>
    </row>
    <row r="928" spans="2:4" ht="13">
      <c r="B928" s="180"/>
      <c r="C928" s="180"/>
      <c r="D928" s="180"/>
    </row>
    <row r="929" spans="2:4" ht="13">
      <c r="B929" s="180"/>
      <c r="C929" s="180"/>
      <c r="D929" s="180"/>
    </row>
    <row r="930" spans="2:4" ht="13">
      <c r="B930" s="180"/>
      <c r="C930" s="180"/>
      <c r="D930" s="180"/>
    </row>
    <row r="931" spans="2:4" ht="13">
      <c r="B931" s="180"/>
      <c r="C931" s="180"/>
      <c r="D931" s="180"/>
    </row>
    <row r="932" spans="2:4" ht="13">
      <c r="B932" s="180"/>
      <c r="C932" s="180"/>
      <c r="D932" s="180"/>
    </row>
    <row r="933" spans="2:4" ht="13">
      <c r="B933" s="180"/>
      <c r="C933" s="180"/>
      <c r="D933" s="180"/>
    </row>
    <row r="934" spans="2:4" ht="13">
      <c r="B934" s="180"/>
      <c r="C934" s="180"/>
      <c r="D934" s="180"/>
    </row>
    <row r="935" spans="2:4" ht="13">
      <c r="B935" s="180"/>
      <c r="C935" s="180"/>
      <c r="D935" s="180"/>
    </row>
    <row r="936" spans="2:4" ht="13">
      <c r="B936" s="180"/>
      <c r="C936" s="180"/>
      <c r="D936" s="180"/>
    </row>
    <row r="937" spans="2:4" ht="13">
      <c r="B937" s="180"/>
      <c r="C937" s="180"/>
      <c r="D937" s="180"/>
    </row>
    <row r="938" spans="2:4" ht="13">
      <c r="B938" s="180"/>
      <c r="C938" s="180"/>
      <c r="D938" s="180"/>
    </row>
    <row r="939" spans="2:4" ht="13">
      <c r="B939" s="180"/>
      <c r="C939" s="180"/>
      <c r="D939" s="180"/>
    </row>
    <row r="940" spans="2:4" ht="13">
      <c r="B940" s="180"/>
      <c r="C940" s="180"/>
      <c r="D940" s="180"/>
    </row>
    <row r="941" spans="2:4" ht="13">
      <c r="B941" s="180"/>
      <c r="C941" s="180"/>
      <c r="D941" s="180"/>
    </row>
    <row r="942" spans="2:4" ht="13">
      <c r="B942" s="180"/>
      <c r="C942" s="180"/>
      <c r="D942" s="180"/>
    </row>
    <row r="943" spans="2:4" ht="13">
      <c r="B943" s="180"/>
      <c r="C943" s="180"/>
      <c r="D943" s="180"/>
    </row>
    <row r="944" spans="2:4" ht="13">
      <c r="B944" s="180"/>
      <c r="C944" s="180"/>
      <c r="D944" s="180"/>
    </row>
    <row r="945" spans="2:4" ht="13">
      <c r="B945" s="180"/>
      <c r="C945" s="180"/>
      <c r="D945" s="180"/>
    </row>
    <row r="946" spans="2:4" ht="13">
      <c r="B946" s="180"/>
      <c r="C946" s="180"/>
      <c r="D946" s="180"/>
    </row>
    <row r="947" spans="2:4" ht="13">
      <c r="B947" s="180"/>
      <c r="C947" s="180"/>
      <c r="D947" s="180"/>
    </row>
    <row r="948" spans="2:4" ht="13">
      <c r="B948" s="180"/>
      <c r="C948" s="180"/>
      <c r="D948" s="180"/>
    </row>
    <row r="949" spans="2:4" ht="13">
      <c r="B949" s="180"/>
      <c r="C949" s="180"/>
      <c r="D949" s="180"/>
    </row>
    <row r="950" spans="2:4" ht="13">
      <c r="B950" s="180"/>
      <c r="C950" s="180"/>
      <c r="D950" s="180"/>
    </row>
    <row r="951" spans="2:4" ht="13">
      <c r="B951" s="180"/>
      <c r="C951" s="180"/>
      <c r="D951" s="180"/>
    </row>
    <row r="952" spans="2:4" ht="13">
      <c r="B952" s="180"/>
      <c r="C952" s="180"/>
      <c r="D952" s="180"/>
    </row>
    <row r="953" spans="2:4" ht="13">
      <c r="B953" s="180"/>
      <c r="C953" s="180"/>
      <c r="D953" s="180"/>
    </row>
    <row r="954" spans="2:4" ht="13">
      <c r="B954" s="180"/>
      <c r="C954" s="180"/>
      <c r="D954" s="180"/>
    </row>
    <row r="955" spans="2:4" ht="13">
      <c r="B955" s="180"/>
      <c r="C955" s="180"/>
      <c r="D955" s="180"/>
    </row>
    <row r="956" spans="2:4" ht="13">
      <c r="B956" s="180"/>
      <c r="C956" s="180"/>
      <c r="D956" s="180"/>
    </row>
    <row r="957" spans="2:4" ht="13">
      <c r="B957" s="180"/>
      <c r="C957" s="180"/>
      <c r="D957" s="180"/>
    </row>
    <row r="958" spans="2:4" ht="13">
      <c r="B958" s="180"/>
      <c r="C958" s="180"/>
      <c r="D958" s="180"/>
    </row>
    <row r="959" spans="2:4" ht="13">
      <c r="B959" s="180"/>
      <c r="C959" s="180"/>
      <c r="D959" s="180"/>
    </row>
    <row r="960" spans="2:4" ht="13">
      <c r="B960" s="180"/>
      <c r="C960" s="180"/>
      <c r="D960" s="180"/>
    </row>
    <row r="961" spans="2:4" ht="13">
      <c r="B961" s="180"/>
      <c r="C961" s="180"/>
      <c r="D961" s="180"/>
    </row>
    <row r="962" spans="2:4" ht="13">
      <c r="B962" s="180"/>
      <c r="C962" s="180"/>
      <c r="D962" s="180"/>
    </row>
    <row r="963" spans="2:4" ht="13">
      <c r="B963" s="180"/>
      <c r="C963" s="180"/>
      <c r="D963" s="180"/>
    </row>
    <row r="964" spans="2:4" ht="13">
      <c r="B964" s="180"/>
      <c r="C964" s="180"/>
      <c r="D964" s="180"/>
    </row>
    <row r="965" spans="2:4" ht="13">
      <c r="B965" s="180"/>
      <c r="C965" s="180"/>
      <c r="D965" s="180"/>
    </row>
    <row r="966" spans="2:4" ht="13">
      <c r="B966" s="180"/>
      <c r="C966" s="180"/>
      <c r="D966" s="180"/>
    </row>
    <row r="967" spans="2:4" ht="13">
      <c r="B967" s="180"/>
      <c r="C967" s="180"/>
      <c r="D967" s="180"/>
    </row>
    <row r="968" spans="2:4" ht="13">
      <c r="B968" s="180"/>
      <c r="C968" s="180"/>
      <c r="D968" s="180"/>
    </row>
    <row r="969" spans="2:4" ht="13">
      <c r="B969" s="180"/>
      <c r="C969" s="180"/>
      <c r="D969" s="180"/>
    </row>
    <row r="970" spans="2:4" ht="13">
      <c r="B970" s="180"/>
      <c r="C970" s="180"/>
      <c r="D970" s="180"/>
    </row>
    <row r="971" spans="2:4" ht="13">
      <c r="B971" s="180"/>
      <c r="C971" s="180"/>
      <c r="D971" s="180"/>
    </row>
    <row r="972" spans="2:4" ht="13">
      <c r="B972" s="180"/>
      <c r="C972" s="180"/>
      <c r="D972" s="180"/>
    </row>
    <row r="973" spans="2:4" ht="13">
      <c r="B973" s="180"/>
      <c r="C973" s="180"/>
      <c r="D973" s="180"/>
    </row>
    <row r="974" spans="2:4" ht="13">
      <c r="B974" s="180"/>
      <c r="C974" s="180"/>
      <c r="D974" s="180"/>
    </row>
    <row r="975" spans="2:4" ht="13">
      <c r="B975" s="180"/>
      <c r="C975" s="180"/>
      <c r="D975" s="180"/>
    </row>
    <row r="976" spans="2:4" ht="13">
      <c r="B976" s="180"/>
      <c r="C976" s="180"/>
      <c r="D976" s="180"/>
    </row>
    <row r="977" spans="2:4" ht="13">
      <c r="B977" s="180"/>
      <c r="C977" s="180"/>
      <c r="D977" s="180"/>
    </row>
    <row r="978" spans="2:4" ht="13">
      <c r="B978" s="180"/>
      <c r="C978" s="180"/>
      <c r="D978" s="180"/>
    </row>
    <row r="979" spans="2:4" ht="13">
      <c r="B979" s="180"/>
      <c r="C979" s="180"/>
      <c r="D979" s="180"/>
    </row>
    <row r="980" spans="2:4" ht="13">
      <c r="B980" s="180"/>
      <c r="C980" s="180"/>
      <c r="D980" s="180"/>
    </row>
    <row r="981" spans="2:4" ht="13">
      <c r="B981" s="180"/>
      <c r="C981" s="180"/>
      <c r="D981" s="180"/>
    </row>
    <row r="982" spans="2:4" ht="13">
      <c r="B982" s="180"/>
      <c r="C982" s="180"/>
      <c r="D982" s="180"/>
    </row>
    <row r="983" spans="2:4" ht="13">
      <c r="B983" s="180"/>
      <c r="C983" s="180"/>
      <c r="D983" s="180"/>
    </row>
    <row r="984" spans="2:4" ht="13">
      <c r="B984" s="180"/>
      <c r="C984" s="180"/>
      <c r="D984" s="180"/>
    </row>
    <row r="985" spans="2:4" ht="13">
      <c r="B985" s="180"/>
      <c r="C985" s="180"/>
      <c r="D985" s="180"/>
    </row>
    <row r="986" spans="2:4" ht="13">
      <c r="B986" s="180"/>
      <c r="C986" s="180"/>
      <c r="D986" s="180"/>
    </row>
    <row r="987" spans="2:4" ht="13">
      <c r="B987" s="180"/>
      <c r="C987" s="180"/>
      <c r="D987" s="180"/>
    </row>
    <row r="988" spans="2:4" ht="13">
      <c r="B988" s="180"/>
      <c r="C988" s="180"/>
      <c r="D988" s="180"/>
    </row>
    <row r="989" spans="2:4" ht="13">
      <c r="B989" s="180"/>
      <c r="C989" s="180"/>
      <c r="D989" s="180"/>
    </row>
    <row r="990" spans="2:4" ht="13">
      <c r="B990" s="180"/>
      <c r="C990" s="180"/>
      <c r="D990" s="180"/>
    </row>
    <row r="991" spans="2:4" ht="13">
      <c r="B991" s="180"/>
      <c r="C991" s="180"/>
      <c r="D991" s="180"/>
    </row>
    <row r="992" spans="2:4" ht="13">
      <c r="B992" s="180"/>
      <c r="C992" s="180"/>
      <c r="D992" s="180"/>
    </row>
    <row r="993" spans="2:4" ht="13">
      <c r="B993" s="180"/>
      <c r="C993" s="180"/>
      <c r="D993" s="180"/>
    </row>
    <row r="994" spans="2:4" ht="13">
      <c r="B994" s="180"/>
      <c r="C994" s="180"/>
      <c r="D994" s="180"/>
    </row>
    <row r="995" spans="2:4" ht="13">
      <c r="B995" s="180"/>
      <c r="C995" s="180"/>
      <c r="D995" s="180"/>
    </row>
    <row r="996" spans="2:4" ht="13">
      <c r="B996" s="180"/>
      <c r="C996" s="180"/>
      <c r="D996" s="180"/>
    </row>
    <row r="997" spans="2:4" ht="13">
      <c r="B997" s="180"/>
      <c r="C997" s="180"/>
      <c r="D997" s="180"/>
    </row>
    <row r="998" spans="2:4" ht="13">
      <c r="B998" s="180"/>
      <c r="C998" s="180"/>
      <c r="D998" s="180"/>
    </row>
    <row r="999" spans="2:4" ht="13">
      <c r="B999" s="180"/>
      <c r="C999" s="180"/>
      <c r="D999" s="180"/>
    </row>
    <row r="1000" spans="2:4" ht="13">
      <c r="B1000" s="180"/>
      <c r="C1000" s="180"/>
      <c r="D1000" s="180"/>
    </row>
    <row r="1001" spans="2:4" ht="13">
      <c r="B1001" s="180"/>
      <c r="C1001" s="180"/>
      <c r="D1001" s="18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P1000"/>
  <sheetViews>
    <sheetView workbookViewId="0"/>
  </sheetViews>
  <sheetFormatPr baseColWidth="10" defaultColWidth="12.6640625" defaultRowHeight="15.75" customHeight="1"/>
  <cols>
    <col min="1" max="1" width="26.1640625" customWidth="1"/>
    <col min="2" max="2" width="14.83203125" customWidth="1"/>
    <col min="13" max="13" width="22" customWidth="1"/>
  </cols>
  <sheetData>
    <row r="1" spans="1:16" ht="16">
      <c r="A1" s="140" t="s">
        <v>1508</v>
      </c>
      <c r="B1" s="169"/>
      <c r="C1" s="169"/>
      <c r="D1" s="170"/>
      <c r="E1" s="171"/>
      <c r="G1" s="172"/>
      <c r="H1" s="140" t="s">
        <v>1509</v>
      </c>
      <c r="I1" s="145"/>
      <c r="J1" s="145"/>
      <c r="K1" s="145"/>
      <c r="M1" s="140" t="s">
        <v>1525</v>
      </c>
      <c r="N1" s="145"/>
      <c r="O1" s="145"/>
      <c r="P1" s="145"/>
    </row>
    <row r="2" spans="1:16" ht="43">
      <c r="A2" s="141" t="s">
        <v>18</v>
      </c>
      <c r="B2" s="181" t="s">
        <v>1501</v>
      </c>
      <c r="C2" s="181" t="s">
        <v>1502</v>
      </c>
      <c r="D2" s="182" t="s">
        <v>1503</v>
      </c>
      <c r="E2" s="15" t="s">
        <v>23</v>
      </c>
      <c r="F2" s="45" t="s">
        <v>1526</v>
      </c>
      <c r="G2" s="172" t="s">
        <v>1527</v>
      </c>
      <c r="H2" s="141" t="s">
        <v>18</v>
      </c>
      <c r="I2" s="141" t="s">
        <v>1504</v>
      </c>
      <c r="J2" s="141" t="s">
        <v>1505</v>
      </c>
      <c r="K2" s="141" t="s">
        <v>1506</v>
      </c>
      <c r="M2" s="45" t="s">
        <v>16</v>
      </c>
      <c r="N2" s="45" t="s">
        <v>76</v>
      </c>
      <c r="O2" s="45" t="s">
        <v>1507</v>
      </c>
      <c r="P2" s="45" t="s">
        <v>79</v>
      </c>
    </row>
    <row r="3" spans="1:16" ht="15.75" customHeight="1">
      <c r="A3" s="45" t="s">
        <v>177</v>
      </c>
      <c r="B3" s="177"/>
      <c r="C3" s="177"/>
      <c r="D3" s="177"/>
      <c r="E3" s="178" t="s">
        <v>1511</v>
      </c>
      <c r="F3" s="45" t="s">
        <v>144</v>
      </c>
      <c r="G3" s="93"/>
      <c r="H3" s="93" t="s">
        <v>83</v>
      </c>
      <c r="I3" s="179">
        <v>2.361111111</v>
      </c>
      <c r="J3" s="179">
        <v>1.396501905</v>
      </c>
      <c r="K3" s="179">
        <v>0.74974799999999997</v>
      </c>
      <c r="M3" s="45" t="s">
        <v>80</v>
      </c>
    </row>
    <row r="4" spans="1:16" ht="15.75" customHeight="1">
      <c r="A4" s="45" t="s">
        <v>141</v>
      </c>
      <c r="B4" s="177"/>
      <c r="C4" s="177"/>
      <c r="D4" s="177"/>
      <c r="E4" s="178" t="s">
        <v>1513</v>
      </c>
      <c r="F4" s="45" t="s">
        <v>144</v>
      </c>
      <c r="G4" s="93"/>
      <c r="H4" s="93" t="s">
        <v>152</v>
      </c>
      <c r="I4" s="179">
        <v>2.407407407</v>
      </c>
      <c r="J4" s="179">
        <v>1.537857517</v>
      </c>
      <c r="K4" s="179">
        <v>0.8</v>
      </c>
      <c r="M4" s="45" t="s">
        <v>93</v>
      </c>
    </row>
    <row r="5" spans="1:16" ht="15.75" customHeight="1">
      <c r="A5" s="93" t="s">
        <v>355</v>
      </c>
      <c r="B5" s="177"/>
      <c r="C5" s="177"/>
      <c r="D5" s="177"/>
      <c r="E5" s="178" t="s">
        <v>1512</v>
      </c>
      <c r="F5" s="45" t="s">
        <v>144</v>
      </c>
      <c r="G5" s="93"/>
      <c r="H5" s="93" t="s">
        <v>110</v>
      </c>
      <c r="I5" s="179">
        <v>1.7777777779999999</v>
      </c>
      <c r="J5" s="179">
        <v>1.0816413659999999</v>
      </c>
      <c r="K5" s="179">
        <v>1.226</v>
      </c>
    </row>
    <row r="6" spans="1:16" ht="15.75" customHeight="1">
      <c r="A6" s="45" t="s">
        <v>277</v>
      </c>
      <c r="B6" s="177"/>
      <c r="C6" s="177"/>
      <c r="D6" s="177"/>
      <c r="E6" s="178" t="s">
        <v>1512</v>
      </c>
      <c r="F6" s="45" t="s">
        <v>144</v>
      </c>
      <c r="G6" s="93"/>
      <c r="H6" s="93" t="s">
        <v>177</v>
      </c>
      <c r="I6" s="179">
        <v>2.4166666669999999</v>
      </c>
      <c r="J6" s="179">
        <v>1.690702937</v>
      </c>
      <c r="K6" s="179">
        <v>0.93400000000000005</v>
      </c>
      <c r="M6" s="45" t="s">
        <v>116</v>
      </c>
    </row>
    <row r="7" spans="1:16" ht="15.75" customHeight="1">
      <c r="A7" s="45" t="s">
        <v>170</v>
      </c>
      <c r="B7" s="177"/>
      <c r="C7" s="177"/>
      <c r="D7" s="177"/>
      <c r="E7" s="178" t="s">
        <v>1514</v>
      </c>
      <c r="F7" s="45" t="s">
        <v>144</v>
      </c>
      <c r="G7" s="93"/>
      <c r="H7" s="93" t="s">
        <v>141</v>
      </c>
      <c r="I7" s="179">
        <v>1.7777777779999999</v>
      </c>
      <c r="J7" s="179">
        <v>2.0800838229999998</v>
      </c>
      <c r="K7" s="179">
        <v>1.631</v>
      </c>
      <c r="M7" s="45" t="s">
        <v>119</v>
      </c>
    </row>
    <row r="8" spans="1:16" ht="15.75" customHeight="1">
      <c r="A8" s="45" t="s">
        <v>132</v>
      </c>
      <c r="B8" s="177"/>
      <c r="C8" s="177"/>
      <c r="D8" s="177"/>
      <c r="E8" s="178" t="s">
        <v>1515</v>
      </c>
      <c r="G8" s="93"/>
      <c r="H8" s="93" t="s">
        <v>160</v>
      </c>
      <c r="I8" s="179">
        <v>2.3333333330000001</v>
      </c>
      <c r="J8" s="179">
        <v>1.4305459519999999</v>
      </c>
      <c r="K8" s="179">
        <v>0.79700000000000004</v>
      </c>
      <c r="M8" s="45" t="s">
        <v>100</v>
      </c>
    </row>
    <row r="9" spans="1:16" ht="15.75" customHeight="1">
      <c r="A9" s="45" t="s">
        <v>1240</v>
      </c>
      <c r="B9" s="177"/>
      <c r="C9" s="177"/>
      <c r="D9" s="177"/>
      <c r="E9" s="178" t="s">
        <v>1516</v>
      </c>
      <c r="G9" s="93"/>
      <c r="M9" s="45" t="s">
        <v>123</v>
      </c>
    </row>
    <row r="10" spans="1:16" ht="15.75" customHeight="1">
      <c r="A10" s="45" t="s">
        <v>286</v>
      </c>
      <c r="B10" s="177"/>
      <c r="C10" s="177"/>
      <c r="D10" s="177"/>
      <c r="E10" s="178" t="s">
        <v>1517</v>
      </c>
      <c r="F10" s="45" t="s">
        <v>144</v>
      </c>
      <c r="H10" s="140" t="s">
        <v>1528</v>
      </c>
      <c r="I10" s="145"/>
      <c r="J10" s="145"/>
      <c r="K10" s="145"/>
      <c r="M10" s="45" t="s">
        <v>321</v>
      </c>
    </row>
    <row r="11" spans="1:16" ht="15.75" customHeight="1">
      <c r="A11" s="45" t="s">
        <v>372</v>
      </c>
      <c r="B11" s="177"/>
      <c r="C11" s="177"/>
      <c r="D11" s="177"/>
      <c r="E11" s="178" t="s">
        <v>1518</v>
      </c>
      <c r="F11" s="45" t="s">
        <v>144</v>
      </c>
      <c r="H11" s="141" t="s">
        <v>18</v>
      </c>
      <c r="I11" s="141" t="s">
        <v>1504</v>
      </c>
      <c r="J11" s="141" t="s">
        <v>1505</v>
      </c>
      <c r="K11" s="141" t="s">
        <v>1506</v>
      </c>
      <c r="M11" s="45" t="s">
        <v>614</v>
      </c>
    </row>
    <row r="12" spans="1:16" ht="15.75" customHeight="1">
      <c r="A12" s="45" t="s">
        <v>787</v>
      </c>
      <c r="B12" s="177"/>
      <c r="C12" s="177"/>
      <c r="D12" s="177"/>
      <c r="E12" s="178" t="s">
        <v>1519</v>
      </c>
      <c r="H12" s="93" t="s">
        <v>83</v>
      </c>
      <c r="I12" s="177">
        <v>2.0483333333333333</v>
      </c>
      <c r="J12" s="177">
        <v>1.8893678579281574</v>
      </c>
      <c r="K12" s="177">
        <v>1.3173779432311126</v>
      </c>
      <c r="M12" s="45" t="s">
        <v>149</v>
      </c>
    </row>
    <row r="13" spans="1:16" ht="15.75" customHeight="1">
      <c r="A13" s="45" t="s">
        <v>841</v>
      </c>
      <c r="B13" s="177"/>
      <c r="C13" s="177"/>
      <c r="D13" s="177"/>
      <c r="E13" s="178" t="s">
        <v>1516</v>
      </c>
      <c r="H13" s="93" t="s">
        <v>152</v>
      </c>
      <c r="I13" s="177">
        <v>1.8833333333333333</v>
      </c>
      <c r="J13" s="177">
        <v>1.7919721939442264</v>
      </c>
      <c r="K13" s="177">
        <v>1.3774231975465139</v>
      </c>
      <c r="M13" s="45" t="s">
        <v>138</v>
      </c>
    </row>
    <row r="14" spans="1:16" ht="15.75" customHeight="1">
      <c r="A14" s="45" t="s">
        <v>794</v>
      </c>
      <c r="B14" s="177"/>
      <c r="C14" s="177"/>
      <c r="D14" s="177"/>
      <c r="E14" s="178" t="s">
        <v>1516</v>
      </c>
      <c r="H14" s="93" t="s">
        <v>110</v>
      </c>
      <c r="I14" s="177">
        <v>1.8714285714285714</v>
      </c>
      <c r="J14" s="177">
        <v>1.5848327071354629</v>
      </c>
      <c r="K14" s="177">
        <v>1.2759556391892324</v>
      </c>
      <c r="M14" s="45" t="s">
        <v>628</v>
      </c>
    </row>
    <row r="15" spans="1:16" ht="15.75" customHeight="1">
      <c r="A15" s="45" t="s">
        <v>184</v>
      </c>
      <c r="B15" s="177"/>
      <c r="C15" s="177"/>
      <c r="D15" s="177"/>
      <c r="E15" s="178" t="s">
        <v>1520</v>
      </c>
      <c r="F15" s="45" t="s">
        <v>144</v>
      </c>
      <c r="H15" s="93" t="s">
        <v>177</v>
      </c>
      <c r="I15" s="177">
        <v>1.9533333333333331</v>
      </c>
      <c r="J15" s="177">
        <v>1.9809659174018721</v>
      </c>
      <c r="K15" s="177">
        <v>1.4568282077372849</v>
      </c>
      <c r="M15" s="45" t="s">
        <v>129</v>
      </c>
    </row>
    <row r="16" spans="1:16" ht="15.75" customHeight="1">
      <c r="A16" s="45" t="s">
        <v>637</v>
      </c>
      <c r="B16" s="177"/>
      <c r="C16" s="177"/>
      <c r="D16" s="177"/>
      <c r="E16" s="178" t="s">
        <v>1519</v>
      </c>
      <c r="H16" s="93" t="s">
        <v>141</v>
      </c>
      <c r="I16" s="177">
        <v>1.4833333333333334</v>
      </c>
      <c r="J16" s="177">
        <v>2.0142867002662777</v>
      </c>
      <c r="K16" s="177">
        <v>1.8389562902836438</v>
      </c>
      <c r="M16" s="45" t="s">
        <v>174</v>
      </c>
    </row>
    <row r="17" spans="1:13" ht="15.75" customHeight="1">
      <c r="A17" s="45" t="s">
        <v>327</v>
      </c>
      <c r="B17" s="177"/>
      <c r="C17" s="177"/>
      <c r="D17" s="177"/>
      <c r="E17" s="178" t="s">
        <v>1516</v>
      </c>
      <c r="H17" s="93" t="s">
        <v>160</v>
      </c>
      <c r="I17" s="177">
        <v>2.0545454545454551</v>
      </c>
      <c r="J17" s="177">
        <v>2.0003148407928362</v>
      </c>
      <c r="K17" s="177">
        <v>1.3908440823314243</v>
      </c>
      <c r="M17" s="45" t="s">
        <v>157</v>
      </c>
    </row>
    <row r="18" spans="1:13" ht="15.75" customHeight="1">
      <c r="A18" s="45" t="s">
        <v>1249</v>
      </c>
      <c r="B18" s="177"/>
      <c r="C18" s="177"/>
      <c r="D18" s="177"/>
      <c r="E18" s="178" t="s">
        <v>1516</v>
      </c>
      <c r="M18" s="45" t="s">
        <v>188</v>
      </c>
    </row>
    <row r="19" spans="1:13" ht="15.75" customHeight="1">
      <c r="A19" s="93" t="s">
        <v>152</v>
      </c>
      <c r="B19" s="177"/>
      <c r="C19" s="177"/>
      <c r="D19" s="177"/>
      <c r="E19" s="178" t="s">
        <v>1521</v>
      </c>
      <c r="F19" s="45" t="s">
        <v>144</v>
      </c>
      <c r="H19" s="140" t="s">
        <v>1508</v>
      </c>
      <c r="I19" s="145"/>
      <c r="J19" s="145"/>
      <c r="K19" s="145"/>
      <c r="M19" s="45" t="s">
        <v>634</v>
      </c>
    </row>
    <row r="20" spans="1:13" ht="15.75" customHeight="1">
      <c r="A20" s="45" t="s">
        <v>1256</v>
      </c>
      <c r="B20" s="177"/>
      <c r="C20" s="177"/>
      <c r="D20" s="177"/>
      <c r="E20" s="178" t="s">
        <v>1516</v>
      </c>
      <c r="H20" s="141" t="s">
        <v>18</v>
      </c>
      <c r="I20" s="141" t="s">
        <v>1504</v>
      </c>
      <c r="J20" s="141" t="s">
        <v>1505</v>
      </c>
      <c r="K20" s="141" t="s">
        <v>1506</v>
      </c>
      <c r="M20" s="45" t="s">
        <v>259</v>
      </c>
    </row>
    <row r="21" spans="1:13" ht="15.75" customHeight="1">
      <c r="A21" s="45" t="s">
        <v>110</v>
      </c>
      <c r="B21" s="177"/>
      <c r="C21" s="177"/>
      <c r="D21" s="177"/>
      <c r="E21" s="178" t="s">
        <v>1512</v>
      </c>
      <c r="F21" s="45" t="s">
        <v>144</v>
      </c>
      <c r="H21" s="93" t="s">
        <v>83</v>
      </c>
      <c r="I21" s="177">
        <v>2.0222222222222226</v>
      </c>
      <c r="J21" s="177">
        <v>1.9875034360418704</v>
      </c>
      <c r="K21" s="177">
        <v>1.4003405552986579</v>
      </c>
      <c r="M21" s="45" t="s">
        <v>1394</v>
      </c>
    </row>
    <row r="22" spans="1:13" ht="15.75" customHeight="1">
      <c r="A22" s="93" t="s">
        <v>847</v>
      </c>
      <c r="B22" s="177"/>
      <c r="C22" s="177"/>
      <c r="D22" s="177"/>
      <c r="E22" s="178" t="s">
        <v>1524</v>
      </c>
      <c r="H22" s="93" t="s">
        <v>152</v>
      </c>
      <c r="I22" s="177">
        <v>1.8549382716049376</v>
      </c>
      <c r="J22" s="177">
        <v>1.875591506913675</v>
      </c>
      <c r="K22" s="177">
        <v>1.4492551203471296</v>
      </c>
      <c r="M22" s="45" t="s">
        <v>303</v>
      </c>
    </row>
    <row r="23" spans="1:13" ht="15.75" customHeight="1">
      <c r="A23" s="45" t="s">
        <v>1231</v>
      </c>
      <c r="B23" s="177"/>
      <c r="C23" s="177"/>
      <c r="D23" s="177"/>
      <c r="E23" s="178" t="s">
        <v>1516</v>
      </c>
      <c r="H23" s="93" t="s">
        <v>110</v>
      </c>
      <c r="I23" s="177">
        <v>1.8095238095238098</v>
      </c>
      <c r="J23" s="177">
        <v>1.7008044063828529</v>
      </c>
      <c r="K23" s="177">
        <v>1.3863759230938808</v>
      </c>
      <c r="M23" s="45" t="s">
        <v>420</v>
      </c>
    </row>
    <row r="24" spans="1:13" ht="15.75" customHeight="1">
      <c r="A24" s="45" t="s">
        <v>1141</v>
      </c>
      <c r="B24" s="177"/>
      <c r="C24" s="177"/>
      <c r="D24" s="177"/>
      <c r="E24" s="178" t="s">
        <v>1519</v>
      </c>
      <c r="H24" s="93" t="s">
        <v>177</v>
      </c>
      <c r="I24" s="177">
        <v>2.0074074074074075</v>
      </c>
      <c r="J24" s="177">
        <v>2.0719290548681695</v>
      </c>
      <c r="K24" s="177">
        <v>1.4765886524034639</v>
      </c>
      <c r="M24" s="45" t="s">
        <v>1396</v>
      </c>
    </row>
    <row r="25" spans="1:13" ht="15.75" customHeight="1">
      <c r="A25" s="45" t="s">
        <v>310</v>
      </c>
      <c r="B25" s="177"/>
      <c r="C25" s="177"/>
      <c r="D25" s="177"/>
      <c r="E25" s="178" t="s">
        <v>1519</v>
      </c>
      <c r="H25" s="93" t="s">
        <v>141</v>
      </c>
      <c r="I25" s="177">
        <v>1.3518518518518519</v>
      </c>
      <c r="J25" s="177">
        <v>2.0861906979855891</v>
      </c>
      <c r="K25" s="177">
        <v>1.9835842400745285</v>
      </c>
      <c r="M25" s="45" t="s">
        <v>447</v>
      </c>
    </row>
    <row r="26" spans="1:13" ht="15.75" customHeight="1">
      <c r="A26" s="45" t="s">
        <v>707</v>
      </c>
      <c r="B26" s="177"/>
      <c r="C26" s="177"/>
      <c r="D26" s="177"/>
      <c r="E26" s="178" t="s">
        <v>1516</v>
      </c>
      <c r="H26" s="93" t="s">
        <v>160</v>
      </c>
      <c r="I26" s="177">
        <v>2.0555555555555562</v>
      </c>
      <c r="J26" s="177">
        <v>2.0901366406542365</v>
      </c>
      <c r="K26" s="177">
        <v>1.4535725837182825</v>
      </c>
      <c r="M26" s="45" t="s">
        <v>800</v>
      </c>
    </row>
    <row r="27" spans="1:13" ht="15.75" customHeight="1">
      <c r="A27" s="45" t="s">
        <v>739</v>
      </c>
      <c r="B27" s="177"/>
      <c r="C27" s="177"/>
      <c r="D27" s="177"/>
      <c r="E27" s="178" t="s">
        <v>1519</v>
      </c>
      <c r="M27" s="45" t="s">
        <v>937</v>
      </c>
    </row>
    <row r="28" spans="1:13" ht="15.75" customHeight="1">
      <c r="A28" s="45" t="s">
        <v>245</v>
      </c>
      <c r="B28" s="177"/>
      <c r="C28" s="177"/>
      <c r="D28" s="177"/>
      <c r="E28" s="178" t="s">
        <v>1516</v>
      </c>
      <c r="M28" s="45" t="s">
        <v>1273</v>
      </c>
    </row>
    <row r="29" spans="1:13" ht="15.75" customHeight="1">
      <c r="A29" s="45" t="s">
        <v>1152</v>
      </c>
      <c r="B29" s="177"/>
      <c r="C29" s="177"/>
      <c r="D29" s="177"/>
      <c r="E29" s="178" t="s">
        <v>1516</v>
      </c>
      <c r="M29" s="45" t="s">
        <v>1291</v>
      </c>
    </row>
    <row r="30" spans="1:13" ht="15.75" customHeight="1">
      <c r="A30" s="45" t="s">
        <v>160</v>
      </c>
      <c r="B30" s="177"/>
      <c r="C30" s="177"/>
      <c r="D30" s="177"/>
      <c r="E30" s="178" t="s">
        <v>1520</v>
      </c>
      <c r="F30" s="45" t="s">
        <v>144</v>
      </c>
      <c r="M30" s="45" t="s">
        <v>1313</v>
      </c>
    </row>
    <row r="31" spans="1:13" ht="15.75" customHeight="1">
      <c r="A31" s="45" t="s">
        <v>83</v>
      </c>
      <c r="B31" s="177"/>
      <c r="C31" s="177"/>
      <c r="D31" s="177"/>
      <c r="E31" s="178" t="s">
        <v>1523</v>
      </c>
      <c r="F31" s="45" t="s">
        <v>144</v>
      </c>
    </row>
    <row r="32" spans="1:13" ht="15.75" customHeight="1">
      <c r="A32" s="45" t="s">
        <v>224</v>
      </c>
      <c r="B32" s="177"/>
      <c r="C32" s="177"/>
      <c r="D32" s="177"/>
      <c r="E32" s="178" t="s">
        <v>1524</v>
      </c>
      <c r="H32" s="93"/>
    </row>
    <row r="33" spans="1:6" ht="15.75" customHeight="1">
      <c r="A33" s="45" t="s">
        <v>318</v>
      </c>
      <c r="B33" s="177"/>
      <c r="C33" s="177"/>
      <c r="D33" s="177"/>
      <c r="E33" s="178" t="s">
        <v>1512</v>
      </c>
      <c r="F33" s="45" t="s">
        <v>144</v>
      </c>
    </row>
    <row r="34" spans="1:6" ht="15.75" customHeight="1">
      <c r="A34" s="93" t="s">
        <v>819</v>
      </c>
      <c r="B34" s="177"/>
      <c r="C34" s="177"/>
      <c r="D34" s="177"/>
      <c r="E34" s="178" t="s">
        <v>1524</v>
      </c>
    </row>
    <row r="35" spans="1:6" ht="15.75" customHeight="1">
      <c r="A35" s="45" t="s">
        <v>257</v>
      </c>
      <c r="B35" s="177"/>
      <c r="C35" s="177"/>
      <c r="D35" s="177"/>
      <c r="E35" s="178" t="s">
        <v>1519</v>
      </c>
    </row>
    <row r="36" spans="1:6" ht="15.75" customHeight="1">
      <c r="A36" s="45" t="s">
        <v>859</v>
      </c>
      <c r="B36" s="177"/>
      <c r="C36" s="177"/>
      <c r="D36" s="177"/>
      <c r="E36" s="178" t="s">
        <v>1519</v>
      </c>
    </row>
    <row r="37" spans="1:6" ht="15.75" customHeight="1">
      <c r="A37" s="45" t="s">
        <v>336</v>
      </c>
      <c r="B37" s="177"/>
      <c r="C37" s="177"/>
      <c r="D37" s="177"/>
      <c r="E37" s="178" t="s">
        <v>1524</v>
      </c>
    </row>
    <row r="38" spans="1:6" ht="15.75" customHeight="1">
      <c r="A38" s="45" t="s">
        <v>970</v>
      </c>
      <c r="B38" s="177"/>
      <c r="C38" s="177"/>
      <c r="D38" s="177"/>
      <c r="E38" s="178" t="s">
        <v>1516</v>
      </c>
    </row>
    <row r="39" spans="1:6" ht="15.75" customHeight="1">
      <c r="B39" s="180"/>
      <c r="C39" s="180"/>
      <c r="D39" s="180"/>
    </row>
    <row r="40" spans="1:6" ht="15.75" customHeight="1">
      <c r="B40" s="180"/>
      <c r="C40" s="180"/>
      <c r="D40" s="180"/>
    </row>
    <row r="41" spans="1:6" ht="15.75" customHeight="1">
      <c r="B41" s="180"/>
      <c r="C41" s="180"/>
      <c r="D41" s="180"/>
    </row>
    <row r="42" spans="1:6" ht="15.75" customHeight="1">
      <c r="B42" s="180"/>
      <c r="C42" s="180"/>
      <c r="D42" s="180"/>
    </row>
    <row r="43" spans="1:6" ht="15.75" customHeight="1">
      <c r="B43" s="180"/>
      <c r="C43" s="180"/>
      <c r="D43" s="180"/>
    </row>
    <row r="44" spans="1:6" ht="15.75" customHeight="1">
      <c r="B44" s="180"/>
      <c r="C44" s="180"/>
      <c r="D44" s="180"/>
    </row>
    <row r="45" spans="1:6" ht="15.75" customHeight="1">
      <c r="B45" s="180"/>
      <c r="C45" s="180"/>
      <c r="D45" s="180"/>
    </row>
    <row r="46" spans="1:6" ht="15.75" customHeight="1">
      <c r="B46" s="180"/>
      <c r="C46" s="180"/>
      <c r="D46" s="180"/>
    </row>
    <row r="47" spans="1:6" ht="13">
      <c r="B47" s="180"/>
      <c r="C47" s="180"/>
      <c r="D47" s="180"/>
    </row>
    <row r="48" spans="1:6" ht="13">
      <c r="B48" s="180"/>
      <c r="C48" s="180"/>
      <c r="D48" s="180"/>
    </row>
    <row r="49" spans="2:4" ht="13">
      <c r="B49" s="180"/>
      <c r="C49" s="180"/>
      <c r="D49" s="180"/>
    </row>
    <row r="50" spans="2:4" ht="13">
      <c r="B50" s="180"/>
      <c r="C50" s="180"/>
      <c r="D50" s="180"/>
    </row>
    <row r="51" spans="2:4" ht="13">
      <c r="B51" s="180"/>
      <c r="C51" s="180"/>
      <c r="D51" s="180"/>
    </row>
    <row r="52" spans="2:4" ht="13">
      <c r="B52" s="180"/>
      <c r="C52" s="180"/>
      <c r="D52" s="180"/>
    </row>
    <row r="53" spans="2:4" ht="13">
      <c r="B53" s="180"/>
      <c r="C53" s="180"/>
      <c r="D53" s="180"/>
    </row>
    <row r="54" spans="2:4" ht="13">
      <c r="B54" s="180"/>
      <c r="C54" s="180"/>
      <c r="D54" s="180"/>
    </row>
    <row r="55" spans="2:4" ht="13">
      <c r="B55" s="180"/>
      <c r="C55" s="180"/>
      <c r="D55" s="180"/>
    </row>
    <row r="56" spans="2:4" ht="13">
      <c r="B56" s="180"/>
      <c r="C56" s="180"/>
      <c r="D56" s="180"/>
    </row>
    <row r="57" spans="2:4" ht="13">
      <c r="B57" s="180"/>
      <c r="C57" s="180"/>
      <c r="D57" s="180"/>
    </row>
    <row r="58" spans="2:4" ht="13">
      <c r="B58" s="180"/>
      <c r="C58" s="180"/>
      <c r="D58" s="180"/>
    </row>
    <row r="59" spans="2:4" ht="13">
      <c r="B59" s="180"/>
      <c r="C59" s="180"/>
      <c r="D59" s="180"/>
    </row>
    <row r="60" spans="2:4" ht="13">
      <c r="B60" s="180"/>
      <c r="C60" s="180"/>
      <c r="D60" s="180"/>
    </row>
    <row r="61" spans="2:4" ht="13">
      <c r="B61" s="180"/>
      <c r="C61" s="180"/>
      <c r="D61" s="180"/>
    </row>
    <row r="62" spans="2:4" ht="13">
      <c r="B62" s="180"/>
      <c r="C62" s="180"/>
      <c r="D62" s="180"/>
    </row>
    <row r="63" spans="2:4" ht="13">
      <c r="B63" s="180"/>
      <c r="C63" s="180"/>
      <c r="D63" s="180"/>
    </row>
    <row r="64" spans="2:4" ht="13">
      <c r="B64" s="180"/>
      <c r="C64" s="180"/>
      <c r="D64" s="180"/>
    </row>
    <row r="65" spans="2:4" ht="13">
      <c r="B65" s="180"/>
      <c r="C65" s="180"/>
      <c r="D65" s="180"/>
    </row>
    <row r="66" spans="2:4" ht="13">
      <c r="B66" s="180"/>
      <c r="C66" s="180"/>
      <c r="D66" s="180"/>
    </row>
    <row r="67" spans="2:4" ht="13">
      <c r="B67" s="180"/>
      <c r="C67" s="180"/>
      <c r="D67" s="180"/>
    </row>
    <row r="68" spans="2:4" ht="13">
      <c r="B68" s="180"/>
      <c r="C68" s="180"/>
      <c r="D68" s="180"/>
    </row>
    <row r="69" spans="2:4" ht="13">
      <c r="B69" s="180"/>
      <c r="C69" s="180"/>
      <c r="D69" s="180"/>
    </row>
    <row r="70" spans="2:4" ht="13">
      <c r="B70" s="180"/>
      <c r="C70" s="180"/>
      <c r="D70" s="180"/>
    </row>
    <row r="71" spans="2:4" ht="13">
      <c r="B71" s="180"/>
      <c r="C71" s="180"/>
      <c r="D71" s="180"/>
    </row>
    <row r="72" spans="2:4" ht="13">
      <c r="B72" s="180"/>
      <c r="C72" s="180"/>
      <c r="D72" s="180"/>
    </row>
    <row r="73" spans="2:4" ht="13">
      <c r="B73" s="180"/>
      <c r="C73" s="180"/>
      <c r="D73" s="180"/>
    </row>
    <row r="74" spans="2:4" ht="13">
      <c r="B74" s="180"/>
      <c r="C74" s="180"/>
      <c r="D74" s="180"/>
    </row>
    <row r="75" spans="2:4" ht="13">
      <c r="B75" s="180"/>
      <c r="C75" s="180"/>
      <c r="D75" s="180"/>
    </row>
    <row r="76" spans="2:4" ht="13">
      <c r="B76" s="180"/>
      <c r="C76" s="180"/>
      <c r="D76" s="180"/>
    </row>
    <row r="77" spans="2:4" ht="13">
      <c r="B77" s="180"/>
      <c r="C77" s="180"/>
      <c r="D77" s="180"/>
    </row>
    <row r="78" spans="2:4" ht="13">
      <c r="B78" s="180"/>
      <c r="C78" s="180"/>
      <c r="D78" s="180"/>
    </row>
    <row r="79" spans="2:4" ht="13">
      <c r="B79" s="180"/>
      <c r="C79" s="180"/>
      <c r="D79" s="180"/>
    </row>
    <row r="80" spans="2:4" ht="13">
      <c r="B80" s="180"/>
      <c r="C80" s="180"/>
      <c r="D80" s="180"/>
    </row>
    <row r="81" spans="2:4" ht="13">
      <c r="B81" s="180"/>
      <c r="C81" s="180"/>
      <c r="D81" s="180"/>
    </row>
    <row r="82" spans="2:4" ht="13">
      <c r="B82" s="180"/>
      <c r="C82" s="180"/>
      <c r="D82" s="180"/>
    </row>
    <row r="83" spans="2:4" ht="13">
      <c r="B83" s="180"/>
      <c r="C83" s="180"/>
      <c r="D83" s="180"/>
    </row>
    <row r="84" spans="2:4" ht="13">
      <c r="B84" s="180"/>
      <c r="C84" s="180"/>
      <c r="D84" s="180"/>
    </row>
    <row r="85" spans="2:4" ht="13">
      <c r="B85" s="180"/>
      <c r="C85" s="180"/>
      <c r="D85" s="180"/>
    </row>
    <row r="86" spans="2:4" ht="13">
      <c r="B86" s="180"/>
      <c r="C86" s="180"/>
      <c r="D86" s="180"/>
    </row>
    <row r="87" spans="2:4" ht="13">
      <c r="B87" s="180"/>
      <c r="C87" s="180"/>
      <c r="D87" s="180"/>
    </row>
    <row r="88" spans="2:4" ht="13">
      <c r="B88" s="180"/>
      <c r="C88" s="180"/>
      <c r="D88" s="180"/>
    </row>
    <row r="89" spans="2:4" ht="13">
      <c r="B89" s="180"/>
      <c r="C89" s="180"/>
      <c r="D89" s="180"/>
    </row>
    <row r="90" spans="2:4" ht="13">
      <c r="B90" s="180"/>
      <c r="C90" s="180"/>
      <c r="D90" s="180"/>
    </row>
    <row r="91" spans="2:4" ht="13">
      <c r="B91" s="180"/>
      <c r="C91" s="180"/>
      <c r="D91" s="180"/>
    </row>
    <row r="92" spans="2:4" ht="13">
      <c r="B92" s="180"/>
      <c r="C92" s="180"/>
      <c r="D92" s="180"/>
    </row>
    <row r="93" spans="2:4" ht="13">
      <c r="B93" s="180"/>
      <c r="C93" s="180"/>
      <c r="D93" s="180"/>
    </row>
    <row r="94" spans="2:4" ht="13">
      <c r="B94" s="180"/>
      <c r="C94" s="180"/>
      <c r="D94" s="180"/>
    </row>
    <row r="95" spans="2:4" ht="13">
      <c r="B95" s="180"/>
      <c r="C95" s="180"/>
      <c r="D95" s="180"/>
    </row>
    <row r="96" spans="2:4" ht="13">
      <c r="B96" s="180"/>
      <c r="C96" s="180"/>
      <c r="D96" s="180"/>
    </row>
    <row r="97" spans="2:4" ht="13">
      <c r="B97" s="180"/>
      <c r="C97" s="180"/>
      <c r="D97" s="180"/>
    </row>
    <row r="98" spans="2:4" ht="13">
      <c r="B98" s="180"/>
      <c r="C98" s="180"/>
      <c r="D98" s="180"/>
    </row>
    <row r="99" spans="2:4" ht="13">
      <c r="B99" s="180"/>
      <c r="C99" s="180"/>
      <c r="D99" s="180"/>
    </row>
    <row r="100" spans="2:4" ht="13">
      <c r="B100" s="180"/>
      <c r="C100" s="180"/>
      <c r="D100" s="180"/>
    </row>
    <row r="101" spans="2:4" ht="13">
      <c r="B101" s="180"/>
      <c r="C101" s="180"/>
      <c r="D101" s="180"/>
    </row>
    <row r="102" spans="2:4" ht="13">
      <c r="B102" s="180"/>
      <c r="C102" s="180"/>
      <c r="D102" s="180"/>
    </row>
    <row r="103" spans="2:4" ht="13">
      <c r="B103" s="180"/>
      <c r="C103" s="180"/>
      <c r="D103" s="180"/>
    </row>
    <row r="104" spans="2:4" ht="13">
      <c r="B104" s="180"/>
      <c r="C104" s="180"/>
      <c r="D104" s="180"/>
    </row>
    <row r="105" spans="2:4" ht="13">
      <c r="B105" s="180"/>
      <c r="C105" s="180"/>
      <c r="D105" s="180"/>
    </row>
    <row r="106" spans="2:4" ht="13">
      <c r="B106" s="180"/>
      <c r="C106" s="180"/>
      <c r="D106" s="180"/>
    </row>
    <row r="107" spans="2:4" ht="13">
      <c r="B107" s="180"/>
      <c r="C107" s="180"/>
      <c r="D107" s="180"/>
    </row>
    <row r="108" spans="2:4" ht="13">
      <c r="B108" s="180"/>
      <c r="C108" s="180"/>
      <c r="D108" s="180"/>
    </row>
    <row r="109" spans="2:4" ht="13">
      <c r="B109" s="180"/>
      <c r="C109" s="180"/>
      <c r="D109" s="180"/>
    </row>
    <row r="110" spans="2:4" ht="13">
      <c r="B110" s="180"/>
      <c r="C110" s="180"/>
      <c r="D110" s="180"/>
    </row>
    <row r="111" spans="2:4" ht="13">
      <c r="B111" s="180"/>
      <c r="C111" s="180"/>
      <c r="D111" s="180"/>
    </row>
    <row r="112" spans="2:4" ht="13">
      <c r="B112" s="180"/>
      <c r="C112" s="180"/>
      <c r="D112" s="180"/>
    </row>
    <row r="113" spans="2:4" ht="13">
      <c r="B113" s="180"/>
      <c r="C113" s="180"/>
      <c r="D113" s="180"/>
    </row>
    <row r="114" spans="2:4" ht="13">
      <c r="B114" s="180"/>
      <c r="C114" s="180"/>
      <c r="D114" s="180"/>
    </row>
    <row r="115" spans="2:4" ht="13">
      <c r="B115" s="180"/>
      <c r="C115" s="180"/>
      <c r="D115" s="180"/>
    </row>
    <row r="116" spans="2:4" ht="13">
      <c r="B116" s="180"/>
      <c r="C116" s="180"/>
      <c r="D116" s="180"/>
    </row>
    <row r="117" spans="2:4" ht="13">
      <c r="B117" s="180"/>
      <c r="C117" s="180"/>
      <c r="D117" s="180"/>
    </row>
    <row r="118" spans="2:4" ht="13">
      <c r="B118" s="180"/>
      <c r="C118" s="180"/>
      <c r="D118" s="180"/>
    </row>
    <row r="119" spans="2:4" ht="13">
      <c r="B119" s="180"/>
      <c r="C119" s="180"/>
      <c r="D119" s="180"/>
    </row>
    <row r="120" spans="2:4" ht="13">
      <c r="B120" s="180"/>
      <c r="C120" s="180"/>
      <c r="D120" s="180"/>
    </row>
    <row r="121" spans="2:4" ht="13">
      <c r="B121" s="180"/>
      <c r="C121" s="180"/>
      <c r="D121" s="180"/>
    </row>
    <row r="122" spans="2:4" ht="13">
      <c r="B122" s="180"/>
      <c r="C122" s="180"/>
      <c r="D122" s="180"/>
    </row>
    <row r="123" spans="2:4" ht="13">
      <c r="B123" s="180"/>
      <c r="C123" s="180"/>
      <c r="D123" s="180"/>
    </row>
    <row r="124" spans="2:4" ht="13">
      <c r="B124" s="180"/>
      <c r="C124" s="180"/>
      <c r="D124" s="180"/>
    </row>
    <row r="125" spans="2:4" ht="13">
      <c r="B125" s="180"/>
      <c r="C125" s="180"/>
      <c r="D125" s="180"/>
    </row>
    <row r="126" spans="2:4" ht="13">
      <c r="B126" s="180"/>
      <c r="C126" s="180"/>
      <c r="D126" s="180"/>
    </row>
    <row r="127" spans="2:4" ht="13">
      <c r="B127" s="180"/>
      <c r="C127" s="180"/>
      <c r="D127" s="180"/>
    </row>
    <row r="128" spans="2:4" ht="13">
      <c r="B128" s="180"/>
      <c r="C128" s="180"/>
      <c r="D128" s="180"/>
    </row>
    <row r="129" spans="2:4" ht="13">
      <c r="B129" s="180"/>
      <c r="C129" s="180"/>
      <c r="D129" s="180"/>
    </row>
    <row r="130" spans="2:4" ht="13">
      <c r="B130" s="180"/>
      <c r="C130" s="180"/>
      <c r="D130" s="180"/>
    </row>
    <row r="131" spans="2:4" ht="13">
      <c r="B131" s="180"/>
      <c r="C131" s="180"/>
      <c r="D131" s="180"/>
    </row>
    <row r="132" spans="2:4" ht="13">
      <c r="B132" s="180"/>
      <c r="C132" s="180"/>
      <c r="D132" s="180"/>
    </row>
    <row r="133" spans="2:4" ht="13">
      <c r="B133" s="180"/>
      <c r="C133" s="180"/>
      <c r="D133" s="180"/>
    </row>
    <row r="134" spans="2:4" ht="13">
      <c r="B134" s="180"/>
      <c r="C134" s="180"/>
      <c r="D134" s="180"/>
    </row>
    <row r="135" spans="2:4" ht="13">
      <c r="B135" s="180"/>
      <c r="C135" s="180"/>
      <c r="D135" s="180"/>
    </row>
    <row r="136" spans="2:4" ht="13">
      <c r="B136" s="180"/>
      <c r="C136" s="180"/>
      <c r="D136" s="180"/>
    </row>
    <row r="137" spans="2:4" ht="13">
      <c r="B137" s="180"/>
      <c r="C137" s="180"/>
      <c r="D137" s="180"/>
    </row>
    <row r="138" spans="2:4" ht="13">
      <c r="B138" s="180"/>
      <c r="C138" s="180"/>
      <c r="D138" s="180"/>
    </row>
    <row r="139" spans="2:4" ht="13">
      <c r="B139" s="180"/>
      <c r="C139" s="180"/>
      <c r="D139" s="180"/>
    </row>
    <row r="140" spans="2:4" ht="13">
      <c r="B140" s="180"/>
      <c r="C140" s="180"/>
      <c r="D140" s="180"/>
    </row>
    <row r="141" spans="2:4" ht="13">
      <c r="B141" s="180"/>
      <c r="C141" s="180"/>
      <c r="D141" s="180"/>
    </row>
    <row r="142" spans="2:4" ht="13">
      <c r="B142" s="180"/>
      <c r="C142" s="180"/>
      <c r="D142" s="180"/>
    </row>
    <row r="143" spans="2:4" ht="13">
      <c r="B143" s="180"/>
      <c r="C143" s="180"/>
      <c r="D143" s="180"/>
    </row>
    <row r="144" spans="2:4" ht="13">
      <c r="B144" s="180"/>
      <c r="C144" s="180"/>
      <c r="D144" s="180"/>
    </row>
    <row r="145" spans="2:4" ht="13">
      <c r="B145" s="180"/>
      <c r="C145" s="180"/>
      <c r="D145" s="180"/>
    </row>
    <row r="146" spans="2:4" ht="13">
      <c r="B146" s="180"/>
      <c r="C146" s="180"/>
      <c r="D146" s="180"/>
    </row>
    <row r="147" spans="2:4" ht="13">
      <c r="B147" s="180"/>
      <c r="C147" s="180"/>
      <c r="D147" s="180"/>
    </row>
    <row r="148" spans="2:4" ht="13">
      <c r="B148" s="180"/>
      <c r="C148" s="180"/>
      <c r="D148" s="180"/>
    </row>
    <row r="149" spans="2:4" ht="13">
      <c r="B149" s="180"/>
      <c r="C149" s="180"/>
      <c r="D149" s="180"/>
    </row>
    <row r="150" spans="2:4" ht="13">
      <c r="B150" s="180"/>
      <c r="C150" s="180"/>
      <c r="D150" s="180"/>
    </row>
    <row r="151" spans="2:4" ht="13">
      <c r="B151" s="180"/>
      <c r="C151" s="180"/>
      <c r="D151" s="180"/>
    </row>
    <row r="152" spans="2:4" ht="13">
      <c r="B152" s="180"/>
      <c r="C152" s="180"/>
      <c r="D152" s="180"/>
    </row>
    <row r="153" spans="2:4" ht="13">
      <c r="B153" s="180"/>
      <c r="C153" s="180"/>
      <c r="D153" s="180"/>
    </row>
    <row r="154" spans="2:4" ht="13">
      <c r="B154" s="180"/>
      <c r="C154" s="180"/>
      <c r="D154" s="180"/>
    </row>
    <row r="155" spans="2:4" ht="13">
      <c r="B155" s="180"/>
      <c r="C155" s="180"/>
      <c r="D155" s="180"/>
    </row>
    <row r="156" spans="2:4" ht="13">
      <c r="B156" s="180"/>
      <c r="C156" s="180"/>
      <c r="D156" s="180"/>
    </row>
    <row r="157" spans="2:4" ht="13">
      <c r="B157" s="180"/>
      <c r="C157" s="180"/>
      <c r="D157" s="180"/>
    </row>
    <row r="158" spans="2:4" ht="13">
      <c r="B158" s="180"/>
      <c r="C158" s="180"/>
      <c r="D158" s="180"/>
    </row>
    <row r="159" spans="2:4" ht="13">
      <c r="B159" s="180"/>
      <c r="C159" s="180"/>
      <c r="D159" s="180"/>
    </row>
    <row r="160" spans="2:4" ht="13">
      <c r="B160" s="180"/>
      <c r="C160" s="180"/>
      <c r="D160" s="180"/>
    </row>
    <row r="161" spans="2:4" ht="13">
      <c r="B161" s="180"/>
      <c r="C161" s="180"/>
      <c r="D161" s="180"/>
    </row>
    <row r="162" spans="2:4" ht="13">
      <c r="B162" s="180"/>
      <c r="C162" s="180"/>
      <c r="D162" s="180"/>
    </row>
    <row r="163" spans="2:4" ht="13">
      <c r="B163" s="180"/>
      <c r="C163" s="180"/>
      <c r="D163" s="180"/>
    </row>
    <row r="164" spans="2:4" ht="13">
      <c r="B164" s="180"/>
      <c r="C164" s="180"/>
      <c r="D164" s="180"/>
    </row>
    <row r="165" spans="2:4" ht="13">
      <c r="B165" s="180"/>
      <c r="C165" s="180"/>
      <c r="D165" s="180"/>
    </row>
    <row r="166" spans="2:4" ht="13">
      <c r="B166" s="180"/>
      <c r="C166" s="180"/>
      <c r="D166" s="180"/>
    </row>
    <row r="167" spans="2:4" ht="13">
      <c r="B167" s="180"/>
      <c r="C167" s="180"/>
      <c r="D167" s="180"/>
    </row>
    <row r="168" spans="2:4" ht="13">
      <c r="B168" s="180"/>
      <c r="C168" s="180"/>
      <c r="D168" s="180"/>
    </row>
    <row r="169" spans="2:4" ht="13">
      <c r="B169" s="180"/>
      <c r="C169" s="180"/>
      <c r="D169" s="180"/>
    </row>
    <row r="170" spans="2:4" ht="13">
      <c r="B170" s="180"/>
      <c r="C170" s="180"/>
      <c r="D170" s="180"/>
    </row>
    <row r="171" spans="2:4" ht="13">
      <c r="B171" s="180"/>
      <c r="C171" s="180"/>
      <c r="D171" s="180"/>
    </row>
    <row r="172" spans="2:4" ht="13">
      <c r="B172" s="180"/>
      <c r="C172" s="180"/>
      <c r="D172" s="180"/>
    </row>
    <row r="173" spans="2:4" ht="13">
      <c r="B173" s="180"/>
      <c r="C173" s="180"/>
      <c r="D173" s="180"/>
    </row>
    <row r="174" spans="2:4" ht="13">
      <c r="B174" s="180"/>
      <c r="C174" s="180"/>
      <c r="D174" s="180"/>
    </row>
    <row r="175" spans="2:4" ht="13">
      <c r="B175" s="180"/>
      <c r="C175" s="180"/>
      <c r="D175" s="180"/>
    </row>
    <row r="176" spans="2:4" ht="13">
      <c r="B176" s="180"/>
      <c r="C176" s="180"/>
      <c r="D176" s="180"/>
    </row>
    <row r="177" spans="2:4" ht="13">
      <c r="B177" s="180"/>
      <c r="C177" s="180"/>
      <c r="D177" s="180"/>
    </row>
    <row r="178" spans="2:4" ht="13">
      <c r="B178" s="180"/>
      <c r="C178" s="180"/>
      <c r="D178" s="180"/>
    </row>
    <row r="179" spans="2:4" ht="13">
      <c r="B179" s="180"/>
      <c r="C179" s="180"/>
      <c r="D179" s="180"/>
    </row>
    <row r="180" spans="2:4" ht="13">
      <c r="B180" s="180"/>
      <c r="C180" s="180"/>
      <c r="D180" s="180"/>
    </row>
    <row r="181" spans="2:4" ht="13">
      <c r="B181" s="180"/>
      <c r="C181" s="180"/>
      <c r="D181" s="180"/>
    </row>
    <row r="182" spans="2:4" ht="13">
      <c r="B182" s="180"/>
      <c r="C182" s="180"/>
      <c r="D182" s="180"/>
    </row>
    <row r="183" spans="2:4" ht="13">
      <c r="B183" s="180"/>
      <c r="C183" s="180"/>
      <c r="D183" s="180"/>
    </row>
    <row r="184" spans="2:4" ht="13">
      <c r="B184" s="180"/>
      <c r="C184" s="180"/>
      <c r="D184" s="180"/>
    </row>
    <row r="185" spans="2:4" ht="13">
      <c r="B185" s="180"/>
      <c r="C185" s="180"/>
      <c r="D185" s="180"/>
    </row>
    <row r="186" spans="2:4" ht="13">
      <c r="B186" s="180"/>
      <c r="C186" s="180"/>
      <c r="D186" s="180"/>
    </row>
    <row r="187" spans="2:4" ht="13">
      <c r="B187" s="180"/>
      <c r="C187" s="180"/>
      <c r="D187" s="180"/>
    </row>
    <row r="188" spans="2:4" ht="13">
      <c r="B188" s="180"/>
      <c r="C188" s="180"/>
      <c r="D188" s="180"/>
    </row>
    <row r="189" spans="2:4" ht="13">
      <c r="B189" s="180"/>
      <c r="C189" s="180"/>
      <c r="D189" s="180"/>
    </row>
    <row r="190" spans="2:4" ht="13">
      <c r="B190" s="180"/>
      <c r="C190" s="180"/>
      <c r="D190" s="180"/>
    </row>
    <row r="191" spans="2:4" ht="13">
      <c r="B191" s="180"/>
      <c r="C191" s="180"/>
      <c r="D191" s="180"/>
    </row>
    <row r="192" spans="2:4" ht="13">
      <c r="B192" s="180"/>
      <c r="C192" s="180"/>
      <c r="D192" s="180"/>
    </row>
    <row r="193" spans="2:4" ht="13">
      <c r="B193" s="180"/>
      <c r="C193" s="180"/>
      <c r="D193" s="180"/>
    </row>
    <row r="194" spans="2:4" ht="13">
      <c r="B194" s="180"/>
      <c r="C194" s="180"/>
      <c r="D194" s="180"/>
    </row>
    <row r="195" spans="2:4" ht="13">
      <c r="B195" s="180"/>
      <c r="C195" s="180"/>
      <c r="D195" s="180"/>
    </row>
    <row r="196" spans="2:4" ht="13">
      <c r="B196" s="180"/>
      <c r="C196" s="180"/>
      <c r="D196" s="180"/>
    </row>
    <row r="197" spans="2:4" ht="13">
      <c r="B197" s="180"/>
      <c r="C197" s="180"/>
      <c r="D197" s="180"/>
    </row>
    <row r="198" spans="2:4" ht="13">
      <c r="B198" s="180"/>
      <c r="C198" s="180"/>
      <c r="D198" s="180"/>
    </row>
    <row r="199" spans="2:4" ht="13">
      <c r="B199" s="180"/>
      <c r="C199" s="180"/>
      <c r="D199" s="180"/>
    </row>
    <row r="200" spans="2:4" ht="13">
      <c r="B200" s="180"/>
      <c r="C200" s="180"/>
      <c r="D200" s="180"/>
    </row>
    <row r="201" spans="2:4" ht="13">
      <c r="B201" s="180"/>
      <c r="C201" s="180"/>
      <c r="D201" s="180"/>
    </row>
    <row r="202" spans="2:4" ht="13">
      <c r="B202" s="180"/>
      <c r="C202" s="180"/>
      <c r="D202" s="180"/>
    </row>
    <row r="203" spans="2:4" ht="13">
      <c r="B203" s="180"/>
      <c r="C203" s="180"/>
      <c r="D203" s="180"/>
    </row>
    <row r="204" spans="2:4" ht="13">
      <c r="B204" s="180"/>
      <c r="C204" s="180"/>
      <c r="D204" s="180"/>
    </row>
    <row r="205" spans="2:4" ht="13">
      <c r="B205" s="180"/>
      <c r="C205" s="180"/>
      <c r="D205" s="180"/>
    </row>
    <row r="206" spans="2:4" ht="13">
      <c r="B206" s="180"/>
      <c r="C206" s="180"/>
      <c r="D206" s="180"/>
    </row>
    <row r="207" spans="2:4" ht="13">
      <c r="B207" s="180"/>
      <c r="C207" s="180"/>
      <c r="D207" s="180"/>
    </row>
    <row r="208" spans="2:4" ht="13">
      <c r="B208" s="180"/>
      <c r="C208" s="180"/>
      <c r="D208" s="180"/>
    </row>
    <row r="209" spans="2:4" ht="13">
      <c r="B209" s="180"/>
      <c r="C209" s="180"/>
      <c r="D209" s="180"/>
    </row>
    <row r="210" spans="2:4" ht="13">
      <c r="B210" s="180"/>
      <c r="C210" s="180"/>
      <c r="D210" s="180"/>
    </row>
    <row r="211" spans="2:4" ht="13">
      <c r="B211" s="180"/>
      <c r="C211" s="180"/>
      <c r="D211" s="180"/>
    </row>
    <row r="212" spans="2:4" ht="13">
      <c r="B212" s="180"/>
      <c r="C212" s="180"/>
      <c r="D212" s="180"/>
    </row>
    <row r="213" spans="2:4" ht="13">
      <c r="B213" s="180"/>
      <c r="C213" s="180"/>
      <c r="D213" s="180"/>
    </row>
    <row r="214" spans="2:4" ht="13">
      <c r="B214" s="180"/>
      <c r="C214" s="180"/>
      <c r="D214" s="180"/>
    </row>
    <row r="215" spans="2:4" ht="13">
      <c r="B215" s="180"/>
      <c r="C215" s="180"/>
      <c r="D215" s="180"/>
    </row>
    <row r="216" spans="2:4" ht="13">
      <c r="B216" s="180"/>
      <c r="C216" s="180"/>
      <c r="D216" s="180"/>
    </row>
    <row r="217" spans="2:4" ht="13">
      <c r="B217" s="180"/>
      <c r="C217" s="180"/>
      <c r="D217" s="180"/>
    </row>
    <row r="218" spans="2:4" ht="13">
      <c r="B218" s="180"/>
      <c r="C218" s="180"/>
      <c r="D218" s="180"/>
    </row>
    <row r="219" spans="2:4" ht="13">
      <c r="B219" s="180"/>
      <c r="C219" s="180"/>
      <c r="D219" s="180"/>
    </row>
    <row r="220" spans="2:4" ht="13">
      <c r="B220" s="180"/>
      <c r="C220" s="180"/>
      <c r="D220" s="180"/>
    </row>
    <row r="221" spans="2:4" ht="13">
      <c r="B221" s="180"/>
      <c r="C221" s="180"/>
      <c r="D221" s="180"/>
    </row>
    <row r="222" spans="2:4" ht="13">
      <c r="B222" s="180"/>
      <c r="C222" s="180"/>
      <c r="D222" s="180"/>
    </row>
    <row r="223" spans="2:4" ht="13">
      <c r="B223" s="180"/>
      <c r="C223" s="180"/>
      <c r="D223" s="180"/>
    </row>
    <row r="224" spans="2:4" ht="13">
      <c r="B224" s="180"/>
      <c r="C224" s="180"/>
      <c r="D224" s="180"/>
    </row>
    <row r="225" spans="2:4" ht="13">
      <c r="B225" s="180"/>
      <c r="C225" s="180"/>
      <c r="D225" s="180"/>
    </row>
    <row r="226" spans="2:4" ht="13">
      <c r="B226" s="180"/>
      <c r="C226" s="180"/>
      <c r="D226" s="180"/>
    </row>
    <row r="227" spans="2:4" ht="13">
      <c r="B227" s="180"/>
      <c r="C227" s="180"/>
      <c r="D227" s="180"/>
    </row>
    <row r="228" spans="2:4" ht="13">
      <c r="B228" s="180"/>
      <c r="C228" s="180"/>
      <c r="D228" s="180"/>
    </row>
    <row r="229" spans="2:4" ht="13">
      <c r="B229" s="180"/>
      <c r="C229" s="180"/>
      <c r="D229" s="180"/>
    </row>
    <row r="230" spans="2:4" ht="13">
      <c r="B230" s="180"/>
      <c r="C230" s="180"/>
      <c r="D230" s="180"/>
    </row>
    <row r="231" spans="2:4" ht="13">
      <c r="B231" s="180"/>
      <c r="C231" s="180"/>
      <c r="D231" s="180"/>
    </row>
    <row r="232" spans="2:4" ht="13">
      <c r="B232" s="180"/>
      <c r="C232" s="180"/>
      <c r="D232" s="180"/>
    </row>
    <row r="233" spans="2:4" ht="13">
      <c r="B233" s="180"/>
      <c r="C233" s="180"/>
      <c r="D233" s="180"/>
    </row>
    <row r="234" spans="2:4" ht="13">
      <c r="B234" s="180"/>
      <c r="C234" s="180"/>
      <c r="D234" s="180"/>
    </row>
    <row r="235" spans="2:4" ht="13">
      <c r="B235" s="180"/>
      <c r="C235" s="180"/>
      <c r="D235" s="180"/>
    </row>
    <row r="236" spans="2:4" ht="13">
      <c r="B236" s="180"/>
      <c r="C236" s="180"/>
      <c r="D236" s="180"/>
    </row>
    <row r="237" spans="2:4" ht="13">
      <c r="B237" s="180"/>
      <c r="C237" s="180"/>
      <c r="D237" s="180"/>
    </row>
    <row r="238" spans="2:4" ht="13">
      <c r="B238" s="180"/>
      <c r="C238" s="180"/>
      <c r="D238" s="180"/>
    </row>
    <row r="239" spans="2:4" ht="13">
      <c r="B239" s="180"/>
      <c r="C239" s="180"/>
      <c r="D239" s="180"/>
    </row>
    <row r="240" spans="2:4" ht="13">
      <c r="B240" s="180"/>
      <c r="C240" s="180"/>
      <c r="D240" s="180"/>
    </row>
    <row r="241" spans="2:4" ht="13">
      <c r="B241" s="180"/>
      <c r="C241" s="180"/>
      <c r="D241" s="180"/>
    </row>
    <row r="242" spans="2:4" ht="13">
      <c r="B242" s="180"/>
      <c r="C242" s="180"/>
      <c r="D242" s="180"/>
    </row>
    <row r="243" spans="2:4" ht="13">
      <c r="B243" s="180"/>
      <c r="C243" s="180"/>
      <c r="D243" s="180"/>
    </row>
    <row r="244" spans="2:4" ht="13">
      <c r="B244" s="180"/>
      <c r="C244" s="180"/>
      <c r="D244" s="180"/>
    </row>
    <row r="245" spans="2:4" ht="13">
      <c r="B245" s="180"/>
      <c r="C245" s="180"/>
      <c r="D245" s="180"/>
    </row>
    <row r="246" spans="2:4" ht="13">
      <c r="B246" s="180"/>
      <c r="C246" s="180"/>
      <c r="D246" s="180"/>
    </row>
    <row r="247" spans="2:4" ht="13">
      <c r="B247" s="180"/>
      <c r="C247" s="180"/>
      <c r="D247" s="180"/>
    </row>
    <row r="248" spans="2:4" ht="13">
      <c r="B248" s="180"/>
      <c r="C248" s="180"/>
      <c r="D248" s="180"/>
    </row>
    <row r="249" spans="2:4" ht="13">
      <c r="B249" s="180"/>
      <c r="C249" s="180"/>
      <c r="D249" s="180"/>
    </row>
    <row r="250" spans="2:4" ht="13">
      <c r="B250" s="180"/>
      <c r="C250" s="180"/>
      <c r="D250" s="180"/>
    </row>
    <row r="251" spans="2:4" ht="13">
      <c r="B251" s="180"/>
      <c r="C251" s="180"/>
      <c r="D251" s="180"/>
    </row>
    <row r="252" spans="2:4" ht="13">
      <c r="B252" s="180"/>
      <c r="C252" s="180"/>
      <c r="D252" s="180"/>
    </row>
    <row r="253" spans="2:4" ht="13">
      <c r="B253" s="180"/>
      <c r="C253" s="180"/>
      <c r="D253" s="180"/>
    </row>
    <row r="254" spans="2:4" ht="13">
      <c r="B254" s="180"/>
      <c r="C254" s="180"/>
      <c r="D254" s="180"/>
    </row>
    <row r="255" spans="2:4" ht="13">
      <c r="B255" s="180"/>
      <c r="C255" s="180"/>
      <c r="D255" s="180"/>
    </row>
    <row r="256" spans="2:4" ht="13">
      <c r="B256" s="180"/>
      <c r="C256" s="180"/>
      <c r="D256" s="180"/>
    </row>
    <row r="257" spans="2:4" ht="13">
      <c r="B257" s="180"/>
      <c r="C257" s="180"/>
      <c r="D257" s="180"/>
    </row>
    <row r="258" spans="2:4" ht="13">
      <c r="B258" s="180"/>
      <c r="C258" s="180"/>
      <c r="D258" s="180"/>
    </row>
    <row r="259" spans="2:4" ht="13">
      <c r="B259" s="180"/>
      <c r="C259" s="180"/>
      <c r="D259" s="180"/>
    </row>
    <row r="260" spans="2:4" ht="13">
      <c r="B260" s="180"/>
      <c r="C260" s="180"/>
      <c r="D260" s="180"/>
    </row>
    <row r="261" spans="2:4" ht="13">
      <c r="B261" s="180"/>
      <c r="C261" s="180"/>
      <c r="D261" s="180"/>
    </row>
    <row r="262" spans="2:4" ht="13">
      <c r="B262" s="180"/>
      <c r="C262" s="180"/>
      <c r="D262" s="180"/>
    </row>
    <row r="263" spans="2:4" ht="13">
      <c r="B263" s="180"/>
      <c r="C263" s="180"/>
      <c r="D263" s="180"/>
    </row>
    <row r="264" spans="2:4" ht="13">
      <c r="B264" s="180"/>
      <c r="C264" s="180"/>
      <c r="D264" s="180"/>
    </row>
    <row r="265" spans="2:4" ht="13">
      <c r="B265" s="180"/>
      <c r="C265" s="180"/>
      <c r="D265" s="180"/>
    </row>
    <row r="266" spans="2:4" ht="13">
      <c r="B266" s="180"/>
      <c r="C266" s="180"/>
      <c r="D266" s="180"/>
    </row>
    <row r="267" spans="2:4" ht="13">
      <c r="B267" s="180"/>
      <c r="C267" s="180"/>
      <c r="D267" s="180"/>
    </row>
    <row r="268" spans="2:4" ht="13">
      <c r="B268" s="180"/>
      <c r="C268" s="180"/>
      <c r="D268" s="180"/>
    </row>
    <row r="269" spans="2:4" ht="13">
      <c r="B269" s="180"/>
      <c r="C269" s="180"/>
      <c r="D269" s="180"/>
    </row>
    <row r="270" spans="2:4" ht="13">
      <c r="B270" s="180"/>
      <c r="C270" s="180"/>
      <c r="D270" s="180"/>
    </row>
    <row r="271" spans="2:4" ht="13">
      <c r="B271" s="180"/>
      <c r="C271" s="180"/>
      <c r="D271" s="180"/>
    </row>
    <row r="272" spans="2:4" ht="13">
      <c r="B272" s="180"/>
      <c r="C272" s="180"/>
      <c r="D272" s="180"/>
    </row>
    <row r="273" spans="2:4" ht="13">
      <c r="B273" s="180"/>
      <c r="C273" s="180"/>
      <c r="D273" s="180"/>
    </row>
    <row r="274" spans="2:4" ht="13">
      <c r="B274" s="180"/>
      <c r="C274" s="180"/>
      <c r="D274" s="180"/>
    </row>
    <row r="275" spans="2:4" ht="13">
      <c r="B275" s="180"/>
      <c r="C275" s="180"/>
      <c r="D275" s="180"/>
    </row>
    <row r="276" spans="2:4" ht="13">
      <c r="B276" s="180"/>
      <c r="C276" s="180"/>
      <c r="D276" s="180"/>
    </row>
    <row r="277" spans="2:4" ht="13">
      <c r="B277" s="180"/>
      <c r="C277" s="180"/>
      <c r="D277" s="180"/>
    </row>
    <row r="278" spans="2:4" ht="13">
      <c r="B278" s="180"/>
      <c r="C278" s="180"/>
      <c r="D278" s="180"/>
    </row>
    <row r="279" spans="2:4" ht="13">
      <c r="B279" s="180"/>
      <c r="C279" s="180"/>
      <c r="D279" s="180"/>
    </row>
    <row r="280" spans="2:4" ht="13">
      <c r="B280" s="180"/>
      <c r="C280" s="180"/>
      <c r="D280" s="180"/>
    </row>
    <row r="281" spans="2:4" ht="13">
      <c r="B281" s="180"/>
      <c r="C281" s="180"/>
      <c r="D281" s="180"/>
    </row>
    <row r="282" spans="2:4" ht="13">
      <c r="B282" s="180"/>
      <c r="C282" s="180"/>
      <c r="D282" s="180"/>
    </row>
    <row r="283" spans="2:4" ht="13">
      <c r="B283" s="180"/>
      <c r="C283" s="180"/>
      <c r="D283" s="180"/>
    </row>
    <row r="284" spans="2:4" ht="13">
      <c r="B284" s="180"/>
      <c r="C284" s="180"/>
      <c r="D284" s="180"/>
    </row>
    <row r="285" spans="2:4" ht="13">
      <c r="B285" s="180"/>
      <c r="C285" s="180"/>
      <c r="D285" s="180"/>
    </row>
    <row r="286" spans="2:4" ht="13">
      <c r="B286" s="180"/>
      <c r="C286" s="180"/>
      <c r="D286" s="180"/>
    </row>
    <row r="287" spans="2:4" ht="13">
      <c r="B287" s="180"/>
      <c r="C287" s="180"/>
      <c r="D287" s="180"/>
    </row>
    <row r="288" spans="2:4" ht="13">
      <c r="B288" s="180"/>
      <c r="C288" s="180"/>
      <c r="D288" s="180"/>
    </row>
    <row r="289" spans="2:4" ht="13">
      <c r="B289" s="180"/>
      <c r="C289" s="180"/>
      <c r="D289" s="180"/>
    </row>
    <row r="290" spans="2:4" ht="13">
      <c r="B290" s="180"/>
      <c r="C290" s="180"/>
      <c r="D290" s="180"/>
    </row>
    <row r="291" spans="2:4" ht="13">
      <c r="B291" s="180"/>
      <c r="C291" s="180"/>
      <c r="D291" s="180"/>
    </row>
    <row r="292" spans="2:4" ht="13">
      <c r="B292" s="180"/>
      <c r="C292" s="180"/>
      <c r="D292" s="180"/>
    </row>
    <row r="293" spans="2:4" ht="13">
      <c r="B293" s="180"/>
      <c r="C293" s="180"/>
      <c r="D293" s="180"/>
    </row>
    <row r="294" spans="2:4" ht="13">
      <c r="B294" s="180"/>
      <c r="C294" s="180"/>
      <c r="D294" s="180"/>
    </row>
    <row r="295" spans="2:4" ht="13">
      <c r="B295" s="180"/>
      <c r="C295" s="180"/>
      <c r="D295" s="180"/>
    </row>
    <row r="296" spans="2:4" ht="13">
      <c r="B296" s="180"/>
      <c r="C296" s="180"/>
      <c r="D296" s="180"/>
    </row>
    <row r="297" spans="2:4" ht="13">
      <c r="B297" s="180"/>
      <c r="C297" s="180"/>
      <c r="D297" s="180"/>
    </row>
    <row r="298" spans="2:4" ht="13">
      <c r="B298" s="180"/>
      <c r="C298" s="180"/>
      <c r="D298" s="180"/>
    </row>
    <row r="299" spans="2:4" ht="13">
      <c r="B299" s="180"/>
      <c r="C299" s="180"/>
      <c r="D299" s="180"/>
    </row>
    <row r="300" spans="2:4" ht="13">
      <c r="B300" s="180"/>
      <c r="C300" s="180"/>
      <c r="D300" s="180"/>
    </row>
    <row r="301" spans="2:4" ht="13">
      <c r="B301" s="180"/>
      <c r="C301" s="180"/>
      <c r="D301" s="180"/>
    </row>
    <row r="302" spans="2:4" ht="13">
      <c r="B302" s="180"/>
      <c r="C302" s="180"/>
      <c r="D302" s="180"/>
    </row>
    <row r="303" spans="2:4" ht="13">
      <c r="B303" s="180"/>
      <c r="C303" s="180"/>
      <c r="D303" s="180"/>
    </row>
    <row r="304" spans="2:4" ht="13">
      <c r="B304" s="180"/>
      <c r="C304" s="180"/>
      <c r="D304" s="180"/>
    </row>
    <row r="305" spans="2:4" ht="13">
      <c r="B305" s="180"/>
      <c r="C305" s="180"/>
      <c r="D305" s="180"/>
    </row>
    <row r="306" spans="2:4" ht="13">
      <c r="B306" s="180"/>
      <c r="C306" s="180"/>
      <c r="D306" s="180"/>
    </row>
    <row r="307" spans="2:4" ht="13">
      <c r="B307" s="180"/>
      <c r="C307" s="180"/>
      <c r="D307" s="180"/>
    </row>
    <row r="308" spans="2:4" ht="13">
      <c r="B308" s="180"/>
      <c r="C308" s="180"/>
      <c r="D308" s="180"/>
    </row>
    <row r="309" spans="2:4" ht="13">
      <c r="B309" s="180"/>
      <c r="C309" s="180"/>
      <c r="D309" s="180"/>
    </row>
    <row r="310" spans="2:4" ht="13">
      <c r="B310" s="180"/>
      <c r="C310" s="180"/>
      <c r="D310" s="180"/>
    </row>
    <row r="311" spans="2:4" ht="13">
      <c r="B311" s="180"/>
      <c r="C311" s="180"/>
      <c r="D311" s="180"/>
    </row>
    <row r="312" spans="2:4" ht="13">
      <c r="B312" s="180"/>
      <c r="C312" s="180"/>
      <c r="D312" s="180"/>
    </row>
    <row r="313" spans="2:4" ht="13">
      <c r="B313" s="180"/>
      <c r="C313" s="180"/>
      <c r="D313" s="180"/>
    </row>
    <row r="314" spans="2:4" ht="13">
      <c r="B314" s="180"/>
      <c r="C314" s="180"/>
      <c r="D314" s="180"/>
    </row>
    <row r="315" spans="2:4" ht="13">
      <c r="B315" s="180"/>
      <c r="C315" s="180"/>
      <c r="D315" s="180"/>
    </row>
    <row r="316" spans="2:4" ht="13">
      <c r="B316" s="180"/>
      <c r="C316" s="180"/>
      <c r="D316" s="180"/>
    </row>
    <row r="317" spans="2:4" ht="13">
      <c r="B317" s="180"/>
      <c r="C317" s="180"/>
      <c r="D317" s="180"/>
    </row>
    <row r="318" spans="2:4" ht="13">
      <c r="B318" s="180"/>
      <c r="C318" s="180"/>
      <c r="D318" s="180"/>
    </row>
    <row r="319" spans="2:4" ht="13">
      <c r="B319" s="180"/>
      <c r="C319" s="180"/>
      <c r="D319" s="180"/>
    </row>
    <row r="320" spans="2:4" ht="13">
      <c r="B320" s="180"/>
      <c r="C320" s="180"/>
      <c r="D320" s="180"/>
    </row>
    <row r="321" spans="2:4" ht="13">
      <c r="B321" s="180"/>
      <c r="C321" s="180"/>
      <c r="D321" s="180"/>
    </row>
    <row r="322" spans="2:4" ht="13">
      <c r="B322" s="180"/>
      <c r="C322" s="180"/>
      <c r="D322" s="180"/>
    </row>
    <row r="323" spans="2:4" ht="13">
      <c r="B323" s="180"/>
      <c r="C323" s="180"/>
      <c r="D323" s="180"/>
    </row>
    <row r="324" spans="2:4" ht="13">
      <c r="B324" s="180"/>
      <c r="C324" s="180"/>
      <c r="D324" s="180"/>
    </row>
    <row r="325" spans="2:4" ht="13">
      <c r="B325" s="180"/>
      <c r="C325" s="180"/>
      <c r="D325" s="180"/>
    </row>
    <row r="326" spans="2:4" ht="13">
      <c r="B326" s="180"/>
      <c r="C326" s="180"/>
      <c r="D326" s="180"/>
    </row>
    <row r="327" spans="2:4" ht="13">
      <c r="B327" s="180"/>
      <c r="C327" s="180"/>
      <c r="D327" s="180"/>
    </row>
    <row r="328" spans="2:4" ht="13">
      <c r="B328" s="180"/>
      <c r="C328" s="180"/>
      <c r="D328" s="180"/>
    </row>
    <row r="329" spans="2:4" ht="13">
      <c r="B329" s="180"/>
      <c r="C329" s="180"/>
      <c r="D329" s="180"/>
    </row>
    <row r="330" spans="2:4" ht="13">
      <c r="B330" s="180"/>
      <c r="C330" s="180"/>
      <c r="D330" s="180"/>
    </row>
    <row r="331" spans="2:4" ht="13">
      <c r="B331" s="180"/>
      <c r="C331" s="180"/>
      <c r="D331" s="180"/>
    </row>
    <row r="332" spans="2:4" ht="13">
      <c r="B332" s="180"/>
      <c r="C332" s="180"/>
      <c r="D332" s="180"/>
    </row>
    <row r="333" spans="2:4" ht="13">
      <c r="B333" s="180"/>
      <c r="C333" s="180"/>
      <c r="D333" s="180"/>
    </row>
    <row r="334" spans="2:4" ht="13">
      <c r="B334" s="180"/>
      <c r="C334" s="180"/>
      <c r="D334" s="180"/>
    </row>
    <row r="335" spans="2:4" ht="13">
      <c r="B335" s="180"/>
      <c r="C335" s="180"/>
      <c r="D335" s="180"/>
    </row>
    <row r="336" spans="2:4" ht="13">
      <c r="B336" s="180"/>
      <c r="C336" s="180"/>
      <c r="D336" s="180"/>
    </row>
    <row r="337" spans="2:4" ht="13">
      <c r="B337" s="180"/>
      <c r="C337" s="180"/>
      <c r="D337" s="180"/>
    </row>
    <row r="338" spans="2:4" ht="13">
      <c r="B338" s="180"/>
      <c r="C338" s="180"/>
      <c r="D338" s="180"/>
    </row>
    <row r="339" spans="2:4" ht="13">
      <c r="B339" s="180"/>
      <c r="C339" s="180"/>
      <c r="D339" s="180"/>
    </row>
    <row r="340" spans="2:4" ht="13">
      <c r="B340" s="180"/>
      <c r="C340" s="180"/>
      <c r="D340" s="180"/>
    </row>
    <row r="341" spans="2:4" ht="13">
      <c r="B341" s="180"/>
      <c r="C341" s="180"/>
      <c r="D341" s="180"/>
    </row>
    <row r="342" spans="2:4" ht="13">
      <c r="B342" s="180"/>
      <c r="C342" s="180"/>
      <c r="D342" s="180"/>
    </row>
    <row r="343" spans="2:4" ht="13">
      <c r="B343" s="180"/>
      <c r="C343" s="180"/>
      <c r="D343" s="180"/>
    </row>
    <row r="344" spans="2:4" ht="13">
      <c r="B344" s="180"/>
      <c r="C344" s="180"/>
      <c r="D344" s="180"/>
    </row>
    <row r="345" spans="2:4" ht="13">
      <c r="B345" s="180"/>
      <c r="C345" s="180"/>
      <c r="D345" s="180"/>
    </row>
    <row r="346" spans="2:4" ht="13">
      <c r="B346" s="180"/>
      <c r="C346" s="180"/>
      <c r="D346" s="180"/>
    </row>
    <row r="347" spans="2:4" ht="13">
      <c r="B347" s="180"/>
      <c r="C347" s="180"/>
      <c r="D347" s="180"/>
    </row>
    <row r="348" spans="2:4" ht="13">
      <c r="B348" s="180"/>
      <c r="C348" s="180"/>
      <c r="D348" s="180"/>
    </row>
    <row r="349" spans="2:4" ht="13">
      <c r="B349" s="180"/>
      <c r="C349" s="180"/>
      <c r="D349" s="180"/>
    </row>
    <row r="350" spans="2:4" ht="13">
      <c r="B350" s="180"/>
      <c r="C350" s="180"/>
      <c r="D350" s="180"/>
    </row>
    <row r="351" spans="2:4" ht="13">
      <c r="B351" s="180"/>
      <c r="C351" s="180"/>
      <c r="D351" s="180"/>
    </row>
    <row r="352" spans="2:4" ht="13">
      <c r="B352" s="180"/>
      <c r="C352" s="180"/>
      <c r="D352" s="180"/>
    </row>
    <row r="353" spans="2:4" ht="13">
      <c r="B353" s="180"/>
      <c r="C353" s="180"/>
      <c r="D353" s="180"/>
    </row>
    <row r="354" spans="2:4" ht="13">
      <c r="B354" s="180"/>
      <c r="C354" s="180"/>
      <c r="D354" s="180"/>
    </row>
    <row r="355" spans="2:4" ht="13">
      <c r="B355" s="180"/>
      <c r="C355" s="180"/>
      <c r="D355" s="180"/>
    </row>
    <row r="356" spans="2:4" ht="13">
      <c r="B356" s="180"/>
      <c r="C356" s="180"/>
      <c r="D356" s="180"/>
    </row>
    <row r="357" spans="2:4" ht="13">
      <c r="B357" s="180"/>
      <c r="C357" s="180"/>
      <c r="D357" s="180"/>
    </row>
    <row r="358" spans="2:4" ht="13">
      <c r="B358" s="180"/>
      <c r="C358" s="180"/>
      <c r="D358" s="180"/>
    </row>
    <row r="359" spans="2:4" ht="13">
      <c r="B359" s="180"/>
      <c r="C359" s="180"/>
      <c r="D359" s="180"/>
    </row>
    <row r="360" spans="2:4" ht="13">
      <c r="B360" s="180"/>
      <c r="C360" s="180"/>
      <c r="D360" s="180"/>
    </row>
    <row r="361" spans="2:4" ht="13">
      <c r="B361" s="180"/>
      <c r="C361" s="180"/>
      <c r="D361" s="180"/>
    </row>
    <row r="362" spans="2:4" ht="13">
      <c r="B362" s="180"/>
      <c r="C362" s="180"/>
      <c r="D362" s="180"/>
    </row>
    <row r="363" spans="2:4" ht="13">
      <c r="B363" s="180"/>
      <c r="C363" s="180"/>
      <c r="D363" s="180"/>
    </row>
    <row r="364" spans="2:4" ht="13">
      <c r="B364" s="180"/>
      <c r="C364" s="180"/>
      <c r="D364" s="180"/>
    </row>
    <row r="365" spans="2:4" ht="13">
      <c r="B365" s="180"/>
      <c r="C365" s="180"/>
      <c r="D365" s="180"/>
    </row>
    <row r="366" spans="2:4" ht="13">
      <c r="B366" s="180"/>
      <c r="C366" s="180"/>
      <c r="D366" s="180"/>
    </row>
    <row r="367" spans="2:4" ht="13">
      <c r="B367" s="180"/>
      <c r="C367" s="180"/>
      <c r="D367" s="180"/>
    </row>
    <row r="368" spans="2:4" ht="13">
      <c r="B368" s="180"/>
      <c r="C368" s="180"/>
      <c r="D368" s="180"/>
    </row>
    <row r="369" spans="2:4" ht="13">
      <c r="B369" s="180"/>
      <c r="C369" s="180"/>
      <c r="D369" s="180"/>
    </row>
    <row r="370" spans="2:4" ht="13">
      <c r="B370" s="180"/>
      <c r="C370" s="180"/>
      <c r="D370" s="180"/>
    </row>
    <row r="371" spans="2:4" ht="13">
      <c r="B371" s="180"/>
      <c r="C371" s="180"/>
      <c r="D371" s="180"/>
    </row>
    <row r="372" spans="2:4" ht="13">
      <c r="B372" s="180"/>
      <c r="C372" s="180"/>
      <c r="D372" s="180"/>
    </row>
    <row r="373" spans="2:4" ht="13">
      <c r="B373" s="180"/>
      <c r="C373" s="180"/>
      <c r="D373" s="180"/>
    </row>
    <row r="374" spans="2:4" ht="13">
      <c r="B374" s="180"/>
      <c r="C374" s="180"/>
      <c r="D374" s="180"/>
    </row>
    <row r="375" spans="2:4" ht="13">
      <c r="B375" s="180"/>
      <c r="C375" s="180"/>
      <c r="D375" s="180"/>
    </row>
    <row r="376" spans="2:4" ht="13">
      <c r="B376" s="180"/>
      <c r="C376" s="180"/>
      <c r="D376" s="180"/>
    </row>
    <row r="377" spans="2:4" ht="13">
      <c r="B377" s="180"/>
      <c r="C377" s="180"/>
      <c r="D377" s="180"/>
    </row>
    <row r="378" spans="2:4" ht="13">
      <c r="B378" s="180"/>
      <c r="C378" s="180"/>
      <c r="D378" s="180"/>
    </row>
    <row r="379" spans="2:4" ht="13">
      <c r="B379" s="180"/>
      <c r="C379" s="180"/>
      <c r="D379" s="180"/>
    </row>
    <row r="380" spans="2:4" ht="13">
      <c r="B380" s="180"/>
      <c r="C380" s="180"/>
      <c r="D380" s="180"/>
    </row>
    <row r="381" spans="2:4" ht="13">
      <c r="B381" s="180"/>
      <c r="C381" s="180"/>
      <c r="D381" s="180"/>
    </row>
    <row r="382" spans="2:4" ht="13">
      <c r="B382" s="180"/>
      <c r="C382" s="180"/>
      <c r="D382" s="180"/>
    </row>
    <row r="383" spans="2:4" ht="13">
      <c r="B383" s="180"/>
      <c r="C383" s="180"/>
      <c r="D383" s="180"/>
    </row>
    <row r="384" spans="2:4" ht="13">
      <c r="B384" s="180"/>
      <c r="C384" s="180"/>
      <c r="D384" s="180"/>
    </row>
    <row r="385" spans="2:4" ht="13">
      <c r="B385" s="180"/>
      <c r="C385" s="180"/>
      <c r="D385" s="180"/>
    </row>
    <row r="386" spans="2:4" ht="13">
      <c r="B386" s="180"/>
      <c r="C386" s="180"/>
      <c r="D386" s="180"/>
    </row>
    <row r="387" spans="2:4" ht="13">
      <c r="B387" s="180"/>
      <c r="C387" s="180"/>
      <c r="D387" s="180"/>
    </row>
    <row r="388" spans="2:4" ht="13">
      <c r="B388" s="180"/>
      <c r="C388" s="180"/>
      <c r="D388" s="180"/>
    </row>
    <row r="389" spans="2:4" ht="13">
      <c r="B389" s="180"/>
      <c r="C389" s="180"/>
      <c r="D389" s="180"/>
    </row>
    <row r="390" spans="2:4" ht="13">
      <c r="B390" s="180"/>
      <c r="C390" s="180"/>
      <c r="D390" s="180"/>
    </row>
    <row r="391" spans="2:4" ht="13">
      <c r="B391" s="180"/>
      <c r="C391" s="180"/>
      <c r="D391" s="180"/>
    </row>
    <row r="392" spans="2:4" ht="13">
      <c r="B392" s="180"/>
      <c r="C392" s="180"/>
      <c r="D392" s="180"/>
    </row>
    <row r="393" spans="2:4" ht="13">
      <c r="B393" s="180"/>
      <c r="C393" s="180"/>
      <c r="D393" s="180"/>
    </row>
    <row r="394" spans="2:4" ht="13">
      <c r="B394" s="180"/>
      <c r="C394" s="180"/>
      <c r="D394" s="180"/>
    </row>
    <row r="395" spans="2:4" ht="13">
      <c r="B395" s="180"/>
      <c r="C395" s="180"/>
      <c r="D395" s="180"/>
    </row>
    <row r="396" spans="2:4" ht="13">
      <c r="B396" s="180"/>
      <c r="C396" s="180"/>
      <c r="D396" s="180"/>
    </row>
    <row r="397" spans="2:4" ht="13">
      <c r="B397" s="180"/>
      <c r="C397" s="180"/>
      <c r="D397" s="180"/>
    </row>
    <row r="398" spans="2:4" ht="13">
      <c r="B398" s="180"/>
      <c r="C398" s="180"/>
      <c r="D398" s="180"/>
    </row>
    <row r="399" spans="2:4" ht="13">
      <c r="B399" s="180"/>
      <c r="C399" s="180"/>
      <c r="D399" s="180"/>
    </row>
    <row r="400" spans="2:4" ht="13">
      <c r="B400" s="180"/>
      <c r="C400" s="180"/>
      <c r="D400" s="180"/>
    </row>
    <row r="401" spans="2:4" ht="13">
      <c r="B401" s="180"/>
      <c r="C401" s="180"/>
      <c r="D401" s="180"/>
    </row>
    <row r="402" spans="2:4" ht="13">
      <c r="B402" s="180"/>
      <c r="C402" s="180"/>
      <c r="D402" s="180"/>
    </row>
    <row r="403" spans="2:4" ht="13">
      <c r="B403" s="180"/>
      <c r="C403" s="180"/>
      <c r="D403" s="180"/>
    </row>
    <row r="404" spans="2:4" ht="13">
      <c r="B404" s="180"/>
      <c r="C404" s="180"/>
      <c r="D404" s="180"/>
    </row>
    <row r="405" spans="2:4" ht="13">
      <c r="B405" s="180"/>
      <c r="C405" s="180"/>
      <c r="D405" s="180"/>
    </row>
    <row r="406" spans="2:4" ht="13">
      <c r="B406" s="180"/>
      <c r="C406" s="180"/>
      <c r="D406" s="180"/>
    </row>
    <row r="407" spans="2:4" ht="13">
      <c r="B407" s="180"/>
      <c r="C407" s="180"/>
      <c r="D407" s="180"/>
    </row>
    <row r="408" spans="2:4" ht="13">
      <c r="B408" s="180"/>
      <c r="C408" s="180"/>
      <c r="D408" s="180"/>
    </row>
    <row r="409" spans="2:4" ht="13">
      <c r="B409" s="180"/>
      <c r="C409" s="180"/>
      <c r="D409" s="180"/>
    </row>
    <row r="410" spans="2:4" ht="13">
      <c r="B410" s="180"/>
      <c r="C410" s="180"/>
      <c r="D410" s="180"/>
    </row>
    <row r="411" spans="2:4" ht="13">
      <c r="B411" s="180"/>
      <c r="C411" s="180"/>
      <c r="D411" s="180"/>
    </row>
    <row r="412" spans="2:4" ht="13">
      <c r="B412" s="180"/>
      <c r="C412" s="180"/>
      <c r="D412" s="180"/>
    </row>
    <row r="413" spans="2:4" ht="13">
      <c r="B413" s="180"/>
      <c r="C413" s="180"/>
      <c r="D413" s="180"/>
    </row>
    <row r="414" spans="2:4" ht="13">
      <c r="B414" s="180"/>
      <c r="C414" s="180"/>
      <c r="D414" s="180"/>
    </row>
    <row r="415" spans="2:4" ht="13">
      <c r="B415" s="180"/>
      <c r="C415" s="180"/>
      <c r="D415" s="180"/>
    </row>
    <row r="416" spans="2:4" ht="13">
      <c r="B416" s="180"/>
      <c r="C416" s="180"/>
      <c r="D416" s="180"/>
    </row>
    <row r="417" spans="2:4" ht="13">
      <c r="B417" s="180"/>
      <c r="C417" s="180"/>
      <c r="D417" s="180"/>
    </row>
    <row r="418" spans="2:4" ht="13">
      <c r="B418" s="180"/>
      <c r="C418" s="180"/>
      <c r="D418" s="180"/>
    </row>
    <row r="419" spans="2:4" ht="13">
      <c r="B419" s="180"/>
      <c r="C419" s="180"/>
      <c r="D419" s="180"/>
    </row>
    <row r="420" spans="2:4" ht="13">
      <c r="B420" s="180"/>
      <c r="C420" s="180"/>
      <c r="D420" s="180"/>
    </row>
    <row r="421" spans="2:4" ht="13">
      <c r="B421" s="180"/>
      <c r="C421" s="180"/>
      <c r="D421" s="180"/>
    </row>
    <row r="422" spans="2:4" ht="13">
      <c r="B422" s="180"/>
      <c r="C422" s="180"/>
      <c r="D422" s="180"/>
    </row>
    <row r="423" spans="2:4" ht="13">
      <c r="B423" s="180"/>
      <c r="C423" s="180"/>
      <c r="D423" s="180"/>
    </row>
    <row r="424" spans="2:4" ht="13">
      <c r="B424" s="180"/>
      <c r="C424" s="180"/>
      <c r="D424" s="180"/>
    </row>
    <row r="425" spans="2:4" ht="13">
      <c r="B425" s="180"/>
      <c r="C425" s="180"/>
      <c r="D425" s="180"/>
    </row>
    <row r="426" spans="2:4" ht="13">
      <c r="B426" s="180"/>
      <c r="C426" s="180"/>
      <c r="D426" s="180"/>
    </row>
    <row r="427" spans="2:4" ht="13">
      <c r="B427" s="180"/>
      <c r="C427" s="180"/>
      <c r="D427" s="180"/>
    </row>
    <row r="428" spans="2:4" ht="13">
      <c r="B428" s="180"/>
      <c r="C428" s="180"/>
      <c r="D428" s="180"/>
    </row>
    <row r="429" spans="2:4" ht="13">
      <c r="B429" s="180"/>
      <c r="C429" s="180"/>
      <c r="D429" s="180"/>
    </row>
    <row r="430" spans="2:4" ht="13">
      <c r="B430" s="180"/>
      <c r="C430" s="180"/>
      <c r="D430" s="180"/>
    </row>
    <row r="431" spans="2:4" ht="13">
      <c r="B431" s="180"/>
      <c r="C431" s="180"/>
      <c r="D431" s="180"/>
    </row>
    <row r="432" spans="2:4" ht="13">
      <c r="B432" s="180"/>
      <c r="C432" s="180"/>
      <c r="D432" s="180"/>
    </row>
    <row r="433" spans="2:4" ht="13">
      <c r="B433" s="180"/>
      <c r="C433" s="180"/>
      <c r="D433" s="180"/>
    </row>
    <row r="434" spans="2:4" ht="13">
      <c r="B434" s="180"/>
      <c r="C434" s="180"/>
      <c r="D434" s="180"/>
    </row>
    <row r="435" spans="2:4" ht="13">
      <c r="B435" s="180"/>
      <c r="C435" s="180"/>
      <c r="D435" s="180"/>
    </row>
    <row r="436" spans="2:4" ht="13">
      <c r="B436" s="180"/>
      <c r="C436" s="180"/>
      <c r="D436" s="180"/>
    </row>
    <row r="437" spans="2:4" ht="13">
      <c r="B437" s="180"/>
      <c r="C437" s="180"/>
      <c r="D437" s="180"/>
    </row>
    <row r="438" spans="2:4" ht="13">
      <c r="B438" s="180"/>
      <c r="C438" s="180"/>
      <c r="D438" s="180"/>
    </row>
    <row r="439" spans="2:4" ht="13">
      <c r="B439" s="180"/>
      <c r="C439" s="180"/>
      <c r="D439" s="180"/>
    </row>
    <row r="440" spans="2:4" ht="13">
      <c r="B440" s="180"/>
      <c r="C440" s="180"/>
      <c r="D440" s="180"/>
    </row>
    <row r="441" spans="2:4" ht="13">
      <c r="B441" s="180"/>
      <c r="C441" s="180"/>
      <c r="D441" s="180"/>
    </row>
    <row r="442" spans="2:4" ht="13">
      <c r="B442" s="180"/>
      <c r="C442" s="180"/>
      <c r="D442" s="180"/>
    </row>
    <row r="443" spans="2:4" ht="13">
      <c r="B443" s="180"/>
      <c r="C443" s="180"/>
      <c r="D443" s="180"/>
    </row>
    <row r="444" spans="2:4" ht="13">
      <c r="B444" s="180"/>
      <c r="C444" s="180"/>
      <c r="D444" s="180"/>
    </row>
    <row r="445" spans="2:4" ht="13">
      <c r="B445" s="180"/>
      <c r="C445" s="180"/>
      <c r="D445" s="180"/>
    </row>
    <row r="446" spans="2:4" ht="13">
      <c r="B446" s="180"/>
      <c r="C446" s="180"/>
      <c r="D446" s="180"/>
    </row>
    <row r="447" spans="2:4" ht="13">
      <c r="B447" s="180"/>
      <c r="C447" s="180"/>
      <c r="D447" s="180"/>
    </row>
    <row r="448" spans="2:4" ht="13">
      <c r="B448" s="180"/>
      <c r="C448" s="180"/>
      <c r="D448" s="180"/>
    </row>
    <row r="449" spans="2:4" ht="13">
      <c r="B449" s="180"/>
      <c r="C449" s="180"/>
      <c r="D449" s="180"/>
    </row>
    <row r="450" spans="2:4" ht="13">
      <c r="B450" s="180"/>
      <c r="C450" s="180"/>
      <c r="D450" s="180"/>
    </row>
    <row r="451" spans="2:4" ht="13">
      <c r="B451" s="180"/>
      <c r="C451" s="180"/>
      <c r="D451" s="180"/>
    </row>
    <row r="452" spans="2:4" ht="13">
      <c r="B452" s="180"/>
      <c r="C452" s="180"/>
      <c r="D452" s="180"/>
    </row>
    <row r="453" spans="2:4" ht="13">
      <c r="B453" s="180"/>
      <c r="C453" s="180"/>
      <c r="D453" s="180"/>
    </row>
    <row r="454" spans="2:4" ht="13">
      <c r="B454" s="180"/>
      <c r="C454" s="180"/>
      <c r="D454" s="180"/>
    </row>
    <row r="455" spans="2:4" ht="13">
      <c r="B455" s="180"/>
      <c r="C455" s="180"/>
      <c r="D455" s="180"/>
    </row>
    <row r="456" spans="2:4" ht="13">
      <c r="B456" s="180"/>
      <c r="C456" s="180"/>
      <c r="D456" s="180"/>
    </row>
    <row r="457" spans="2:4" ht="13">
      <c r="B457" s="180"/>
      <c r="C457" s="180"/>
      <c r="D457" s="180"/>
    </row>
    <row r="458" spans="2:4" ht="13">
      <c r="B458" s="180"/>
      <c r="C458" s="180"/>
      <c r="D458" s="180"/>
    </row>
    <row r="459" spans="2:4" ht="13">
      <c r="B459" s="180"/>
      <c r="C459" s="180"/>
      <c r="D459" s="180"/>
    </row>
    <row r="460" spans="2:4" ht="13">
      <c r="B460" s="180"/>
      <c r="C460" s="180"/>
      <c r="D460" s="180"/>
    </row>
    <row r="461" spans="2:4" ht="13">
      <c r="B461" s="180"/>
      <c r="C461" s="180"/>
      <c r="D461" s="180"/>
    </row>
    <row r="462" spans="2:4" ht="13">
      <c r="B462" s="180"/>
      <c r="C462" s="180"/>
      <c r="D462" s="180"/>
    </row>
    <row r="463" spans="2:4" ht="13">
      <c r="B463" s="180"/>
      <c r="C463" s="180"/>
      <c r="D463" s="180"/>
    </row>
    <row r="464" spans="2:4" ht="13">
      <c r="B464" s="180"/>
      <c r="C464" s="180"/>
      <c r="D464" s="180"/>
    </row>
    <row r="465" spans="2:4" ht="13">
      <c r="B465" s="180"/>
      <c r="C465" s="180"/>
      <c r="D465" s="180"/>
    </row>
    <row r="466" spans="2:4" ht="13">
      <c r="B466" s="180"/>
      <c r="C466" s="180"/>
      <c r="D466" s="180"/>
    </row>
    <row r="467" spans="2:4" ht="13">
      <c r="B467" s="180"/>
      <c r="C467" s="180"/>
      <c r="D467" s="180"/>
    </row>
    <row r="468" spans="2:4" ht="13">
      <c r="B468" s="180"/>
      <c r="C468" s="180"/>
      <c r="D468" s="180"/>
    </row>
    <row r="469" spans="2:4" ht="13">
      <c r="B469" s="180"/>
      <c r="C469" s="180"/>
      <c r="D469" s="180"/>
    </row>
    <row r="470" spans="2:4" ht="13">
      <c r="B470" s="180"/>
      <c r="C470" s="180"/>
      <c r="D470" s="180"/>
    </row>
    <row r="471" spans="2:4" ht="13">
      <c r="B471" s="180"/>
      <c r="C471" s="180"/>
      <c r="D471" s="180"/>
    </row>
    <row r="472" spans="2:4" ht="13">
      <c r="B472" s="180"/>
      <c r="C472" s="180"/>
      <c r="D472" s="180"/>
    </row>
    <row r="473" spans="2:4" ht="13">
      <c r="B473" s="180"/>
      <c r="C473" s="180"/>
      <c r="D473" s="180"/>
    </row>
    <row r="474" spans="2:4" ht="13">
      <c r="B474" s="180"/>
      <c r="C474" s="180"/>
      <c r="D474" s="180"/>
    </row>
    <row r="475" spans="2:4" ht="13">
      <c r="B475" s="180"/>
      <c r="C475" s="180"/>
      <c r="D475" s="180"/>
    </row>
    <row r="476" spans="2:4" ht="13">
      <c r="B476" s="180"/>
      <c r="C476" s="180"/>
      <c r="D476" s="180"/>
    </row>
    <row r="477" spans="2:4" ht="13">
      <c r="B477" s="180"/>
      <c r="C477" s="180"/>
      <c r="D477" s="180"/>
    </row>
    <row r="478" spans="2:4" ht="13">
      <c r="B478" s="180"/>
      <c r="C478" s="180"/>
      <c r="D478" s="180"/>
    </row>
    <row r="479" spans="2:4" ht="13">
      <c r="B479" s="180"/>
      <c r="C479" s="180"/>
      <c r="D479" s="180"/>
    </row>
    <row r="480" spans="2:4" ht="13">
      <c r="B480" s="180"/>
      <c r="C480" s="180"/>
      <c r="D480" s="180"/>
    </row>
    <row r="481" spans="2:4" ht="13">
      <c r="B481" s="180"/>
      <c r="C481" s="180"/>
      <c r="D481" s="180"/>
    </row>
    <row r="482" spans="2:4" ht="13">
      <c r="B482" s="180"/>
      <c r="C482" s="180"/>
      <c r="D482" s="180"/>
    </row>
    <row r="483" spans="2:4" ht="13">
      <c r="B483" s="180"/>
      <c r="C483" s="180"/>
      <c r="D483" s="180"/>
    </row>
    <row r="484" spans="2:4" ht="13">
      <c r="B484" s="180"/>
      <c r="C484" s="180"/>
      <c r="D484" s="180"/>
    </row>
    <row r="485" spans="2:4" ht="13">
      <c r="B485" s="180"/>
      <c r="C485" s="180"/>
      <c r="D485" s="180"/>
    </row>
    <row r="486" spans="2:4" ht="13">
      <c r="B486" s="180"/>
      <c r="C486" s="180"/>
      <c r="D486" s="180"/>
    </row>
    <row r="487" spans="2:4" ht="13">
      <c r="B487" s="180"/>
      <c r="C487" s="180"/>
      <c r="D487" s="180"/>
    </row>
    <row r="488" spans="2:4" ht="13">
      <c r="B488" s="180"/>
      <c r="C488" s="180"/>
      <c r="D488" s="180"/>
    </row>
    <row r="489" spans="2:4" ht="13">
      <c r="B489" s="180"/>
      <c r="C489" s="180"/>
      <c r="D489" s="180"/>
    </row>
    <row r="490" spans="2:4" ht="13">
      <c r="B490" s="180"/>
      <c r="C490" s="180"/>
      <c r="D490" s="180"/>
    </row>
    <row r="491" spans="2:4" ht="13">
      <c r="B491" s="180"/>
      <c r="C491" s="180"/>
      <c r="D491" s="180"/>
    </row>
    <row r="492" spans="2:4" ht="13">
      <c r="B492" s="180"/>
      <c r="C492" s="180"/>
      <c r="D492" s="180"/>
    </row>
    <row r="493" spans="2:4" ht="13">
      <c r="B493" s="180"/>
      <c r="C493" s="180"/>
      <c r="D493" s="180"/>
    </row>
    <row r="494" spans="2:4" ht="13">
      <c r="B494" s="180"/>
      <c r="C494" s="180"/>
      <c r="D494" s="180"/>
    </row>
    <row r="495" spans="2:4" ht="13">
      <c r="B495" s="180"/>
      <c r="C495" s="180"/>
      <c r="D495" s="180"/>
    </row>
    <row r="496" spans="2:4" ht="13">
      <c r="B496" s="180"/>
      <c r="C496" s="180"/>
      <c r="D496" s="180"/>
    </row>
    <row r="497" spans="2:4" ht="13">
      <c r="B497" s="180"/>
      <c r="C497" s="180"/>
      <c r="D497" s="180"/>
    </row>
    <row r="498" spans="2:4" ht="13">
      <c r="B498" s="180"/>
      <c r="C498" s="180"/>
      <c r="D498" s="180"/>
    </row>
    <row r="499" spans="2:4" ht="13">
      <c r="B499" s="180"/>
      <c r="C499" s="180"/>
      <c r="D499" s="180"/>
    </row>
    <row r="500" spans="2:4" ht="13">
      <c r="B500" s="180"/>
      <c r="C500" s="180"/>
      <c r="D500" s="180"/>
    </row>
    <row r="501" spans="2:4" ht="13">
      <c r="B501" s="180"/>
      <c r="C501" s="180"/>
      <c r="D501" s="180"/>
    </row>
    <row r="502" spans="2:4" ht="13">
      <c r="B502" s="180"/>
      <c r="C502" s="180"/>
      <c r="D502" s="180"/>
    </row>
    <row r="503" spans="2:4" ht="13">
      <c r="B503" s="180"/>
      <c r="C503" s="180"/>
      <c r="D503" s="180"/>
    </row>
    <row r="504" spans="2:4" ht="13">
      <c r="B504" s="180"/>
      <c r="C504" s="180"/>
      <c r="D504" s="180"/>
    </row>
    <row r="505" spans="2:4" ht="13">
      <c r="B505" s="180"/>
      <c r="C505" s="180"/>
      <c r="D505" s="180"/>
    </row>
    <row r="506" spans="2:4" ht="13">
      <c r="B506" s="180"/>
      <c r="C506" s="180"/>
      <c r="D506" s="180"/>
    </row>
    <row r="507" spans="2:4" ht="13">
      <c r="B507" s="180"/>
      <c r="C507" s="180"/>
      <c r="D507" s="180"/>
    </row>
    <row r="508" spans="2:4" ht="13">
      <c r="B508" s="180"/>
      <c r="C508" s="180"/>
      <c r="D508" s="180"/>
    </row>
    <row r="509" spans="2:4" ht="13">
      <c r="B509" s="180"/>
      <c r="C509" s="180"/>
      <c r="D509" s="180"/>
    </row>
    <row r="510" spans="2:4" ht="13">
      <c r="B510" s="180"/>
      <c r="C510" s="180"/>
      <c r="D510" s="180"/>
    </row>
    <row r="511" spans="2:4" ht="13">
      <c r="B511" s="180"/>
      <c r="C511" s="180"/>
      <c r="D511" s="180"/>
    </row>
    <row r="512" spans="2:4" ht="13">
      <c r="B512" s="180"/>
      <c r="C512" s="180"/>
      <c r="D512" s="180"/>
    </row>
    <row r="513" spans="2:4" ht="13">
      <c r="B513" s="180"/>
      <c r="C513" s="180"/>
      <c r="D513" s="180"/>
    </row>
    <row r="514" spans="2:4" ht="13">
      <c r="B514" s="180"/>
      <c r="C514" s="180"/>
      <c r="D514" s="180"/>
    </row>
    <row r="515" spans="2:4" ht="13">
      <c r="B515" s="180"/>
      <c r="C515" s="180"/>
      <c r="D515" s="180"/>
    </row>
    <row r="516" spans="2:4" ht="13">
      <c r="B516" s="180"/>
      <c r="C516" s="180"/>
      <c r="D516" s="180"/>
    </row>
    <row r="517" spans="2:4" ht="13">
      <c r="B517" s="180"/>
      <c r="C517" s="180"/>
      <c r="D517" s="180"/>
    </row>
    <row r="518" spans="2:4" ht="13">
      <c r="B518" s="180"/>
      <c r="C518" s="180"/>
      <c r="D518" s="180"/>
    </row>
    <row r="519" spans="2:4" ht="13">
      <c r="B519" s="180"/>
      <c r="C519" s="180"/>
      <c r="D519" s="180"/>
    </row>
    <row r="520" spans="2:4" ht="13">
      <c r="B520" s="180"/>
      <c r="C520" s="180"/>
      <c r="D520" s="180"/>
    </row>
    <row r="521" spans="2:4" ht="13">
      <c r="B521" s="180"/>
      <c r="C521" s="180"/>
      <c r="D521" s="180"/>
    </row>
    <row r="522" spans="2:4" ht="13">
      <c r="B522" s="180"/>
      <c r="C522" s="180"/>
      <c r="D522" s="180"/>
    </row>
    <row r="523" spans="2:4" ht="13">
      <c r="B523" s="180"/>
      <c r="C523" s="180"/>
      <c r="D523" s="180"/>
    </row>
    <row r="524" spans="2:4" ht="13">
      <c r="B524" s="180"/>
      <c r="C524" s="180"/>
      <c r="D524" s="180"/>
    </row>
    <row r="525" spans="2:4" ht="13">
      <c r="B525" s="180"/>
      <c r="C525" s="180"/>
      <c r="D525" s="180"/>
    </row>
    <row r="526" spans="2:4" ht="13">
      <c r="B526" s="180"/>
      <c r="C526" s="180"/>
      <c r="D526" s="180"/>
    </row>
    <row r="527" spans="2:4" ht="13">
      <c r="B527" s="180"/>
      <c r="C527" s="180"/>
      <c r="D527" s="180"/>
    </row>
    <row r="528" spans="2:4" ht="13">
      <c r="B528" s="180"/>
      <c r="C528" s="180"/>
      <c r="D528" s="180"/>
    </row>
    <row r="529" spans="2:4" ht="13">
      <c r="B529" s="180"/>
      <c r="C529" s="180"/>
      <c r="D529" s="180"/>
    </row>
    <row r="530" spans="2:4" ht="13">
      <c r="B530" s="180"/>
      <c r="C530" s="180"/>
      <c r="D530" s="180"/>
    </row>
    <row r="531" spans="2:4" ht="13">
      <c r="B531" s="180"/>
      <c r="C531" s="180"/>
      <c r="D531" s="180"/>
    </row>
    <row r="532" spans="2:4" ht="13">
      <c r="B532" s="180"/>
      <c r="C532" s="180"/>
      <c r="D532" s="180"/>
    </row>
    <row r="533" spans="2:4" ht="13">
      <c r="B533" s="180"/>
      <c r="C533" s="180"/>
      <c r="D533" s="180"/>
    </row>
    <row r="534" spans="2:4" ht="13">
      <c r="B534" s="180"/>
      <c r="C534" s="180"/>
      <c r="D534" s="180"/>
    </row>
    <row r="535" spans="2:4" ht="13">
      <c r="B535" s="180"/>
      <c r="C535" s="180"/>
      <c r="D535" s="180"/>
    </row>
    <row r="536" spans="2:4" ht="13">
      <c r="B536" s="180"/>
      <c r="C536" s="180"/>
      <c r="D536" s="180"/>
    </row>
    <row r="537" spans="2:4" ht="13">
      <c r="B537" s="180"/>
      <c r="C537" s="180"/>
      <c r="D537" s="180"/>
    </row>
    <row r="538" spans="2:4" ht="13">
      <c r="B538" s="180"/>
      <c r="C538" s="180"/>
      <c r="D538" s="180"/>
    </row>
    <row r="539" spans="2:4" ht="13">
      <c r="B539" s="180"/>
      <c r="C539" s="180"/>
      <c r="D539" s="180"/>
    </row>
    <row r="540" spans="2:4" ht="13">
      <c r="B540" s="180"/>
      <c r="C540" s="180"/>
      <c r="D540" s="180"/>
    </row>
    <row r="541" spans="2:4" ht="13">
      <c r="B541" s="180"/>
      <c r="C541" s="180"/>
      <c r="D541" s="180"/>
    </row>
    <row r="542" spans="2:4" ht="13">
      <c r="B542" s="180"/>
      <c r="C542" s="180"/>
      <c r="D542" s="180"/>
    </row>
    <row r="543" spans="2:4" ht="13">
      <c r="B543" s="180"/>
      <c r="C543" s="180"/>
      <c r="D543" s="180"/>
    </row>
    <row r="544" spans="2:4" ht="13">
      <c r="B544" s="180"/>
      <c r="C544" s="180"/>
      <c r="D544" s="180"/>
    </row>
    <row r="545" spans="2:4" ht="13">
      <c r="B545" s="180"/>
      <c r="C545" s="180"/>
      <c r="D545" s="180"/>
    </row>
    <row r="546" spans="2:4" ht="13">
      <c r="B546" s="180"/>
      <c r="C546" s="180"/>
      <c r="D546" s="180"/>
    </row>
    <row r="547" spans="2:4" ht="13">
      <c r="B547" s="180"/>
      <c r="C547" s="180"/>
      <c r="D547" s="180"/>
    </row>
    <row r="548" spans="2:4" ht="13">
      <c r="B548" s="180"/>
      <c r="C548" s="180"/>
      <c r="D548" s="180"/>
    </row>
    <row r="549" spans="2:4" ht="13">
      <c r="B549" s="180"/>
      <c r="C549" s="180"/>
      <c r="D549" s="180"/>
    </row>
    <row r="550" spans="2:4" ht="13">
      <c r="B550" s="180"/>
      <c r="C550" s="180"/>
      <c r="D550" s="180"/>
    </row>
    <row r="551" spans="2:4" ht="13">
      <c r="B551" s="180"/>
      <c r="C551" s="180"/>
      <c r="D551" s="180"/>
    </row>
    <row r="552" spans="2:4" ht="13">
      <c r="B552" s="180"/>
      <c r="C552" s="180"/>
      <c r="D552" s="180"/>
    </row>
    <row r="553" spans="2:4" ht="13">
      <c r="B553" s="180"/>
      <c r="C553" s="180"/>
      <c r="D553" s="180"/>
    </row>
    <row r="554" spans="2:4" ht="13">
      <c r="B554" s="180"/>
      <c r="C554" s="180"/>
      <c r="D554" s="180"/>
    </row>
    <row r="555" spans="2:4" ht="13">
      <c r="B555" s="180"/>
      <c r="C555" s="180"/>
      <c r="D555" s="180"/>
    </row>
    <row r="556" spans="2:4" ht="13">
      <c r="B556" s="180"/>
      <c r="C556" s="180"/>
      <c r="D556" s="180"/>
    </row>
    <row r="557" spans="2:4" ht="13">
      <c r="B557" s="180"/>
      <c r="C557" s="180"/>
      <c r="D557" s="180"/>
    </row>
    <row r="558" spans="2:4" ht="13">
      <c r="B558" s="180"/>
      <c r="C558" s="180"/>
      <c r="D558" s="180"/>
    </row>
    <row r="559" spans="2:4" ht="13">
      <c r="B559" s="180"/>
      <c r="C559" s="180"/>
      <c r="D559" s="180"/>
    </row>
    <row r="560" spans="2:4" ht="13">
      <c r="B560" s="180"/>
      <c r="C560" s="180"/>
      <c r="D560" s="180"/>
    </row>
    <row r="561" spans="2:4" ht="13">
      <c r="B561" s="180"/>
      <c r="C561" s="180"/>
      <c r="D561" s="180"/>
    </row>
    <row r="562" spans="2:4" ht="13">
      <c r="B562" s="180"/>
      <c r="C562" s="180"/>
      <c r="D562" s="180"/>
    </row>
    <row r="563" spans="2:4" ht="13">
      <c r="B563" s="180"/>
      <c r="C563" s="180"/>
      <c r="D563" s="180"/>
    </row>
    <row r="564" spans="2:4" ht="13">
      <c r="B564" s="180"/>
      <c r="C564" s="180"/>
      <c r="D564" s="180"/>
    </row>
    <row r="565" spans="2:4" ht="13">
      <c r="B565" s="180"/>
      <c r="C565" s="180"/>
      <c r="D565" s="180"/>
    </row>
    <row r="566" spans="2:4" ht="13">
      <c r="B566" s="180"/>
      <c r="C566" s="180"/>
      <c r="D566" s="180"/>
    </row>
    <row r="567" spans="2:4" ht="13">
      <c r="B567" s="180"/>
      <c r="C567" s="180"/>
      <c r="D567" s="180"/>
    </row>
    <row r="568" spans="2:4" ht="13">
      <c r="B568" s="180"/>
      <c r="C568" s="180"/>
      <c r="D568" s="180"/>
    </row>
    <row r="569" spans="2:4" ht="13">
      <c r="B569" s="180"/>
      <c r="C569" s="180"/>
      <c r="D569" s="180"/>
    </row>
    <row r="570" spans="2:4" ht="13">
      <c r="B570" s="180"/>
      <c r="C570" s="180"/>
      <c r="D570" s="180"/>
    </row>
    <row r="571" spans="2:4" ht="13">
      <c r="B571" s="180"/>
      <c r="C571" s="180"/>
      <c r="D571" s="180"/>
    </row>
    <row r="572" spans="2:4" ht="13">
      <c r="B572" s="180"/>
      <c r="C572" s="180"/>
      <c r="D572" s="180"/>
    </row>
    <row r="573" spans="2:4" ht="13">
      <c r="B573" s="180"/>
      <c r="C573" s="180"/>
      <c r="D573" s="180"/>
    </row>
    <row r="574" spans="2:4" ht="13">
      <c r="B574" s="180"/>
      <c r="C574" s="180"/>
      <c r="D574" s="180"/>
    </row>
    <row r="575" spans="2:4" ht="13">
      <c r="B575" s="180"/>
      <c r="C575" s="180"/>
      <c r="D575" s="180"/>
    </row>
    <row r="576" spans="2:4" ht="13">
      <c r="B576" s="180"/>
      <c r="C576" s="180"/>
      <c r="D576" s="180"/>
    </row>
    <row r="577" spans="2:4" ht="13">
      <c r="B577" s="180"/>
      <c r="C577" s="180"/>
      <c r="D577" s="180"/>
    </row>
    <row r="578" spans="2:4" ht="13">
      <c r="B578" s="180"/>
      <c r="C578" s="180"/>
      <c r="D578" s="180"/>
    </row>
    <row r="579" spans="2:4" ht="13">
      <c r="B579" s="180"/>
      <c r="C579" s="180"/>
      <c r="D579" s="180"/>
    </row>
    <row r="580" spans="2:4" ht="13">
      <c r="B580" s="180"/>
      <c r="C580" s="180"/>
      <c r="D580" s="180"/>
    </row>
    <row r="581" spans="2:4" ht="13">
      <c r="B581" s="180"/>
      <c r="C581" s="180"/>
      <c r="D581" s="180"/>
    </row>
    <row r="582" spans="2:4" ht="13">
      <c r="B582" s="180"/>
      <c r="C582" s="180"/>
      <c r="D582" s="180"/>
    </row>
    <row r="583" spans="2:4" ht="13">
      <c r="B583" s="180"/>
      <c r="C583" s="180"/>
      <c r="D583" s="180"/>
    </row>
    <row r="584" spans="2:4" ht="13">
      <c r="B584" s="180"/>
      <c r="C584" s="180"/>
      <c r="D584" s="180"/>
    </row>
    <row r="585" spans="2:4" ht="13">
      <c r="B585" s="180"/>
      <c r="C585" s="180"/>
      <c r="D585" s="180"/>
    </row>
    <row r="586" spans="2:4" ht="13">
      <c r="B586" s="180"/>
      <c r="C586" s="180"/>
      <c r="D586" s="180"/>
    </row>
    <row r="587" spans="2:4" ht="13">
      <c r="B587" s="180"/>
      <c r="C587" s="180"/>
      <c r="D587" s="180"/>
    </row>
    <row r="588" spans="2:4" ht="13">
      <c r="B588" s="180"/>
      <c r="C588" s="180"/>
      <c r="D588" s="180"/>
    </row>
    <row r="589" spans="2:4" ht="13">
      <c r="B589" s="180"/>
      <c r="C589" s="180"/>
      <c r="D589" s="180"/>
    </row>
    <row r="590" spans="2:4" ht="13">
      <c r="B590" s="180"/>
      <c r="C590" s="180"/>
      <c r="D590" s="180"/>
    </row>
    <row r="591" spans="2:4" ht="13">
      <c r="B591" s="180"/>
      <c r="C591" s="180"/>
      <c r="D591" s="180"/>
    </row>
    <row r="592" spans="2:4" ht="13">
      <c r="B592" s="180"/>
      <c r="C592" s="180"/>
      <c r="D592" s="180"/>
    </row>
    <row r="593" spans="2:4" ht="13">
      <c r="B593" s="180"/>
      <c r="C593" s="180"/>
      <c r="D593" s="180"/>
    </row>
    <row r="594" spans="2:4" ht="13">
      <c r="B594" s="180"/>
      <c r="C594" s="180"/>
      <c r="D594" s="180"/>
    </row>
    <row r="595" spans="2:4" ht="13">
      <c r="B595" s="180"/>
      <c r="C595" s="180"/>
      <c r="D595" s="180"/>
    </row>
    <row r="596" spans="2:4" ht="13">
      <c r="B596" s="180"/>
      <c r="C596" s="180"/>
      <c r="D596" s="180"/>
    </row>
    <row r="597" spans="2:4" ht="13">
      <c r="B597" s="180"/>
      <c r="C597" s="180"/>
      <c r="D597" s="180"/>
    </row>
    <row r="598" spans="2:4" ht="13">
      <c r="B598" s="180"/>
      <c r="C598" s="180"/>
      <c r="D598" s="180"/>
    </row>
    <row r="599" spans="2:4" ht="13">
      <c r="B599" s="180"/>
      <c r="C599" s="180"/>
      <c r="D599" s="180"/>
    </row>
    <row r="600" spans="2:4" ht="13">
      <c r="B600" s="180"/>
      <c r="C600" s="180"/>
      <c r="D600" s="180"/>
    </row>
    <row r="601" spans="2:4" ht="13">
      <c r="B601" s="180"/>
      <c r="C601" s="180"/>
      <c r="D601" s="180"/>
    </row>
    <row r="602" spans="2:4" ht="13">
      <c r="B602" s="180"/>
      <c r="C602" s="180"/>
      <c r="D602" s="180"/>
    </row>
    <row r="603" spans="2:4" ht="13">
      <c r="B603" s="180"/>
      <c r="C603" s="180"/>
      <c r="D603" s="180"/>
    </row>
    <row r="604" spans="2:4" ht="13">
      <c r="B604" s="180"/>
      <c r="C604" s="180"/>
      <c r="D604" s="180"/>
    </row>
    <row r="605" spans="2:4" ht="13">
      <c r="B605" s="180"/>
      <c r="C605" s="180"/>
      <c r="D605" s="180"/>
    </row>
    <row r="606" spans="2:4" ht="13">
      <c r="B606" s="180"/>
      <c r="C606" s="180"/>
      <c r="D606" s="180"/>
    </row>
    <row r="607" spans="2:4" ht="13">
      <c r="B607" s="180"/>
      <c r="C607" s="180"/>
      <c r="D607" s="180"/>
    </row>
    <row r="608" spans="2:4" ht="13">
      <c r="B608" s="180"/>
      <c r="C608" s="180"/>
      <c r="D608" s="180"/>
    </row>
    <row r="609" spans="2:4" ht="13">
      <c r="B609" s="180"/>
      <c r="C609" s="180"/>
      <c r="D609" s="180"/>
    </row>
    <row r="610" spans="2:4" ht="13">
      <c r="B610" s="180"/>
      <c r="C610" s="180"/>
      <c r="D610" s="180"/>
    </row>
    <row r="611" spans="2:4" ht="13">
      <c r="B611" s="180"/>
      <c r="C611" s="180"/>
      <c r="D611" s="180"/>
    </row>
    <row r="612" spans="2:4" ht="13">
      <c r="B612" s="180"/>
      <c r="C612" s="180"/>
      <c r="D612" s="180"/>
    </row>
    <row r="613" spans="2:4" ht="13">
      <c r="B613" s="180"/>
      <c r="C613" s="180"/>
      <c r="D613" s="180"/>
    </row>
    <row r="614" spans="2:4" ht="13">
      <c r="B614" s="180"/>
      <c r="C614" s="180"/>
      <c r="D614" s="180"/>
    </row>
    <row r="615" spans="2:4" ht="13">
      <c r="B615" s="180"/>
      <c r="C615" s="180"/>
      <c r="D615" s="180"/>
    </row>
    <row r="616" spans="2:4" ht="13">
      <c r="B616" s="180"/>
      <c r="C616" s="180"/>
      <c r="D616" s="180"/>
    </row>
    <row r="617" spans="2:4" ht="13">
      <c r="B617" s="180"/>
      <c r="C617" s="180"/>
      <c r="D617" s="180"/>
    </row>
    <row r="618" spans="2:4" ht="13">
      <c r="B618" s="180"/>
      <c r="C618" s="180"/>
      <c r="D618" s="180"/>
    </row>
    <row r="619" spans="2:4" ht="13">
      <c r="B619" s="180"/>
      <c r="C619" s="180"/>
      <c r="D619" s="180"/>
    </row>
    <row r="620" spans="2:4" ht="13">
      <c r="B620" s="180"/>
      <c r="C620" s="180"/>
      <c r="D620" s="180"/>
    </row>
    <row r="621" spans="2:4" ht="13">
      <c r="B621" s="180"/>
      <c r="C621" s="180"/>
      <c r="D621" s="180"/>
    </row>
    <row r="622" spans="2:4" ht="13">
      <c r="B622" s="180"/>
      <c r="C622" s="180"/>
      <c r="D622" s="180"/>
    </row>
    <row r="623" spans="2:4" ht="13">
      <c r="B623" s="180"/>
      <c r="C623" s="180"/>
      <c r="D623" s="180"/>
    </row>
    <row r="624" spans="2:4" ht="13">
      <c r="B624" s="180"/>
      <c r="C624" s="180"/>
      <c r="D624" s="180"/>
    </row>
    <row r="625" spans="2:4" ht="13">
      <c r="B625" s="180"/>
      <c r="C625" s="180"/>
      <c r="D625" s="180"/>
    </row>
    <row r="626" spans="2:4" ht="13">
      <c r="B626" s="180"/>
      <c r="C626" s="180"/>
      <c r="D626" s="180"/>
    </row>
    <row r="627" spans="2:4" ht="13">
      <c r="B627" s="180"/>
      <c r="C627" s="180"/>
      <c r="D627" s="180"/>
    </row>
    <row r="628" spans="2:4" ht="13">
      <c r="B628" s="180"/>
      <c r="C628" s="180"/>
      <c r="D628" s="180"/>
    </row>
    <row r="629" spans="2:4" ht="13">
      <c r="B629" s="180"/>
      <c r="C629" s="180"/>
      <c r="D629" s="180"/>
    </row>
    <row r="630" spans="2:4" ht="13">
      <c r="B630" s="180"/>
      <c r="C630" s="180"/>
      <c r="D630" s="180"/>
    </row>
    <row r="631" spans="2:4" ht="13">
      <c r="B631" s="180"/>
      <c r="C631" s="180"/>
      <c r="D631" s="180"/>
    </row>
    <row r="632" spans="2:4" ht="13">
      <c r="B632" s="180"/>
      <c r="C632" s="180"/>
      <c r="D632" s="180"/>
    </row>
    <row r="633" spans="2:4" ht="13">
      <c r="B633" s="180"/>
      <c r="C633" s="180"/>
      <c r="D633" s="180"/>
    </row>
    <row r="634" spans="2:4" ht="13">
      <c r="B634" s="180"/>
      <c r="C634" s="180"/>
      <c r="D634" s="180"/>
    </row>
    <row r="635" spans="2:4" ht="13">
      <c r="B635" s="180"/>
      <c r="C635" s="180"/>
      <c r="D635" s="180"/>
    </row>
    <row r="636" spans="2:4" ht="13">
      <c r="B636" s="180"/>
      <c r="C636" s="180"/>
      <c r="D636" s="180"/>
    </row>
    <row r="637" spans="2:4" ht="13">
      <c r="B637" s="180"/>
      <c r="C637" s="180"/>
      <c r="D637" s="180"/>
    </row>
    <row r="638" spans="2:4" ht="13">
      <c r="B638" s="180"/>
      <c r="C638" s="180"/>
      <c r="D638" s="180"/>
    </row>
    <row r="639" spans="2:4" ht="13">
      <c r="B639" s="180"/>
      <c r="C639" s="180"/>
      <c r="D639" s="180"/>
    </row>
    <row r="640" spans="2:4" ht="13">
      <c r="B640" s="180"/>
      <c r="C640" s="180"/>
      <c r="D640" s="180"/>
    </row>
    <row r="641" spans="2:4" ht="13">
      <c r="B641" s="180"/>
      <c r="C641" s="180"/>
      <c r="D641" s="180"/>
    </row>
    <row r="642" spans="2:4" ht="13">
      <c r="B642" s="180"/>
      <c r="C642" s="180"/>
      <c r="D642" s="180"/>
    </row>
    <row r="643" spans="2:4" ht="13">
      <c r="B643" s="180"/>
      <c r="C643" s="180"/>
      <c r="D643" s="180"/>
    </row>
    <row r="644" spans="2:4" ht="13">
      <c r="B644" s="180"/>
      <c r="C644" s="180"/>
      <c r="D644" s="180"/>
    </row>
    <row r="645" spans="2:4" ht="13">
      <c r="B645" s="180"/>
      <c r="C645" s="180"/>
      <c r="D645" s="180"/>
    </row>
    <row r="646" spans="2:4" ht="13">
      <c r="B646" s="180"/>
      <c r="C646" s="180"/>
      <c r="D646" s="180"/>
    </row>
    <row r="647" spans="2:4" ht="13">
      <c r="B647" s="180"/>
      <c r="C647" s="180"/>
      <c r="D647" s="180"/>
    </row>
    <row r="648" spans="2:4" ht="13">
      <c r="B648" s="180"/>
      <c r="C648" s="180"/>
      <c r="D648" s="180"/>
    </row>
    <row r="649" spans="2:4" ht="13">
      <c r="B649" s="180"/>
      <c r="C649" s="180"/>
      <c r="D649" s="180"/>
    </row>
    <row r="650" spans="2:4" ht="13">
      <c r="B650" s="180"/>
      <c r="C650" s="180"/>
      <c r="D650" s="180"/>
    </row>
    <row r="651" spans="2:4" ht="13">
      <c r="B651" s="180"/>
      <c r="C651" s="180"/>
      <c r="D651" s="180"/>
    </row>
    <row r="652" spans="2:4" ht="13">
      <c r="B652" s="180"/>
      <c r="C652" s="180"/>
      <c r="D652" s="180"/>
    </row>
    <row r="653" spans="2:4" ht="13">
      <c r="B653" s="180"/>
      <c r="C653" s="180"/>
      <c r="D653" s="180"/>
    </row>
    <row r="654" spans="2:4" ht="13">
      <c r="B654" s="180"/>
      <c r="C654" s="180"/>
      <c r="D654" s="180"/>
    </row>
    <row r="655" spans="2:4" ht="13">
      <c r="B655" s="180"/>
      <c r="C655" s="180"/>
      <c r="D655" s="180"/>
    </row>
    <row r="656" spans="2:4" ht="13">
      <c r="B656" s="180"/>
      <c r="C656" s="180"/>
      <c r="D656" s="180"/>
    </row>
    <row r="657" spans="2:4" ht="13">
      <c r="B657" s="180"/>
      <c r="C657" s="180"/>
      <c r="D657" s="180"/>
    </row>
    <row r="658" spans="2:4" ht="13">
      <c r="B658" s="180"/>
      <c r="C658" s="180"/>
      <c r="D658" s="180"/>
    </row>
    <row r="659" spans="2:4" ht="13">
      <c r="B659" s="180"/>
      <c r="C659" s="180"/>
      <c r="D659" s="180"/>
    </row>
    <row r="660" spans="2:4" ht="13">
      <c r="B660" s="180"/>
      <c r="C660" s="180"/>
      <c r="D660" s="180"/>
    </row>
    <row r="661" spans="2:4" ht="13">
      <c r="B661" s="180"/>
      <c r="C661" s="180"/>
      <c r="D661" s="180"/>
    </row>
    <row r="662" spans="2:4" ht="13">
      <c r="B662" s="180"/>
      <c r="C662" s="180"/>
      <c r="D662" s="180"/>
    </row>
    <row r="663" spans="2:4" ht="13">
      <c r="B663" s="180"/>
      <c r="C663" s="180"/>
      <c r="D663" s="180"/>
    </row>
    <row r="664" spans="2:4" ht="13">
      <c r="B664" s="180"/>
      <c r="C664" s="180"/>
      <c r="D664" s="180"/>
    </row>
    <row r="665" spans="2:4" ht="13">
      <c r="B665" s="180"/>
      <c r="C665" s="180"/>
      <c r="D665" s="180"/>
    </row>
    <row r="666" spans="2:4" ht="13">
      <c r="B666" s="180"/>
      <c r="C666" s="180"/>
      <c r="D666" s="180"/>
    </row>
    <row r="667" spans="2:4" ht="13">
      <c r="B667" s="180"/>
      <c r="C667" s="180"/>
      <c r="D667" s="180"/>
    </row>
    <row r="668" spans="2:4" ht="13">
      <c r="B668" s="180"/>
      <c r="C668" s="180"/>
      <c r="D668" s="180"/>
    </row>
    <row r="669" spans="2:4" ht="13">
      <c r="B669" s="180"/>
      <c r="C669" s="180"/>
      <c r="D669" s="180"/>
    </row>
    <row r="670" spans="2:4" ht="13">
      <c r="B670" s="180"/>
      <c r="C670" s="180"/>
      <c r="D670" s="180"/>
    </row>
    <row r="671" spans="2:4" ht="13">
      <c r="B671" s="180"/>
      <c r="C671" s="180"/>
      <c r="D671" s="180"/>
    </row>
    <row r="672" spans="2:4" ht="13">
      <c r="B672" s="180"/>
      <c r="C672" s="180"/>
      <c r="D672" s="180"/>
    </row>
    <row r="673" spans="2:4" ht="13">
      <c r="B673" s="180"/>
      <c r="C673" s="180"/>
      <c r="D673" s="180"/>
    </row>
    <row r="674" spans="2:4" ht="13">
      <c r="B674" s="180"/>
      <c r="C674" s="180"/>
      <c r="D674" s="180"/>
    </row>
    <row r="675" spans="2:4" ht="13">
      <c r="B675" s="180"/>
      <c r="C675" s="180"/>
      <c r="D675" s="180"/>
    </row>
    <row r="676" spans="2:4" ht="13">
      <c r="B676" s="180"/>
      <c r="C676" s="180"/>
      <c r="D676" s="180"/>
    </row>
    <row r="677" spans="2:4" ht="13">
      <c r="B677" s="180"/>
      <c r="C677" s="180"/>
      <c r="D677" s="180"/>
    </row>
    <row r="678" spans="2:4" ht="13">
      <c r="B678" s="180"/>
      <c r="C678" s="180"/>
      <c r="D678" s="180"/>
    </row>
    <row r="679" spans="2:4" ht="13">
      <c r="B679" s="180"/>
      <c r="C679" s="180"/>
      <c r="D679" s="180"/>
    </row>
    <row r="680" spans="2:4" ht="13">
      <c r="B680" s="180"/>
      <c r="C680" s="180"/>
      <c r="D680" s="180"/>
    </row>
    <row r="681" spans="2:4" ht="13">
      <c r="B681" s="180"/>
      <c r="C681" s="180"/>
      <c r="D681" s="180"/>
    </row>
    <row r="682" spans="2:4" ht="13">
      <c r="B682" s="180"/>
      <c r="C682" s="180"/>
      <c r="D682" s="180"/>
    </row>
    <row r="683" spans="2:4" ht="13">
      <c r="B683" s="180"/>
      <c r="C683" s="180"/>
      <c r="D683" s="180"/>
    </row>
    <row r="684" spans="2:4" ht="13">
      <c r="B684" s="180"/>
      <c r="C684" s="180"/>
      <c r="D684" s="180"/>
    </row>
    <row r="685" spans="2:4" ht="13">
      <c r="B685" s="180"/>
      <c r="C685" s="180"/>
      <c r="D685" s="180"/>
    </row>
    <row r="686" spans="2:4" ht="13">
      <c r="B686" s="180"/>
      <c r="C686" s="180"/>
      <c r="D686" s="180"/>
    </row>
    <row r="687" spans="2:4" ht="13">
      <c r="B687" s="180"/>
      <c r="C687" s="180"/>
      <c r="D687" s="180"/>
    </row>
    <row r="688" spans="2:4" ht="13">
      <c r="B688" s="180"/>
      <c r="C688" s="180"/>
      <c r="D688" s="180"/>
    </row>
    <row r="689" spans="2:4" ht="13">
      <c r="B689" s="180"/>
      <c r="C689" s="180"/>
      <c r="D689" s="180"/>
    </row>
    <row r="690" spans="2:4" ht="13">
      <c r="B690" s="180"/>
      <c r="C690" s="180"/>
      <c r="D690" s="180"/>
    </row>
    <row r="691" spans="2:4" ht="13">
      <c r="B691" s="180"/>
      <c r="C691" s="180"/>
      <c r="D691" s="180"/>
    </row>
    <row r="692" spans="2:4" ht="13">
      <c r="B692" s="180"/>
      <c r="C692" s="180"/>
      <c r="D692" s="180"/>
    </row>
    <row r="693" spans="2:4" ht="13">
      <c r="B693" s="180"/>
      <c r="C693" s="180"/>
      <c r="D693" s="180"/>
    </row>
    <row r="694" spans="2:4" ht="13">
      <c r="B694" s="180"/>
      <c r="C694" s="180"/>
      <c r="D694" s="180"/>
    </row>
    <row r="695" spans="2:4" ht="13">
      <c r="B695" s="180"/>
      <c r="C695" s="180"/>
      <c r="D695" s="180"/>
    </row>
    <row r="696" spans="2:4" ht="13">
      <c r="B696" s="180"/>
      <c r="C696" s="180"/>
      <c r="D696" s="180"/>
    </row>
    <row r="697" spans="2:4" ht="13">
      <c r="B697" s="180"/>
      <c r="C697" s="180"/>
      <c r="D697" s="180"/>
    </row>
    <row r="698" spans="2:4" ht="13">
      <c r="B698" s="180"/>
      <c r="C698" s="180"/>
      <c r="D698" s="180"/>
    </row>
    <row r="699" spans="2:4" ht="13">
      <c r="B699" s="180"/>
      <c r="C699" s="180"/>
      <c r="D699" s="180"/>
    </row>
    <row r="700" spans="2:4" ht="13">
      <c r="B700" s="180"/>
      <c r="C700" s="180"/>
      <c r="D700" s="180"/>
    </row>
    <row r="701" spans="2:4" ht="13">
      <c r="B701" s="180"/>
      <c r="C701" s="180"/>
      <c r="D701" s="180"/>
    </row>
    <row r="702" spans="2:4" ht="13">
      <c r="B702" s="180"/>
      <c r="C702" s="180"/>
      <c r="D702" s="180"/>
    </row>
    <row r="703" spans="2:4" ht="13">
      <c r="B703" s="180"/>
      <c r="C703" s="180"/>
      <c r="D703" s="180"/>
    </row>
    <row r="704" spans="2:4" ht="13">
      <c r="B704" s="180"/>
      <c r="C704" s="180"/>
      <c r="D704" s="180"/>
    </row>
    <row r="705" spans="2:4" ht="13">
      <c r="B705" s="180"/>
      <c r="C705" s="180"/>
      <c r="D705" s="180"/>
    </row>
    <row r="706" spans="2:4" ht="13">
      <c r="B706" s="180"/>
      <c r="C706" s="180"/>
      <c r="D706" s="180"/>
    </row>
    <row r="707" spans="2:4" ht="13">
      <c r="B707" s="180"/>
      <c r="C707" s="180"/>
      <c r="D707" s="180"/>
    </row>
    <row r="708" spans="2:4" ht="13">
      <c r="B708" s="180"/>
      <c r="C708" s="180"/>
      <c r="D708" s="180"/>
    </row>
    <row r="709" spans="2:4" ht="13">
      <c r="B709" s="180"/>
      <c r="C709" s="180"/>
      <c r="D709" s="180"/>
    </row>
    <row r="710" spans="2:4" ht="13">
      <c r="B710" s="180"/>
      <c r="C710" s="180"/>
      <c r="D710" s="180"/>
    </row>
    <row r="711" spans="2:4" ht="13">
      <c r="B711" s="180"/>
      <c r="C711" s="180"/>
      <c r="D711" s="180"/>
    </row>
    <row r="712" spans="2:4" ht="13">
      <c r="B712" s="180"/>
      <c r="C712" s="180"/>
      <c r="D712" s="180"/>
    </row>
    <row r="713" spans="2:4" ht="13">
      <c r="B713" s="180"/>
      <c r="C713" s="180"/>
      <c r="D713" s="180"/>
    </row>
    <row r="714" spans="2:4" ht="13">
      <c r="B714" s="180"/>
      <c r="C714" s="180"/>
      <c r="D714" s="180"/>
    </row>
    <row r="715" spans="2:4" ht="13">
      <c r="B715" s="180"/>
      <c r="C715" s="180"/>
      <c r="D715" s="180"/>
    </row>
    <row r="716" spans="2:4" ht="13">
      <c r="B716" s="180"/>
      <c r="C716" s="180"/>
      <c r="D716" s="180"/>
    </row>
    <row r="717" spans="2:4" ht="13">
      <c r="B717" s="180"/>
      <c r="C717" s="180"/>
      <c r="D717" s="180"/>
    </row>
    <row r="718" spans="2:4" ht="13">
      <c r="B718" s="180"/>
      <c r="C718" s="180"/>
      <c r="D718" s="180"/>
    </row>
    <row r="719" spans="2:4" ht="13">
      <c r="B719" s="180"/>
      <c r="C719" s="180"/>
      <c r="D719" s="180"/>
    </row>
    <row r="720" spans="2:4" ht="13">
      <c r="B720" s="180"/>
      <c r="C720" s="180"/>
      <c r="D720" s="180"/>
    </row>
    <row r="721" spans="2:4" ht="13">
      <c r="B721" s="180"/>
      <c r="C721" s="180"/>
      <c r="D721" s="180"/>
    </row>
    <row r="722" spans="2:4" ht="13">
      <c r="B722" s="180"/>
      <c r="C722" s="180"/>
      <c r="D722" s="180"/>
    </row>
    <row r="723" spans="2:4" ht="13">
      <c r="B723" s="180"/>
      <c r="C723" s="180"/>
      <c r="D723" s="180"/>
    </row>
    <row r="724" spans="2:4" ht="13">
      <c r="B724" s="180"/>
      <c r="C724" s="180"/>
      <c r="D724" s="180"/>
    </row>
    <row r="725" spans="2:4" ht="13">
      <c r="B725" s="180"/>
      <c r="C725" s="180"/>
      <c r="D725" s="180"/>
    </row>
    <row r="726" spans="2:4" ht="13">
      <c r="B726" s="180"/>
      <c r="C726" s="180"/>
      <c r="D726" s="180"/>
    </row>
    <row r="727" spans="2:4" ht="13">
      <c r="B727" s="180"/>
      <c r="C727" s="180"/>
      <c r="D727" s="180"/>
    </row>
    <row r="728" spans="2:4" ht="13">
      <c r="B728" s="180"/>
      <c r="C728" s="180"/>
      <c r="D728" s="180"/>
    </row>
    <row r="729" spans="2:4" ht="13">
      <c r="B729" s="180"/>
      <c r="C729" s="180"/>
      <c r="D729" s="180"/>
    </row>
    <row r="730" spans="2:4" ht="13">
      <c r="B730" s="180"/>
      <c r="C730" s="180"/>
      <c r="D730" s="180"/>
    </row>
    <row r="731" spans="2:4" ht="13">
      <c r="B731" s="180"/>
      <c r="C731" s="180"/>
      <c r="D731" s="180"/>
    </row>
    <row r="732" spans="2:4" ht="13">
      <c r="B732" s="180"/>
      <c r="C732" s="180"/>
      <c r="D732" s="180"/>
    </row>
    <row r="733" spans="2:4" ht="13">
      <c r="B733" s="180"/>
      <c r="C733" s="180"/>
      <c r="D733" s="180"/>
    </row>
    <row r="734" spans="2:4" ht="13">
      <c r="B734" s="180"/>
      <c r="C734" s="180"/>
      <c r="D734" s="180"/>
    </row>
    <row r="735" spans="2:4" ht="13">
      <c r="B735" s="180"/>
      <c r="C735" s="180"/>
      <c r="D735" s="180"/>
    </row>
    <row r="736" spans="2:4" ht="13">
      <c r="B736" s="180"/>
      <c r="C736" s="180"/>
      <c r="D736" s="180"/>
    </row>
    <row r="737" spans="2:4" ht="13">
      <c r="B737" s="180"/>
      <c r="C737" s="180"/>
      <c r="D737" s="180"/>
    </row>
    <row r="738" spans="2:4" ht="13">
      <c r="B738" s="180"/>
      <c r="C738" s="180"/>
      <c r="D738" s="180"/>
    </row>
    <row r="739" spans="2:4" ht="13">
      <c r="B739" s="180"/>
      <c r="C739" s="180"/>
      <c r="D739" s="180"/>
    </row>
    <row r="740" spans="2:4" ht="13">
      <c r="B740" s="180"/>
      <c r="C740" s="180"/>
      <c r="D740" s="180"/>
    </row>
    <row r="741" spans="2:4" ht="13">
      <c r="B741" s="180"/>
      <c r="C741" s="180"/>
      <c r="D741" s="180"/>
    </row>
    <row r="742" spans="2:4" ht="13">
      <c r="B742" s="180"/>
      <c r="C742" s="180"/>
      <c r="D742" s="180"/>
    </row>
    <row r="743" spans="2:4" ht="13">
      <c r="B743" s="180"/>
      <c r="C743" s="180"/>
      <c r="D743" s="180"/>
    </row>
    <row r="744" spans="2:4" ht="13">
      <c r="B744" s="180"/>
      <c r="C744" s="180"/>
      <c r="D744" s="180"/>
    </row>
    <row r="745" spans="2:4" ht="13">
      <c r="B745" s="180"/>
      <c r="C745" s="180"/>
      <c r="D745" s="180"/>
    </row>
    <row r="746" spans="2:4" ht="13">
      <c r="B746" s="180"/>
      <c r="C746" s="180"/>
      <c r="D746" s="180"/>
    </row>
    <row r="747" spans="2:4" ht="13">
      <c r="B747" s="180"/>
      <c r="C747" s="180"/>
      <c r="D747" s="180"/>
    </row>
    <row r="748" spans="2:4" ht="13">
      <c r="B748" s="180"/>
      <c r="C748" s="180"/>
      <c r="D748" s="180"/>
    </row>
    <row r="749" spans="2:4" ht="13">
      <c r="B749" s="180"/>
      <c r="C749" s="180"/>
      <c r="D749" s="180"/>
    </row>
    <row r="750" spans="2:4" ht="13">
      <c r="B750" s="180"/>
      <c r="C750" s="180"/>
      <c r="D750" s="180"/>
    </row>
    <row r="751" spans="2:4" ht="13">
      <c r="B751" s="180"/>
      <c r="C751" s="180"/>
      <c r="D751" s="180"/>
    </row>
    <row r="752" spans="2:4" ht="13">
      <c r="B752" s="180"/>
      <c r="C752" s="180"/>
      <c r="D752" s="180"/>
    </row>
    <row r="753" spans="2:4" ht="13">
      <c r="B753" s="180"/>
      <c r="C753" s="180"/>
      <c r="D753" s="180"/>
    </row>
    <row r="754" spans="2:4" ht="13">
      <c r="B754" s="180"/>
      <c r="C754" s="180"/>
      <c r="D754" s="180"/>
    </row>
    <row r="755" spans="2:4" ht="13">
      <c r="B755" s="180"/>
      <c r="C755" s="180"/>
      <c r="D755" s="180"/>
    </row>
    <row r="756" spans="2:4" ht="13">
      <c r="B756" s="180"/>
      <c r="C756" s="180"/>
      <c r="D756" s="180"/>
    </row>
    <row r="757" spans="2:4" ht="13">
      <c r="B757" s="180"/>
      <c r="C757" s="180"/>
      <c r="D757" s="180"/>
    </row>
    <row r="758" spans="2:4" ht="13">
      <c r="B758" s="180"/>
      <c r="C758" s="180"/>
      <c r="D758" s="180"/>
    </row>
    <row r="759" spans="2:4" ht="13">
      <c r="B759" s="180"/>
      <c r="C759" s="180"/>
      <c r="D759" s="180"/>
    </row>
    <row r="760" spans="2:4" ht="13">
      <c r="B760" s="180"/>
      <c r="C760" s="180"/>
      <c r="D760" s="180"/>
    </row>
    <row r="761" spans="2:4" ht="13">
      <c r="B761" s="180"/>
      <c r="C761" s="180"/>
      <c r="D761" s="180"/>
    </row>
    <row r="762" spans="2:4" ht="13">
      <c r="B762" s="180"/>
      <c r="C762" s="180"/>
      <c r="D762" s="180"/>
    </row>
    <row r="763" spans="2:4" ht="13">
      <c r="B763" s="180"/>
      <c r="C763" s="180"/>
      <c r="D763" s="180"/>
    </row>
    <row r="764" spans="2:4" ht="13">
      <c r="B764" s="180"/>
      <c r="C764" s="180"/>
      <c r="D764" s="180"/>
    </row>
    <row r="765" spans="2:4" ht="13">
      <c r="B765" s="180"/>
      <c r="C765" s="180"/>
      <c r="D765" s="180"/>
    </row>
    <row r="766" spans="2:4" ht="13">
      <c r="B766" s="180"/>
      <c r="C766" s="180"/>
      <c r="D766" s="180"/>
    </row>
    <row r="767" spans="2:4" ht="13">
      <c r="B767" s="180"/>
      <c r="C767" s="180"/>
      <c r="D767" s="180"/>
    </row>
    <row r="768" spans="2:4" ht="13">
      <c r="B768" s="180"/>
      <c r="C768" s="180"/>
      <c r="D768" s="180"/>
    </row>
    <row r="769" spans="2:4" ht="13">
      <c r="B769" s="180"/>
      <c r="C769" s="180"/>
      <c r="D769" s="180"/>
    </row>
    <row r="770" spans="2:4" ht="13">
      <c r="B770" s="180"/>
      <c r="C770" s="180"/>
      <c r="D770" s="180"/>
    </row>
    <row r="771" spans="2:4" ht="13">
      <c r="B771" s="180"/>
      <c r="C771" s="180"/>
      <c r="D771" s="180"/>
    </row>
    <row r="772" spans="2:4" ht="13">
      <c r="B772" s="180"/>
      <c r="C772" s="180"/>
      <c r="D772" s="180"/>
    </row>
    <row r="773" spans="2:4" ht="13">
      <c r="B773" s="180"/>
      <c r="C773" s="180"/>
      <c r="D773" s="180"/>
    </row>
    <row r="774" spans="2:4" ht="13">
      <c r="B774" s="180"/>
      <c r="C774" s="180"/>
      <c r="D774" s="180"/>
    </row>
    <row r="775" spans="2:4" ht="13">
      <c r="B775" s="180"/>
      <c r="C775" s="180"/>
      <c r="D775" s="180"/>
    </row>
    <row r="776" spans="2:4" ht="13">
      <c r="B776" s="180"/>
      <c r="C776" s="180"/>
      <c r="D776" s="180"/>
    </row>
    <row r="777" spans="2:4" ht="13">
      <c r="B777" s="180"/>
      <c r="C777" s="180"/>
      <c r="D777" s="180"/>
    </row>
    <row r="778" spans="2:4" ht="13">
      <c r="B778" s="180"/>
      <c r="C778" s="180"/>
      <c r="D778" s="180"/>
    </row>
    <row r="779" spans="2:4" ht="13">
      <c r="B779" s="180"/>
      <c r="C779" s="180"/>
      <c r="D779" s="180"/>
    </row>
    <row r="780" spans="2:4" ht="13">
      <c r="B780" s="180"/>
      <c r="C780" s="180"/>
      <c r="D780" s="180"/>
    </row>
    <row r="781" spans="2:4" ht="13">
      <c r="B781" s="180"/>
      <c r="C781" s="180"/>
      <c r="D781" s="180"/>
    </row>
    <row r="782" spans="2:4" ht="13">
      <c r="B782" s="180"/>
      <c r="C782" s="180"/>
      <c r="D782" s="180"/>
    </row>
    <row r="783" spans="2:4" ht="13">
      <c r="B783" s="180"/>
      <c r="C783" s="180"/>
      <c r="D783" s="180"/>
    </row>
    <row r="784" spans="2:4" ht="13">
      <c r="B784" s="180"/>
      <c r="C784" s="180"/>
      <c r="D784" s="180"/>
    </row>
    <row r="785" spans="2:4" ht="13">
      <c r="B785" s="180"/>
      <c r="C785" s="180"/>
      <c r="D785" s="180"/>
    </row>
    <row r="786" spans="2:4" ht="13">
      <c r="B786" s="180"/>
      <c r="C786" s="180"/>
      <c r="D786" s="180"/>
    </row>
    <row r="787" spans="2:4" ht="13">
      <c r="B787" s="180"/>
      <c r="C787" s="180"/>
      <c r="D787" s="180"/>
    </row>
    <row r="788" spans="2:4" ht="13">
      <c r="B788" s="180"/>
      <c r="C788" s="180"/>
      <c r="D788" s="180"/>
    </row>
    <row r="789" spans="2:4" ht="13">
      <c r="B789" s="180"/>
      <c r="C789" s="180"/>
      <c r="D789" s="180"/>
    </row>
    <row r="790" spans="2:4" ht="13">
      <c r="B790" s="180"/>
      <c r="C790" s="180"/>
      <c r="D790" s="180"/>
    </row>
    <row r="791" spans="2:4" ht="13">
      <c r="B791" s="180"/>
      <c r="C791" s="180"/>
      <c r="D791" s="180"/>
    </row>
    <row r="792" spans="2:4" ht="13">
      <c r="B792" s="180"/>
      <c r="C792" s="180"/>
      <c r="D792" s="180"/>
    </row>
    <row r="793" spans="2:4" ht="13">
      <c r="B793" s="180"/>
      <c r="C793" s="180"/>
      <c r="D793" s="180"/>
    </row>
    <row r="794" spans="2:4" ht="13">
      <c r="B794" s="180"/>
      <c r="C794" s="180"/>
      <c r="D794" s="180"/>
    </row>
    <row r="795" spans="2:4" ht="13">
      <c r="B795" s="180"/>
      <c r="C795" s="180"/>
      <c r="D795" s="180"/>
    </row>
    <row r="796" spans="2:4" ht="13">
      <c r="B796" s="180"/>
      <c r="C796" s="180"/>
      <c r="D796" s="180"/>
    </row>
    <row r="797" spans="2:4" ht="13">
      <c r="B797" s="180"/>
      <c r="C797" s="180"/>
      <c r="D797" s="180"/>
    </row>
    <row r="798" spans="2:4" ht="13">
      <c r="B798" s="180"/>
      <c r="C798" s="180"/>
      <c r="D798" s="180"/>
    </row>
    <row r="799" spans="2:4" ht="13">
      <c r="B799" s="180"/>
      <c r="C799" s="180"/>
      <c r="D799" s="180"/>
    </row>
    <row r="800" spans="2:4" ht="13">
      <c r="B800" s="180"/>
      <c r="C800" s="180"/>
      <c r="D800" s="180"/>
    </row>
    <row r="801" spans="2:4" ht="13">
      <c r="B801" s="180"/>
      <c r="C801" s="180"/>
      <c r="D801" s="180"/>
    </row>
    <row r="802" spans="2:4" ht="13">
      <c r="B802" s="180"/>
      <c r="C802" s="180"/>
      <c r="D802" s="180"/>
    </row>
    <row r="803" spans="2:4" ht="13">
      <c r="B803" s="180"/>
      <c r="C803" s="180"/>
      <c r="D803" s="180"/>
    </row>
    <row r="804" spans="2:4" ht="13">
      <c r="B804" s="180"/>
      <c r="C804" s="180"/>
      <c r="D804" s="180"/>
    </row>
    <row r="805" spans="2:4" ht="13">
      <c r="B805" s="180"/>
      <c r="C805" s="180"/>
      <c r="D805" s="180"/>
    </row>
    <row r="806" spans="2:4" ht="13">
      <c r="B806" s="180"/>
      <c r="C806" s="180"/>
      <c r="D806" s="180"/>
    </row>
    <row r="807" spans="2:4" ht="13">
      <c r="B807" s="180"/>
      <c r="C807" s="180"/>
      <c r="D807" s="180"/>
    </row>
    <row r="808" spans="2:4" ht="13">
      <c r="B808" s="180"/>
      <c r="C808" s="180"/>
      <c r="D808" s="180"/>
    </row>
    <row r="809" spans="2:4" ht="13">
      <c r="B809" s="180"/>
      <c r="C809" s="180"/>
      <c r="D809" s="180"/>
    </row>
    <row r="810" spans="2:4" ht="13">
      <c r="B810" s="180"/>
      <c r="C810" s="180"/>
      <c r="D810" s="180"/>
    </row>
    <row r="811" spans="2:4" ht="13">
      <c r="B811" s="180"/>
      <c r="C811" s="180"/>
      <c r="D811" s="180"/>
    </row>
    <row r="812" spans="2:4" ht="13">
      <c r="B812" s="180"/>
      <c r="C812" s="180"/>
      <c r="D812" s="180"/>
    </row>
    <row r="813" spans="2:4" ht="13">
      <c r="B813" s="180"/>
      <c r="C813" s="180"/>
      <c r="D813" s="180"/>
    </row>
    <row r="814" spans="2:4" ht="13">
      <c r="B814" s="180"/>
      <c r="C814" s="180"/>
      <c r="D814" s="180"/>
    </row>
    <row r="815" spans="2:4" ht="13">
      <c r="B815" s="180"/>
      <c r="C815" s="180"/>
      <c r="D815" s="180"/>
    </row>
    <row r="816" spans="2:4" ht="13">
      <c r="B816" s="180"/>
      <c r="C816" s="180"/>
      <c r="D816" s="180"/>
    </row>
    <row r="817" spans="2:4" ht="13">
      <c r="B817" s="180"/>
      <c r="C817" s="180"/>
      <c r="D817" s="180"/>
    </row>
    <row r="818" spans="2:4" ht="13">
      <c r="B818" s="180"/>
      <c r="C818" s="180"/>
      <c r="D818" s="180"/>
    </row>
    <row r="819" spans="2:4" ht="13">
      <c r="B819" s="180"/>
      <c r="C819" s="180"/>
      <c r="D819" s="180"/>
    </row>
    <row r="820" spans="2:4" ht="13">
      <c r="B820" s="180"/>
      <c r="C820" s="180"/>
      <c r="D820" s="180"/>
    </row>
    <row r="821" spans="2:4" ht="13">
      <c r="B821" s="180"/>
      <c r="C821" s="180"/>
      <c r="D821" s="180"/>
    </row>
    <row r="822" spans="2:4" ht="13">
      <c r="B822" s="180"/>
      <c r="C822" s="180"/>
      <c r="D822" s="180"/>
    </row>
    <row r="823" spans="2:4" ht="13">
      <c r="B823" s="180"/>
      <c r="C823" s="180"/>
      <c r="D823" s="180"/>
    </row>
    <row r="824" spans="2:4" ht="13">
      <c r="B824" s="180"/>
      <c r="C824" s="180"/>
      <c r="D824" s="180"/>
    </row>
    <row r="825" spans="2:4" ht="13">
      <c r="B825" s="180"/>
      <c r="C825" s="180"/>
      <c r="D825" s="180"/>
    </row>
    <row r="826" spans="2:4" ht="13">
      <c r="B826" s="180"/>
      <c r="C826" s="180"/>
      <c r="D826" s="180"/>
    </row>
    <row r="827" spans="2:4" ht="13">
      <c r="B827" s="180"/>
      <c r="C827" s="180"/>
      <c r="D827" s="180"/>
    </row>
    <row r="828" spans="2:4" ht="13">
      <c r="B828" s="180"/>
      <c r="C828" s="180"/>
      <c r="D828" s="180"/>
    </row>
    <row r="829" spans="2:4" ht="13">
      <c r="B829" s="180"/>
      <c r="C829" s="180"/>
      <c r="D829" s="180"/>
    </row>
    <row r="830" spans="2:4" ht="13">
      <c r="B830" s="180"/>
      <c r="C830" s="180"/>
      <c r="D830" s="180"/>
    </row>
    <row r="831" spans="2:4" ht="13">
      <c r="B831" s="180"/>
      <c r="C831" s="180"/>
      <c r="D831" s="180"/>
    </row>
    <row r="832" spans="2:4" ht="13">
      <c r="B832" s="180"/>
      <c r="C832" s="180"/>
      <c r="D832" s="180"/>
    </row>
    <row r="833" spans="2:4" ht="13">
      <c r="B833" s="180"/>
      <c r="C833" s="180"/>
      <c r="D833" s="180"/>
    </row>
    <row r="834" spans="2:4" ht="13">
      <c r="B834" s="180"/>
      <c r="C834" s="180"/>
      <c r="D834" s="180"/>
    </row>
    <row r="835" spans="2:4" ht="13">
      <c r="B835" s="180"/>
      <c r="C835" s="180"/>
      <c r="D835" s="180"/>
    </row>
    <row r="836" spans="2:4" ht="13">
      <c r="B836" s="180"/>
      <c r="C836" s="180"/>
      <c r="D836" s="180"/>
    </row>
    <row r="837" spans="2:4" ht="13">
      <c r="B837" s="180"/>
      <c r="C837" s="180"/>
      <c r="D837" s="180"/>
    </row>
    <row r="838" spans="2:4" ht="13">
      <c r="B838" s="180"/>
      <c r="C838" s="180"/>
      <c r="D838" s="180"/>
    </row>
    <row r="839" spans="2:4" ht="13">
      <c r="B839" s="180"/>
      <c r="C839" s="180"/>
      <c r="D839" s="180"/>
    </row>
    <row r="840" spans="2:4" ht="13">
      <c r="B840" s="180"/>
      <c r="C840" s="180"/>
      <c r="D840" s="180"/>
    </row>
    <row r="841" spans="2:4" ht="13">
      <c r="B841" s="180"/>
      <c r="C841" s="180"/>
      <c r="D841" s="180"/>
    </row>
    <row r="842" spans="2:4" ht="13">
      <c r="B842" s="180"/>
      <c r="C842" s="180"/>
      <c r="D842" s="180"/>
    </row>
    <row r="843" spans="2:4" ht="13">
      <c r="B843" s="180"/>
      <c r="C843" s="180"/>
      <c r="D843" s="180"/>
    </row>
    <row r="844" spans="2:4" ht="13">
      <c r="B844" s="180"/>
      <c r="C844" s="180"/>
      <c r="D844" s="180"/>
    </row>
    <row r="845" spans="2:4" ht="13">
      <c r="B845" s="180"/>
      <c r="C845" s="180"/>
      <c r="D845" s="180"/>
    </row>
    <row r="846" spans="2:4" ht="13">
      <c r="B846" s="180"/>
      <c r="C846" s="180"/>
      <c r="D846" s="180"/>
    </row>
    <row r="847" spans="2:4" ht="13">
      <c r="B847" s="180"/>
      <c r="C847" s="180"/>
      <c r="D847" s="180"/>
    </row>
    <row r="848" spans="2:4" ht="13">
      <c r="B848" s="180"/>
      <c r="C848" s="180"/>
      <c r="D848" s="180"/>
    </row>
    <row r="849" spans="2:4" ht="13">
      <c r="B849" s="180"/>
      <c r="C849" s="180"/>
      <c r="D849" s="180"/>
    </row>
    <row r="850" spans="2:4" ht="13">
      <c r="B850" s="180"/>
      <c r="C850" s="180"/>
      <c r="D850" s="180"/>
    </row>
    <row r="851" spans="2:4" ht="13">
      <c r="B851" s="180"/>
      <c r="C851" s="180"/>
      <c r="D851" s="180"/>
    </row>
    <row r="852" spans="2:4" ht="13">
      <c r="B852" s="180"/>
      <c r="C852" s="180"/>
      <c r="D852" s="180"/>
    </row>
    <row r="853" spans="2:4" ht="13">
      <c r="B853" s="180"/>
      <c r="C853" s="180"/>
      <c r="D853" s="180"/>
    </row>
    <row r="854" spans="2:4" ht="13">
      <c r="B854" s="180"/>
      <c r="C854" s="180"/>
      <c r="D854" s="180"/>
    </row>
    <row r="855" spans="2:4" ht="13">
      <c r="B855" s="180"/>
      <c r="C855" s="180"/>
      <c r="D855" s="180"/>
    </row>
    <row r="856" spans="2:4" ht="13">
      <c r="B856" s="180"/>
      <c r="C856" s="180"/>
      <c r="D856" s="180"/>
    </row>
    <row r="857" spans="2:4" ht="13">
      <c r="B857" s="180"/>
      <c r="C857" s="180"/>
      <c r="D857" s="180"/>
    </row>
    <row r="858" spans="2:4" ht="13">
      <c r="B858" s="180"/>
      <c r="C858" s="180"/>
      <c r="D858" s="180"/>
    </row>
    <row r="859" spans="2:4" ht="13">
      <c r="B859" s="180"/>
      <c r="C859" s="180"/>
      <c r="D859" s="180"/>
    </row>
    <row r="860" spans="2:4" ht="13">
      <c r="B860" s="180"/>
      <c r="C860" s="180"/>
      <c r="D860" s="180"/>
    </row>
    <row r="861" spans="2:4" ht="13">
      <c r="B861" s="180"/>
      <c r="C861" s="180"/>
      <c r="D861" s="180"/>
    </row>
    <row r="862" spans="2:4" ht="13">
      <c r="B862" s="180"/>
      <c r="C862" s="180"/>
      <c r="D862" s="180"/>
    </row>
    <row r="863" spans="2:4" ht="13">
      <c r="B863" s="180"/>
      <c r="C863" s="180"/>
      <c r="D863" s="180"/>
    </row>
    <row r="864" spans="2:4" ht="13">
      <c r="B864" s="180"/>
      <c r="C864" s="180"/>
      <c r="D864" s="180"/>
    </row>
    <row r="865" spans="2:4" ht="13">
      <c r="B865" s="180"/>
      <c r="C865" s="180"/>
      <c r="D865" s="180"/>
    </row>
    <row r="866" spans="2:4" ht="13">
      <c r="B866" s="180"/>
      <c r="C866" s="180"/>
      <c r="D866" s="180"/>
    </row>
    <row r="867" spans="2:4" ht="13">
      <c r="B867" s="180"/>
      <c r="C867" s="180"/>
      <c r="D867" s="180"/>
    </row>
    <row r="868" spans="2:4" ht="13">
      <c r="B868" s="180"/>
      <c r="C868" s="180"/>
      <c r="D868" s="180"/>
    </row>
    <row r="869" spans="2:4" ht="13">
      <c r="B869" s="180"/>
      <c r="C869" s="180"/>
      <c r="D869" s="180"/>
    </row>
    <row r="870" spans="2:4" ht="13">
      <c r="B870" s="180"/>
      <c r="C870" s="180"/>
      <c r="D870" s="180"/>
    </row>
    <row r="871" spans="2:4" ht="13">
      <c r="B871" s="180"/>
      <c r="C871" s="180"/>
      <c r="D871" s="180"/>
    </row>
    <row r="872" spans="2:4" ht="13">
      <c r="B872" s="180"/>
      <c r="C872" s="180"/>
      <c r="D872" s="180"/>
    </row>
    <row r="873" spans="2:4" ht="13">
      <c r="B873" s="180"/>
      <c r="C873" s="180"/>
      <c r="D873" s="180"/>
    </row>
    <row r="874" spans="2:4" ht="13">
      <c r="B874" s="180"/>
      <c r="C874" s="180"/>
      <c r="D874" s="180"/>
    </row>
    <row r="875" spans="2:4" ht="13">
      <c r="B875" s="180"/>
      <c r="C875" s="180"/>
      <c r="D875" s="180"/>
    </row>
    <row r="876" spans="2:4" ht="13">
      <c r="B876" s="180"/>
      <c r="C876" s="180"/>
      <c r="D876" s="180"/>
    </row>
    <row r="877" spans="2:4" ht="13">
      <c r="B877" s="180"/>
      <c r="C877" s="180"/>
      <c r="D877" s="180"/>
    </row>
    <row r="878" spans="2:4" ht="13">
      <c r="B878" s="180"/>
      <c r="C878" s="180"/>
      <c r="D878" s="180"/>
    </row>
    <row r="879" spans="2:4" ht="13">
      <c r="B879" s="180"/>
      <c r="C879" s="180"/>
      <c r="D879" s="180"/>
    </row>
    <row r="880" spans="2:4" ht="13">
      <c r="B880" s="180"/>
      <c r="C880" s="180"/>
      <c r="D880" s="180"/>
    </row>
    <row r="881" spans="2:4" ht="13">
      <c r="B881" s="180"/>
      <c r="C881" s="180"/>
      <c r="D881" s="180"/>
    </row>
    <row r="882" spans="2:4" ht="13">
      <c r="B882" s="180"/>
      <c r="C882" s="180"/>
      <c r="D882" s="180"/>
    </row>
    <row r="883" spans="2:4" ht="13">
      <c r="B883" s="180"/>
      <c r="C883" s="180"/>
      <c r="D883" s="180"/>
    </row>
    <row r="884" spans="2:4" ht="13">
      <c r="B884" s="180"/>
      <c r="C884" s="180"/>
      <c r="D884" s="180"/>
    </row>
    <row r="885" spans="2:4" ht="13">
      <c r="B885" s="180"/>
      <c r="C885" s="180"/>
      <c r="D885" s="180"/>
    </row>
    <row r="886" spans="2:4" ht="13">
      <c r="B886" s="180"/>
      <c r="C886" s="180"/>
      <c r="D886" s="180"/>
    </row>
    <row r="887" spans="2:4" ht="13">
      <c r="B887" s="180"/>
      <c r="C887" s="180"/>
      <c r="D887" s="180"/>
    </row>
    <row r="888" spans="2:4" ht="13">
      <c r="B888" s="180"/>
      <c r="C888" s="180"/>
      <c r="D888" s="180"/>
    </row>
    <row r="889" spans="2:4" ht="13">
      <c r="B889" s="180"/>
      <c r="C889" s="180"/>
      <c r="D889" s="180"/>
    </row>
    <row r="890" spans="2:4" ht="13">
      <c r="B890" s="180"/>
      <c r="C890" s="180"/>
      <c r="D890" s="180"/>
    </row>
    <row r="891" spans="2:4" ht="13">
      <c r="B891" s="180"/>
      <c r="C891" s="180"/>
      <c r="D891" s="180"/>
    </row>
    <row r="892" spans="2:4" ht="13">
      <c r="B892" s="180"/>
      <c r="C892" s="180"/>
      <c r="D892" s="180"/>
    </row>
    <row r="893" spans="2:4" ht="13">
      <c r="B893" s="180"/>
      <c r="C893" s="180"/>
      <c r="D893" s="180"/>
    </row>
    <row r="894" spans="2:4" ht="13">
      <c r="B894" s="180"/>
      <c r="C894" s="180"/>
      <c r="D894" s="180"/>
    </row>
    <row r="895" spans="2:4" ht="13">
      <c r="B895" s="180"/>
      <c r="C895" s="180"/>
      <c r="D895" s="180"/>
    </row>
    <row r="896" spans="2:4" ht="13">
      <c r="B896" s="180"/>
      <c r="C896" s="180"/>
      <c r="D896" s="180"/>
    </row>
    <row r="897" spans="2:4" ht="13">
      <c r="B897" s="180"/>
      <c r="C897" s="180"/>
      <c r="D897" s="180"/>
    </row>
    <row r="898" spans="2:4" ht="13">
      <c r="B898" s="180"/>
      <c r="C898" s="180"/>
      <c r="D898" s="180"/>
    </row>
    <row r="899" spans="2:4" ht="13">
      <c r="B899" s="180"/>
      <c r="C899" s="180"/>
      <c r="D899" s="180"/>
    </row>
    <row r="900" spans="2:4" ht="13">
      <c r="B900" s="180"/>
      <c r="C900" s="180"/>
      <c r="D900" s="180"/>
    </row>
    <row r="901" spans="2:4" ht="13">
      <c r="B901" s="180"/>
      <c r="C901" s="180"/>
      <c r="D901" s="180"/>
    </row>
    <row r="902" spans="2:4" ht="13">
      <c r="B902" s="180"/>
      <c r="C902" s="180"/>
      <c r="D902" s="180"/>
    </row>
    <row r="903" spans="2:4" ht="13">
      <c r="B903" s="180"/>
      <c r="C903" s="180"/>
      <c r="D903" s="180"/>
    </row>
    <row r="904" spans="2:4" ht="13">
      <c r="B904" s="180"/>
      <c r="C904" s="180"/>
      <c r="D904" s="180"/>
    </row>
    <row r="905" spans="2:4" ht="13">
      <c r="B905" s="180"/>
      <c r="C905" s="180"/>
      <c r="D905" s="180"/>
    </row>
    <row r="906" spans="2:4" ht="13">
      <c r="B906" s="180"/>
      <c r="C906" s="180"/>
      <c r="D906" s="180"/>
    </row>
    <row r="907" spans="2:4" ht="13">
      <c r="B907" s="180"/>
      <c r="C907" s="180"/>
      <c r="D907" s="180"/>
    </row>
    <row r="908" spans="2:4" ht="13">
      <c r="B908" s="180"/>
      <c r="C908" s="180"/>
      <c r="D908" s="180"/>
    </row>
    <row r="909" spans="2:4" ht="13">
      <c r="B909" s="180"/>
      <c r="C909" s="180"/>
      <c r="D909" s="180"/>
    </row>
    <row r="910" spans="2:4" ht="13">
      <c r="B910" s="180"/>
      <c r="C910" s="180"/>
      <c r="D910" s="180"/>
    </row>
    <row r="911" spans="2:4" ht="13">
      <c r="B911" s="180"/>
      <c r="C911" s="180"/>
      <c r="D911" s="180"/>
    </row>
    <row r="912" spans="2:4" ht="13">
      <c r="B912" s="180"/>
      <c r="C912" s="180"/>
      <c r="D912" s="180"/>
    </row>
    <row r="913" spans="2:4" ht="13">
      <c r="B913" s="180"/>
      <c r="C913" s="180"/>
      <c r="D913" s="180"/>
    </row>
    <row r="914" spans="2:4" ht="13">
      <c r="B914" s="180"/>
      <c r="C914" s="180"/>
      <c r="D914" s="180"/>
    </row>
    <row r="915" spans="2:4" ht="13">
      <c r="B915" s="180"/>
      <c r="C915" s="180"/>
      <c r="D915" s="180"/>
    </row>
    <row r="916" spans="2:4" ht="13">
      <c r="B916" s="180"/>
      <c r="C916" s="180"/>
      <c r="D916" s="180"/>
    </row>
    <row r="917" spans="2:4" ht="13">
      <c r="B917" s="180"/>
      <c r="C917" s="180"/>
      <c r="D917" s="180"/>
    </row>
    <row r="918" spans="2:4" ht="13">
      <c r="B918" s="180"/>
      <c r="C918" s="180"/>
      <c r="D918" s="180"/>
    </row>
    <row r="919" spans="2:4" ht="13">
      <c r="B919" s="180"/>
      <c r="C919" s="180"/>
      <c r="D919" s="180"/>
    </row>
    <row r="920" spans="2:4" ht="13">
      <c r="B920" s="180"/>
      <c r="C920" s="180"/>
      <c r="D920" s="180"/>
    </row>
    <row r="921" spans="2:4" ht="13">
      <c r="B921" s="180"/>
      <c r="C921" s="180"/>
      <c r="D921" s="180"/>
    </row>
    <row r="922" spans="2:4" ht="13">
      <c r="B922" s="180"/>
      <c r="C922" s="180"/>
      <c r="D922" s="180"/>
    </row>
    <row r="923" spans="2:4" ht="13">
      <c r="B923" s="180"/>
      <c r="C923" s="180"/>
      <c r="D923" s="180"/>
    </row>
    <row r="924" spans="2:4" ht="13">
      <c r="B924" s="180"/>
      <c r="C924" s="180"/>
      <c r="D924" s="180"/>
    </row>
    <row r="925" spans="2:4" ht="13">
      <c r="B925" s="180"/>
      <c r="C925" s="180"/>
      <c r="D925" s="180"/>
    </row>
    <row r="926" spans="2:4" ht="13">
      <c r="B926" s="180"/>
      <c r="C926" s="180"/>
      <c r="D926" s="180"/>
    </row>
    <row r="927" spans="2:4" ht="13">
      <c r="B927" s="180"/>
      <c r="C927" s="180"/>
      <c r="D927" s="180"/>
    </row>
    <row r="928" spans="2:4" ht="13">
      <c r="B928" s="180"/>
      <c r="C928" s="180"/>
      <c r="D928" s="180"/>
    </row>
    <row r="929" spans="2:4" ht="13">
      <c r="B929" s="180"/>
      <c r="C929" s="180"/>
      <c r="D929" s="180"/>
    </row>
    <row r="930" spans="2:4" ht="13">
      <c r="B930" s="180"/>
      <c r="C930" s="180"/>
      <c r="D930" s="180"/>
    </row>
    <row r="931" spans="2:4" ht="13">
      <c r="B931" s="180"/>
      <c r="C931" s="180"/>
      <c r="D931" s="180"/>
    </row>
    <row r="932" spans="2:4" ht="13">
      <c r="B932" s="180"/>
      <c r="C932" s="180"/>
      <c r="D932" s="180"/>
    </row>
    <row r="933" spans="2:4" ht="13">
      <c r="B933" s="180"/>
      <c r="C933" s="180"/>
      <c r="D933" s="180"/>
    </row>
    <row r="934" spans="2:4" ht="13">
      <c r="B934" s="180"/>
      <c r="C934" s="180"/>
      <c r="D934" s="180"/>
    </row>
    <row r="935" spans="2:4" ht="13">
      <c r="B935" s="180"/>
      <c r="C935" s="180"/>
      <c r="D935" s="180"/>
    </row>
    <row r="936" spans="2:4" ht="13">
      <c r="B936" s="180"/>
      <c r="C936" s="180"/>
      <c r="D936" s="180"/>
    </row>
    <row r="937" spans="2:4" ht="13">
      <c r="B937" s="180"/>
      <c r="C937" s="180"/>
      <c r="D937" s="180"/>
    </row>
    <row r="938" spans="2:4" ht="13">
      <c r="B938" s="180"/>
      <c r="C938" s="180"/>
      <c r="D938" s="180"/>
    </row>
    <row r="939" spans="2:4" ht="13">
      <c r="B939" s="180"/>
      <c r="C939" s="180"/>
      <c r="D939" s="180"/>
    </row>
    <row r="940" spans="2:4" ht="13">
      <c r="B940" s="180"/>
      <c r="C940" s="180"/>
      <c r="D940" s="180"/>
    </row>
    <row r="941" spans="2:4" ht="13">
      <c r="B941" s="180"/>
      <c r="C941" s="180"/>
      <c r="D941" s="180"/>
    </row>
    <row r="942" spans="2:4" ht="13">
      <c r="B942" s="180"/>
      <c r="C942" s="180"/>
      <c r="D942" s="180"/>
    </row>
    <row r="943" spans="2:4" ht="13">
      <c r="B943" s="180"/>
      <c r="C943" s="180"/>
      <c r="D943" s="180"/>
    </row>
    <row r="944" spans="2:4" ht="13">
      <c r="B944" s="180"/>
      <c r="C944" s="180"/>
      <c r="D944" s="180"/>
    </row>
    <row r="945" spans="2:4" ht="13">
      <c r="B945" s="180"/>
      <c r="C945" s="180"/>
      <c r="D945" s="180"/>
    </row>
    <row r="946" spans="2:4" ht="13">
      <c r="B946" s="180"/>
      <c r="C946" s="180"/>
      <c r="D946" s="180"/>
    </row>
    <row r="947" spans="2:4" ht="13">
      <c r="B947" s="180"/>
      <c r="C947" s="180"/>
      <c r="D947" s="180"/>
    </row>
    <row r="948" spans="2:4" ht="13">
      <c r="B948" s="180"/>
      <c r="C948" s="180"/>
      <c r="D948" s="180"/>
    </row>
    <row r="949" spans="2:4" ht="13">
      <c r="B949" s="180"/>
      <c r="C949" s="180"/>
      <c r="D949" s="180"/>
    </row>
    <row r="950" spans="2:4" ht="13">
      <c r="B950" s="180"/>
      <c r="C950" s="180"/>
      <c r="D950" s="180"/>
    </row>
    <row r="951" spans="2:4" ht="13">
      <c r="B951" s="180"/>
      <c r="C951" s="180"/>
      <c r="D951" s="180"/>
    </row>
    <row r="952" spans="2:4" ht="13">
      <c r="B952" s="180"/>
      <c r="C952" s="180"/>
      <c r="D952" s="180"/>
    </row>
    <row r="953" spans="2:4" ht="13">
      <c r="B953" s="180"/>
      <c r="C953" s="180"/>
      <c r="D953" s="180"/>
    </row>
    <row r="954" spans="2:4" ht="13">
      <c r="B954" s="180"/>
      <c r="C954" s="180"/>
      <c r="D954" s="180"/>
    </row>
    <row r="955" spans="2:4" ht="13">
      <c r="B955" s="180"/>
      <c r="C955" s="180"/>
      <c r="D955" s="180"/>
    </row>
    <row r="956" spans="2:4" ht="13">
      <c r="B956" s="180"/>
      <c r="C956" s="180"/>
      <c r="D956" s="180"/>
    </row>
    <row r="957" spans="2:4" ht="13">
      <c r="B957" s="180"/>
      <c r="C957" s="180"/>
      <c r="D957" s="180"/>
    </row>
    <row r="958" spans="2:4" ht="13">
      <c r="B958" s="180"/>
      <c r="C958" s="180"/>
      <c r="D958" s="180"/>
    </row>
    <row r="959" spans="2:4" ht="13">
      <c r="B959" s="180"/>
      <c r="C959" s="180"/>
      <c r="D959" s="180"/>
    </row>
    <row r="960" spans="2:4" ht="13">
      <c r="B960" s="180"/>
      <c r="C960" s="180"/>
      <c r="D960" s="180"/>
    </row>
    <row r="961" spans="2:4" ht="13">
      <c r="B961" s="180"/>
      <c r="C961" s="180"/>
      <c r="D961" s="180"/>
    </row>
    <row r="962" spans="2:4" ht="13">
      <c r="B962" s="180"/>
      <c r="C962" s="180"/>
      <c r="D962" s="180"/>
    </row>
    <row r="963" spans="2:4" ht="13">
      <c r="B963" s="180"/>
      <c r="C963" s="180"/>
      <c r="D963" s="180"/>
    </row>
    <row r="964" spans="2:4" ht="13">
      <c r="B964" s="180"/>
      <c r="C964" s="180"/>
      <c r="D964" s="180"/>
    </row>
    <row r="965" spans="2:4" ht="13">
      <c r="B965" s="180"/>
      <c r="C965" s="180"/>
      <c r="D965" s="180"/>
    </row>
    <row r="966" spans="2:4" ht="13">
      <c r="B966" s="180"/>
      <c r="C966" s="180"/>
      <c r="D966" s="180"/>
    </row>
    <row r="967" spans="2:4" ht="13">
      <c r="B967" s="180"/>
      <c r="C967" s="180"/>
      <c r="D967" s="180"/>
    </row>
    <row r="968" spans="2:4" ht="13">
      <c r="B968" s="180"/>
      <c r="C968" s="180"/>
      <c r="D968" s="180"/>
    </row>
    <row r="969" spans="2:4" ht="13">
      <c r="B969" s="180"/>
      <c r="C969" s="180"/>
      <c r="D969" s="180"/>
    </row>
    <row r="970" spans="2:4" ht="13">
      <c r="B970" s="180"/>
      <c r="C970" s="180"/>
      <c r="D970" s="180"/>
    </row>
    <row r="971" spans="2:4" ht="13">
      <c r="B971" s="180"/>
      <c r="C971" s="180"/>
      <c r="D971" s="180"/>
    </row>
    <row r="972" spans="2:4" ht="13">
      <c r="B972" s="180"/>
      <c r="C972" s="180"/>
      <c r="D972" s="180"/>
    </row>
    <row r="973" spans="2:4" ht="13">
      <c r="B973" s="180"/>
      <c r="C973" s="180"/>
      <c r="D973" s="180"/>
    </row>
    <row r="974" spans="2:4" ht="13">
      <c r="B974" s="180"/>
      <c r="C974" s="180"/>
      <c r="D974" s="180"/>
    </row>
    <row r="975" spans="2:4" ht="13">
      <c r="B975" s="180"/>
      <c r="C975" s="180"/>
      <c r="D975" s="180"/>
    </row>
    <row r="976" spans="2:4" ht="13">
      <c r="B976" s="180"/>
      <c r="C976" s="180"/>
      <c r="D976" s="180"/>
    </row>
    <row r="977" spans="2:4" ht="13">
      <c r="B977" s="180"/>
      <c r="C977" s="180"/>
      <c r="D977" s="180"/>
    </row>
    <row r="978" spans="2:4" ht="13">
      <c r="B978" s="180"/>
      <c r="C978" s="180"/>
      <c r="D978" s="180"/>
    </row>
    <row r="979" spans="2:4" ht="13">
      <c r="B979" s="180"/>
      <c r="C979" s="180"/>
      <c r="D979" s="180"/>
    </row>
    <row r="980" spans="2:4" ht="13">
      <c r="B980" s="180"/>
      <c r="C980" s="180"/>
      <c r="D980" s="180"/>
    </row>
    <row r="981" spans="2:4" ht="13">
      <c r="B981" s="180"/>
      <c r="C981" s="180"/>
      <c r="D981" s="180"/>
    </row>
    <row r="982" spans="2:4" ht="13">
      <c r="B982" s="180"/>
      <c r="C982" s="180"/>
      <c r="D982" s="180"/>
    </row>
    <row r="983" spans="2:4" ht="13">
      <c r="B983" s="180"/>
      <c r="C983" s="180"/>
      <c r="D983" s="180"/>
    </row>
    <row r="984" spans="2:4" ht="13">
      <c r="B984" s="180"/>
      <c r="C984" s="180"/>
      <c r="D984" s="180"/>
    </row>
    <row r="985" spans="2:4" ht="13">
      <c r="B985" s="180"/>
      <c r="C985" s="180"/>
      <c r="D985" s="180"/>
    </row>
    <row r="986" spans="2:4" ht="13">
      <c r="B986" s="180"/>
      <c r="C986" s="180"/>
      <c r="D986" s="180"/>
    </row>
    <row r="987" spans="2:4" ht="13">
      <c r="B987" s="180"/>
      <c r="C987" s="180"/>
      <c r="D987" s="180"/>
    </row>
    <row r="988" spans="2:4" ht="13">
      <c r="B988" s="180"/>
      <c r="C988" s="180"/>
      <c r="D988" s="180"/>
    </row>
    <row r="989" spans="2:4" ht="13">
      <c r="B989" s="180"/>
      <c r="C989" s="180"/>
      <c r="D989" s="180"/>
    </row>
    <row r="990" spans="2:4" ht="13">
      <c r="B990" s="180"/>
      <c r="C990" s="180"/>
      <c r="D990" s="180"/>
    </row>
    <row r="991" spans="2:4" ht="13">
      <c r="B991" s="180"/>
      <c r="C991" s="180"/>
      <c r="D991" s="180"/>
    </row>
    <row r="992" spans="2:4" ht="13">
      <c r="B992" s="180"/>
      <c r="C992" s="180"/>
      <c r="D992" s="180"/>
    </row>
    <row r="993" spans="2:4" ht="13">
      <c r="B993" s="180"/>
      <c r="C993" s="180"/>
      <c r="D993" s="180"/>
    </row>
    <row r="994" spans="2:4" ht="13">
      <c r="B994" s="180"/>
      <c r="C994" s="180"/>
      <c r="D994" s="180"/>
    </row>
    <row r="995" spans="2:4" ht="13">
      <c r="B995" s="180"/>
      <c r="C995" s="180"/>
      <c r="D995" s="180"/>
    </row>
    <row r="996" spans="2:4" ht="13">
      <c r="B996" s="180"/>
      <c r="C996" s="180"/>
      <c r="D996" s="180"/>
    </row>
    <row r="997" spans="2:4" ht="13">
      <c r="B997" s="180"/>
      <c r="C997" s="180"/>
      <c r="D997" s="180"/>
    </row>
    <row r="998" spans="2:4" ht="13">
      <c r="B998" s="180"/>
      <c r="C998" s="180"/>
      <c r="D998" s="180"/>
    </row>
    <row r="999" spans="2:4" ht="13">
      <c r="B999" s="180"/>
      <c r="C999" s="180"/>
      <c r="D999" s="180"/>
    </row>
    <row r="1000" spans="2:4" ht="13">
      <c r="B1000" s="180"/>
      <c r="C1000" s="180"/>
      <c r="D1000" s="18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L259"/>
  <sheetViews>
    <sheetView workbookViewId="0"/>
  </sheetViews>
  <sheetFormatPr baseColWidth="10" defaultColWidth="12.6640625" defaultRowHeight="15.75" customHeight="1"/>
  <cols>
    <col min="2" max="3" width="23.6640625" customWidth="1"/>
  </cols>
  <sheetData>
    <row r="1" spans="1:12">
      <c r="A1" s="183" t="s">
        <v>578</v>
      </c>
      <c r="B1" s="184" t="s">
        <v>1529</v>
      </c>
      <c r="C1" s="184" t="s">
        <v>16</v>
      </c>
      <c r="D1" s="185"/>
    </row>
    <row r="2" spans="1:12">
      <c r="A2" s="36">
        <v>1</v>
      </c>
      <c r="B2" s="38">
        <v>1</v>
      </c>
      <c r="C2" s="38" t="s">
        <v>80</v>
      </c>
      <c r="D2" s="37"/>
      <c r="G2" s="145" t="s">
        <v>1530</v>
      </c>
      <c r="H2" s="145"/>
      <c r="I2" s="145"/>
      <c r="J2" s="145"/>
      <c r="K2" s="145"/>
      <c r="L2" s="145"/>
    </row>
    <row r="3" spans="1:12">
      <c r="A3" s="36">
        <v>2</v>
      </c>
      <c r="B3" s="38">
        <v>2</v>
      </c>
      <c r="C3" s="38" t="s">
        <v>93</v>
      </c>
      <c r="D3" s="37"/>
      <c r="G3" s="145" t="s">
        <v>1531</v>
      </c>
      <c r="H3" s="145"/>
      <c r="I3" s="145"/>
      <c r="J3" s="145"/>
      <c r="K3" s="145"/>
      <c r="L3" s="145"/>
    </row>
    <row r="4" spans="1:12">
      <c r="A4" s="36">
        <v>3</v>
      </c>
      <c r="B4" s="38">
        <v>3</v>
      </c>
      <c r="C4" s="38" t="s">
        <v>116</v>
      </c>
      <c r="D4" s="37"/>
      <c r="G4" s="145" t="s">
        <v>1532</v>
      </c>
      <c r="H4" s="145"/>
      <c r="I4" s="145"/>
      <c r="J4" s="145"/>
      <c r="K4" s="145"/>
      <c r="L4" s="145"/>
    </row>
    <row r="5" spans="1:12">
      <c r="A5" s="36">
        <v>4</v>
      </c>
      <c r="B5" s="38">
        <v>4</v>
      </c>
      <c r="C5" s="38" t="s">
        <v>119</v>
      </c>
      <c r="D5" s="37"/>
      <c r="G5" s="145" t="s">
        <v>1533</v>
      </c>
      <c r="H5" s="145"/>
      <c r="I5" s="145"/>
      <c r="J5" s="145"/>
      <c r="K5" s="145"/>
      <c r="L5" s="145"/>
    </row>
    <row r="6" spans="1:12">
      <c r="A6" s="36">
        <v>5</v>
      </c>
      <c r="B6" s="38">
        <v>5</v>
      </c>
      <c r="C6" s="38" t="s">
        <v>100</v>
      </c>
      <c r="D6" s="37"/>
      <c r="G6" s="145" t="s">
        <v>1534</v>
      </c>
      <c r="H6" s="145"/>
      <c r="I6" s="145"/>
      <c r="J6" s="145"/>
      <c r="K6" s="145"/>
      <c r="L6" s="145"/>
    </row>
    <row r="7" spans="1:12">
      <c r="A7" s="36">
        <v>6</v>
      </c>
      <c r="B7" s="38">
        <v>6</v>
      </c>
      <c r="C7" s="38" t="s">
        <v>107</v>
      </c>
      <c r="D7" s="37"/>
    </row>
    <row r="8" spans="1:12">
      <c r="A8" s="36">
        <v>7</v>
      </c>
      <c r="B8" s="38">
        <v>7</v>
      </c>
      <c r="C8" s="38" t="s">
        <v>123</v>
      </c>
      <c r="D8" s="37"/>
    </row>
    <row r="9" spans="1:12">
      <c r="A9" s="36">
        <v>8</v>
      </c>
      <c r="B9" s="38">
        <v>8</v>
      </c>
      <c r="C9" s="38" t="s">
        <v>321</v>
      </c>
      <c r="D9" s="37"/>
    </row>
    <row r="10" spans="1:12">
      <c r="A10" s="36">
        <v>9</v>
      </c>
      <c r="B10" s="38">
        <v>9</v>
      </c>
      <c r="C10" s="38" t="s">
        <v>614</v>
      </c>
      <c r="D10" s="37"/>
    </row>
    <row r="11" spans="1:12">
      <c r="A11" s="36">
        <v>10</v>
      </c>
      <c r="B11" s="38">
        <v>10</v>
      </c>
      <c r="C11" s="38" t="s">
        <v>149</v>
      </c>
      <c r="D11" s="37"/>
    </row>
    <row r="12" spans="1:12">
      <c r="A12" s="36">
        <v>11</v>
      </c>
      <c r="B12" s="38">
        <v>11</v>
      </c>
      <c r="C12" s="38" t="s">
        <v>138</v>
      </c>
      <c r="D12" s="37"/>
    </row>
    <row r="13" spans="1:12">
      <c r="A13" s="36">
        <v>12</v>
      </c>
      <c r="B13" s="38">
        <v>12</v>
      </c>
      <c r="C13" s="38" t="s">
        <v>628</v>
      </c>
      <c r="D13" s="37"/>
    </row>
    <row r="14" spans="1:12">
      <c r="A14" s="36">
        <v>13</v>
      </c>
      <c r="B14" s="38">
        <v>13</v>
      </c>
      <c r="C14" s="38" t="s">
        <v>251</v>
      </c>
      <c r="D14" s="37"/>
    </row>
    <row r="15" spans="1:12">
      <c r="A15" s="36">
        <v>14</v>
      </c>
      <c r="B15" s="38">
        <v>14</v>
      </c>
      <c r="C15" s="38" t="s">
        <v>129</v>
      </c>
      <c r="D15" s="37"/>
    </row>
    <row r="16" spans="1:12">
      <c r="A16" s="36">
        <v>15</v>
      </c>
      <c r="B16" s="38">
        <v>15</v>
      </c>
      <c r="C16" s="38" t="s">
        <v>174</v>
      </c>
      <c r="D16" s="37"/>
    </row>
    <row r="17" spans="1:4">
      <c r="A17" s="36">
        <v>16</v>
      </c>
      <c r="B17" s="38">
        <v>16</v>
      </c>
      <c r="C17" s="38" t="s">
        <v>167</v>
      </c>
      <c r="D17" s="37"/>
    </row>
    <row r="18" spans="1:4">
      <c r="A18" s="36">
        <v>17</v>
      </c>
      <c r="B18" s="38">
        <v>17</v>
      </c>
      <c r="C18" s="38" t="s">
        <v>157</v>
      </c>
      <c r="D18" s="37"/>
    </row>
    <row r="19" spans="1:4">
      <c r="A19" s="36">
        <v>18</v>
      </c>
      <c r="B19" s="38">
        <v>18</v>
      </c>
      <c r="C19" s="38" t="s">
        <v>188</v>
      </c>
      <c r="D19" s="37"/>
    </row>
    <row r="20" spans="1:4">
      <c r="A20" s="36">
        <v>19</v>
      </c>
      <c r="B20" s="38">
        <v>19</v>
      </c>
      <c r="C20" s="38" t="s">
        <v>634</v>
      </c>
      <c r="D20" s="37"/>
    </row>
    <row r="21" spans="1:4">
      <c r="A21" s="36">
        <v>20</v>
      </c>
      <c r="B21" s="38">
        <v>20</v>
      </c>
      <c r="C21" s="38" t="s">
        <v>204</v>
      </c>
      <c r="D21" s="37"/>
    </row>
    <row r="22" spans="1:4">
      <c r="A22" s="36">
        <v>21</v>
      </c>
      <c r="B22" s="38">
        <v>21</v>
      </c>
      <c r="C22" s="38" t="s">
        <v>181</v>
      </c>
      <c r="D22" s="37"/>
    </row>
    <row r="23" spans="1:4">
      <c r="A23" s="36">
        <v>22</v>
      </c>
      <c r="B23" s="38">
        <v>22</v>
      </c>
      <c r="C23" s="38" t="s">
        <v>198</v>
      </c>
      <c r="D23" s="37"/>
    </row>
    <row r="24" spans="1:4">
      <c r="A24" s="36">
        <v>23</v>
      </c>
      <c r="B24" s="38">
        <v>23</v>
      </c>
      <c r="C24" s="38" t="s">
        <v>283</v>
      </c>
      <c r="D24" s="37"/>
    </row>
    <row r="25" spans="1:4">
      <c r="A25" s="36">
        <v>24</v>
      </c>
      <c r="B25" s="38">
        <v>24</v>
      </c>
      <c r="C25" s="38" t="s">
        <v>254</v>
      </c>
      <c r="D25" s="37"/>
    </row>
    <row r="26" spans="1:4">
      <c r="A26" s="36">
        <v>25</v>
      </c>
      <c r="B26" s="38">
        <v>25</v>
      </c>
      <c r="C26" s="38" t="s">
        <v>1390</v>
      </c>
      <c r="D26" s="37"/>
    </row>
    <row r="27" spans="1:4">
      <c r="A27" s="36">
        <v>26</v>
      </c>
      <c r="B27" s="38">
        <v>26</v>
      </c>
      <c r="C27" s="38" t="s">
        <v>259</v>
      </c>
      <c r="D27" s="37"/>
    </row>
    <row r="28" spans="1:4">
      <c r="A28" s="36">
        <v>27</v>
      </c>
      <c r="B28" s="38">
        <v>27</v>
      </c>
      <c r="C28" s="38" t="s">
        <v>352</v>
      </c>
      <c r="D28" s="37"/>
    </row>
    <row r="29" spans="1:4">
      <c r="A29" s="36">
        <v>28</v>
      </c>
      <c r="B29" s="38">
        <v>28</v>
      </c>
      <c r="C29" s="38" t="s">
        <v>262</v>
      </c>
      <c r="D29" s="37"/>
    </row>
    <row r="30" spans="1:4">
      <c r="A30" s="36">
        <v>29</v>
      </c>
      <c r="B30" s="38">
        <v>29</v>
      </c>
      <c r="C30" s="38" t="s">
        <v>193</v>
      </c>
      <c r="D30" s="37"/>
    </row>
    <row r="31" spans="1:4">
      <c r="A31" s="36">
        <v>30</v>
      </c>
      <c r="B31" s="38">
        <v>30</v>
      </c>
      <c r="C31" s="38" t="s">
        <v>289</v>
      </c>
      <c r="D31" s="37"/>
    </row>
    <row r="32" spans="1:4">
      <c r="A32" s="36">
        <v>31</v>
      </c>
      <c r="B32" s="38">
        <v>31</v>
      </c>
      <c r="C32" s="38" t="s">
        <v>1394</v>
      </c>
      <c r="D32" s="37"/>
    </row>
    <row r="33" spans="1:4">
      <c r="A33" s="36">
        <v>32</v>
      </c>
      <c r="B33" s="38">
        <v>32</v>
      </c>
      <c r="C33" s="38" t="s">
        <v>303</v>
      </c>
      <c r="D33" s="37"/>
    </row>
    <row r="34" spans="1:4">
      <c r="A34" s="36">
        <v>33</v>
      </c>
      <c r="B34" s="38">
        <v>33</v>
      </c>
      <c r="C34" s="38" t="s">
        <v>217</v>
      </c>
      <c r="D34" s="37"/>
    </row>
    <row r="35" spans="1:4">
      <c r="A35" s="36">
        <v>34</v>
      </c>
      <c r="B35" s="38">
        <v>34</v>
      </c>
      <c r="C35" s="38" t="s">
        <v>420</v>
      </c>
      <c r="D35" s="37"/>
    </row>
    <row r="36" spans="1:4">
      <c r="A36" s="36">
        <v>35</v>
      </c>
      <c r="B36" s="38">
        <v>35</v>
      </c>
      <c r="C36" s="38" t="s">
        <v>229</v>
      </c>
      <c r="D36" s="37"/>
    </row>
    <row r="37" spans="1:4">
      <c r="A37" s="36">
        <v>36</v>
      </c>
      <c r="B37" s="38">
        <v>36</v>
      </c>
      <c r="C37" s="38" t="s">
        <v>221</v>
      </c>
      <c r="D37" s="37"/>
    </row>
    <row r="38" spans="1:4">
      <c r="A38" s="36">
        <v>37</v>
      </c>
      <c r="B38" s="38">
        <v>37</v>
      </c>
      <c r="C38" s="38" t="s">
        <v>233</v>
      </c>
      <c r="D38" s="37"/>
    </row>
    <row r="39" spans="1:4">
      <c r="A39" s="36">
        <v>38</v>
      </c>
      <c r="B39" s="38">
        <v>38</v>
      </c>
      <c r="C39" s="38" t="s">
        <v>654</v>
      </c>
      <c r="D39" s="37"/>
    </row>
    <row r="40" spans="1:4">
      <c r="A40" s="36">
        <v>39</v>
      </c>
      <c r="B40" s="38">
        <v>39</v>
      </c>
      <c r="C40" s="38" t="s">
        <v>236</v>
      </c>
      <c r="D40" s="37"/>
    </row>
    <row r="41" spans="1:4">
      <c r="A41" s="36">
        <v>40</v>
      </c>
      <c r="B41" s="38">
        <v>40</v>
      </c>
      <c r="C41" s="38" t="s">
        <v>242</v>
      </c>
      <c r="D41" s="37"/>
    </row>
    <row r="42" spans="1:4">
      <c r="A42" s="36">
        <v>41</v>
      </c>
      <c r="B42" s="38">
        <v>41</v>
      </c>
      <c r="C42" s="38" t="s">
        <v>662</v>
      </c>
      <c r="D42" s="37"/>
    </row>
    <row r="43" spans="1:4">
      <c r="A43" s="36">
        <v>42</v>
      </c>
      <c r="B43" s="38">
        <v>42</v>
      </c>
      <c r="C43" s="38" t="s">
        <v>348</v>
      </c>
      <c r="D43" s="37"/>
    </row>
    <row r="44" spans="1:4">
      <c r="A44" s="36">
        <v>43</v>
      </c>
      <c r="B44" s="38">
        <v>43</v>
      </c>
      <c r="C44" s="38" t="s">
        <v>359</v>
      </c>
      <c r="D44" s="37"/>
    </row>
    <row r="45" spans="1:4">
      <c r="A45" s="36">
        <v>44</v>
      </c>
      <c r="B45" s="38">
        <v>44</v>
      </c>
      <c r="C45" s="38" t="s">
        <v>1396</v>
      </c>
      <c r="D45" s="37"/>
    </row>
    <row r="46" spans="1:4">
      <c r="A46" s="36">
        <v>45</v>
      </c>
      <c r="B46" s="38">
        <v>45</v>
      </c>
      <c r="C46" s="38" t="s">
        <v>267</v>
      </c>
      <c r="D46" s="37"/>
    </row>
    <row r="47" spans="1:4">
      <c r="A47" s="36">
        <v>46</v>
      </c>
      <c r="B47" s="38">
        <v>46</v>
      </c>
      <c r="C47" s="38" t="s">
        <v>515</v>
      </c>
      <c r="D47" s="37"/>
    </row>
    <row r="48" spans="1:4">
      <c r="A48" s="36">
        <v>47</v>
      </c>
      <c r="B48" s="38">
        <v>47</v>
      </c>
      <c r="C48" s="38" t="s">
        <v>315</v>
      </c>
      <c r="D48" s="37"/>
    </row>
    <row r="49" spans="1:4">
      <c r="A49" s="36">
        <v>48</v>
      </c>
      <c r="B49" s="38">
        <v>48</v>
      </c>
      <c r="C49" s="38" t="s">
        <v>274</v>
      </c>
      <c r="D49" s="37"/>
    </row>
    <row r="50" spans="1:4">
      <c r="A50" s="36">
        <v>49</v>
      </c>
      <c r="B50" s="38">
        <v>49</v>
      </c>
      <c r="C50" s="38" t="s">
        <v>469</v>
      </c>
      <c r="D50" s="37"/>
    </row>
    <row r="51" spans="1:4">
      <c r="A51" s="36">
        <v>50</v>
      </c>
      <c r="B51" s="38">
        <v>50</v>
      </c>
      <c r="C51" s="38" t="s">
        <v>676</v>
      </c>
      <c r="D51" s="37"/>
    </row>
    <row r="52" spans="1:4">
      <c r="A52" s="36">
        <v>51</v>
      </c>
      <c r="B52" s="38">
        <v>51</v>
      </c>
      <c r="C52" s="38" t="s">
        <v>1399</v>
      </c>
      <c r="D52" s="37"/>
    </row>
    <row r="53" spans="1:4">
      <c r="A53" s="36">
        <v>52</v>
      </c>
      <c r="B53" s="38">
        <v>52</v>
      </c>
      <c r="C53" s="38" t="s">
        <v>684</v>
      </c>
      <c r="D53" s="37"/>
    </row>
    <row r="54" spans="1:4">
      <c r="A54" s="36">
        <v>54</v>
      </c>
      <c r="B54" s="38">
        <v>53</v>
      </c>
      <c r="C54" s="38" t="s">
        <v>480</v>
      </c>
      <c r="D54" s="37"/>
    </row>
    <row r="55" spans="1:4">
      <c r="A55" s="36">
        <v>55</v>
      </c>
      <c r="B55" s="38">
        <v>54</v>
      </c>
      <c r="C55" s="38" t="s">
        <v>281</v>
      </c>
      <c r="D55" s="37"/>
    </row>
    <row r="56" spans="1:4">
      <c r="A56" s="36">
        <v>56</v>
      </c>
      <c r="B56" s="38">
        <v>55</v>
      </c>
      <c r="C56" s="38" t="s">
        <v>692</v>
      </c>
      <c r="D56" s="37"/>
    </row>
    <row r="57" spans="1:4">
      <c r="A57" s="36">
        <v>58</v>
      </c>
      <c r="B57" s="38">
        <v>56</v>
      </c>
      <c r="C57" s="38" t="s">
        <v>1401</v>
      </c>
      <c r="D57" s="37"/>
    </row>
    <row r="58" spans="1:4">
      <c r="A58" s="36">
        <v>59</v>
      </c>
      <c r="B58" s="38">
        <v>57</v>
      </c>
      <c r="C58" s="38" t="s">
        <v>399</v>
      </c>
      <c r="D58" s="37"/>
    </row>
    <row r="59" spans="1:4">
      <c r="A59" s="36">
        <v>60</v>
      </c>
      <c r="B59" s="38">
        <v>58</v>
      </c>
      <c r="C59" s="38" t="s">
        <v>416</v>
      </c>
      <c r="D59" s="37"/>
    </row>
    <row r="60" spans="1:4">
      <c r="A60" s="36">
        <v>61</v>
      </c>
      <c r="B60" s="38">
        <v>59</v>
      </c>
      <c r="C60" s="38" t="s">
        <v>428</v>
      </c>
      <c r="D60" s="37"/>
    </row>
    <row r="61" spans="1:4">
      <c r="A61" s="36">
        <v>62</v>
      </c>
      <c r="B61" s="38">
        <v>60</v>
      </c>
      <c r="C61" s="38" t="s">
        <v>533</v>
      </c>
      <c r="D61" s="37"/>
    </row>
    <row r="62" spans="1:4">
      <c r="A62" s="36">
        <v>63</v>
      </c>
      <c r="B62" s="38">
        <v>61</v>
      </c>
      <c r="C62" s="38" t="s">
        <v>324</v>
      </c>
      <c r="D62" s="37"/>
    </row>
    <row r="63" spans="1:4">
      <c r="A63" s="36">
        <v>64</v>
      </c>
      <c r="B63" s="38">
        <v>62</v>
      </c>
      <c r="C63" s="38" t="s">
        <v>704</v>
      </c>
      <c r="D63" s="37"/>
    </row>
    <row r="64" spans="1:4">
      <c r="A64" s="36">
        <v>65</v>
      </c>
      <c r="B64" s="38">
        <v>63</v>
      </c>
      <c r="C64" s="38" t="s">
        <v>711</v>
      </c>
      <c r="D64" s="37"/>
    </row>
    <row r="65" spans="1:4">
      <c r="A65" s="36">
        <v>66</v>
      </c>
      <c r="B65" s="38">
        <v>64</v>
      </c>
      <c r="C65" s="38" t="s">
        <v>342</v>
      </c>
      <c r="D65" s="37"/>
    </row>
    <row r="66" spans="1:4">
      <c r="A66" s="36">
        <v>67</v>
      </c>
      <c r="B66" s="38">
        <v>65</v>
      </c>
      <c r="C66" s="38" t="s">
        <v>299</v>
      </c>
      <c r="D66" s="37"/>
    </row>
    <row r="67" spans="1:4">
      <c r="A67" s="36">
        <v>68</v>
      </c>
      <c r="B67" s="38">
        <v>66</v>
      </c>
      <c r="C67" s="38" t="s">
        <v>717</v>
      </c>
      <c r="D67" s="37"/>
    </row>
    <row r="68" spans="1:4">
      <c r="A68" s="36">
        <v>69</v>
      </c>
      <c r="B68" s="38">
        <v>67</v>
      </c>
      <c r="C68" s="38" t="s">
        <v>447</v>
      </c>
      <c r="D68" s="37"/>
    </row>
    <row r="69" spans="1:4">
      <c r="A69" s="36">
        <v>70</v>
      </c>
      <c r="B69" s="38">
        <v>68</v>
      </c>
      <c r="C69" s="38" t="s">
        <v>307</v>
      </c>
      <c r="D69" s="37"/>
    </row>
    <row r="70" spans="1:4">
      <c r="A70" s="36">
        <v>71</v>
      </c>
      <c r="B70" s="38">
        <v>69</v>
      </c>
      <c r="C70" s="38" t="s">
        <v>722</v>
      </c>
      <c r="D70" s="37"/>
    </row>
    <row r="71" spans="1:4">
      <c r="A71" s="36">
        <v>72</v>
      </c>
      <c r="B71" s="38">
        <v>70</v>
      </c>
      <c r="C71" s="38" t="s">
        <v>333</v>
      </c>
      <c r="D71" s="37"/>
    </row>
    <row r="72" spans="1:4">
      <c r="A72" s="36">
        <v>73</v>
      </c>
      <c r="B72" s="38">
        <v>71</v>
      </c>
      <c r="C72" s="38" t="s">
        <v>725</v>
      </c>
      <c r="D72" s="37"/>
    </row>
    <row r="73" spans="1:4">
      <c r="A73" s="36">
        <v>74</v>
      </c>
      <c r="B73" s="38">
        <v>72</v>
      </c>
      <c r="C73" s="38" t="s">
        <v>391</v>
      </c>
      <c r="D73" s="37"/>
    </row>
    <row r="74" spans="1:4">
      <c r="A74" s="36">
        <v>75</v>
      </c>
      <c r="B74" s="38">
        <v>73</v>
      </c>
      <c r="C74" s="38" t="s">
        <v>382</v>
      </c>
      <c r="D74" s="37"/>
    </row>
    <row r="75" spans="1:4">
      <c r="A75" s="36">
        <v>76</v>
      </c>
      <c r="B75" s="38">
        <v>74</v>
      </c>
      <c r="C75" s="38" t="s">
        <v>407</v>
      </c>
      <c r="D75" s="37"/>
    </row>
    <row r="76" spans="1:4">
      <c r="A76" s="36">
        <v>78</v>
      </c>
      <c r="B76" s="38">
        <v>75</v>
      </c>
      <c r="C76" s="38" t="s">
        <v>733</v>
      </c>
      <c r="D76" s="37"/>
    </row>
    <row r="77" spans="1:4">
      <c r="A77" s="36">
        <v>79</v>
      </c>
      <c r="B77" s="38">
        <v>76</v>
      </c>
      <c r="C77" s="38" t="s">
        <v>369</v>
      </c>
      <c r="D77" s="37"/>
    </row>
    <row r="78" spans="1:4">
      <c r="A78" s="36">
        <v>80</v>
      </c>
      <c r="B78" s="38">
        <v>77</v>
      </c>
      <c r="C78" s="38" t="s">
        <v>476</v>
      </c>
      <c r="D78" s="37"/>
    </row>
    <row r="79" spans="1:4">
      <c r="A79" s="36">
        <v>81</v>
      </c>
      <c r="B79" s="38">
        <v>78</v>
      </c>
      <c r="C79" s="38" t="s">
        <v>736</v>
      </c>
      <c r="D79" s="37"/>
    </row>
    <row r="80" spans="1:4">
      <c r="A80" s="36">
        <v>82</v>
      </c>
      <c r="B80" s="38">
        <v>79</v>
      </c>
      <c r="C80" s="38" t="s">
        <v>492</v>
      </c>
      <c r="D80" s="37"/>
    </row>
    <row r="81" spans="1:4">
      <c r="A81" s="36">
        <v>83</v>
      </c>
      <c r="B81" s="38">
        <v>80</v>
      </c>
      <c r="C81" s="38" t="s">
        <v>557</v>
      </c>
      <c r="D81" s="37"/>
    </row>
    <row r="82" spans="1:4">
      <c r="A82" s="36">
        <v>84</v>
      </c>
      <c r="B82" s="38">
        <v>81</v>
      </c>
      <c r="C82" s="38" t="s">
        <v>1406</v>
      </c>
      <c r="D82" s="37"/>
    </row>
    <row r="83" spans="1:4">
      <c r="A83" s="36">
        <v>85</v>
      </c>
      <c r="B83" s="38">
        <v>82</v>
      </c>
      <c r="C83" s="38" t="s">
        <v>459</v>
      </c>
      <c r="D83" s="37"/>
    </row>
    <row r="84" spans="1:4">
      <c r="A84" s="36">
        <v>86</v>
      </c>
      <c r="B84" s="38">
        <v>83</v>
      </c>
      <c r="C84" s="38" t="s">
        <v>745</v>
      </c>
      <c r="D84" s="37"/>
    </row>
    <row r="85" spans="1:4">
      <c r="A85" s="36">
        <v>88</v>
      </c>
      <c r="B85" s="38">
        <v>84</v>
      </c>
      <c r="C85" s="38" t="s">
        <v>750</v>
      </c>
      <c r="D85" s="37"/>
    </row>
    <row r="86" spans="1:4">
      <c r="A86" s="36">
        <v>89</v>
      </c>
      <c r="B86" s="38">
        <v>85</v>
      </c>
      <c r="C86" s="38" t="s">
        <v>538</v>
      </c>
      <c r="D86" s="37"/>
    </row>
    <row r="87" spans="1:4">
      <c r="A87" s="36">
        <v>92</v>
      </c>
      <c r="B87" s="38">
        <v>86</v>
      </c>
      <c r="C87" s="38" t="s">
        <v>364</v>
      </c>
      <c r="D87" s="37"/>
    </row>
    <row r="88" spans="1:4">
      <c r="A88" s="36">
        <v>93</v>
      </c>
      <c r="B88" s="38">
        <v>87</v>
      </c>
      <c r="C88" s="38" t="s">
        <v>759</v>
      </c>
      <c r="D88" s="37"/>
    </row>
    <row r="89" spans="1:4">
      <c r="A89" s="36">
        <v>94</v>
      </c>
      <c r="B89" s="38">
        <v>88</v>
      </c>
      <c r="C89" s="38" t="s">
        <v>560</v>
      </c>
      <c r="D89" s="37"/>
    </row>
    <row r="90" spans="1:4">
      <c r="A90" s="36">
        <v>95</v>
      </c>
      <c r="B90" s="38">
        <v>89</v>
      </c>
      <c r="C90" s="38" t="s">
        <v>376</v>
      </c>
      <c r="D90" s="37"/>
    </row>
    <row r="91" spans="1:4">
      <c r="A91" s="36">
        <v>96</v>
      </c>
      <c r="B91" s="38">
        <v>90</v>
      </c>
      <c r="C91" s="38" t="s">
        <v>1409</v>
      </c>
      <c r="D91" s="37"/>
    </row>
    <row r="92" spans="1:4">
      <c r="A92" s="36">
        <v>97</v>
      </c>
      <c r="B92" s="38">
        <v>91</v>
      </c>
      <c r="C92" s="38" t="s">
        <v>432</v>
      </c>
      <c r="D92" s="37"/>
    </row>
    <row r="93" spans="1:4">
      <c r="A93" s="36">
        <v>98</v>
      </c>
      <c r="B93" s="38">
        <v>92</v>
      </c>
      <c r="C93" s="38" t="s">
        <v>767</v>
      </c>
      <c r="D93" s="37"/>
    </row>
    <row r="94" spans="1:4">
      <c r="A94" s="36">
        <v>99</v>
      </c>
      <c r="B94" s="38">
        <v>93</v>
      </c>
      <c r="C94" s="38" t="s">
        <v>770</v>
      </c>
      <c r="D94" s="37"/>
    </row>
    <row r="95" spans="1:4">
      <c r="A95" s="36">
        <v>100</v>
      </c>
      <c r="B95" s="38">
        <v>94</v>
      </c>
      <c r="C95" s="38" t="s">
        <v>439</v>
      </c>
      <c r="D95" s="37"/>
    </row>
    <row r="96" spans="1:4">
      <c r="A96" s="36">
        <v>101</v>
      </c>
      <c r="B96" s="38">
        <v>95</v>
      </c>
      <c r="C96" s="38" t="s">
        <v>385</v>
      </c>
      <c r="D96" s="37"/>
    </row>
    <row r="97" spans="1:4">
      <c r="A97" s="36">
        <v>103</v>
      </c>
      <c r="B97" s="38">
        <v>96</v>
      </c>
      <c r="C97" s="38" t="s">
        <v>414</v>
      </c>
      <c r="D97" s="37"/>
    </row>
    <row r="98" spans="1:4">
      <c r="A98" s="36">
        <v>104</v>
      </c>
      <c r="B98" s="38">
        <v>97</v>
      </c>
      <c r="C98" s="38" t="s">
        <v>1411</v>
      </c>
      <c r="D98" s="37"/>
    </row>
    <row r="99" spans="1:4">
      <c r="A99" s="36">
        <v>105</v>
      </c>
      <c r="B99" s="38">
        <v>98</v>
      </c>
      <c r="C99" s="38" t="s">
        <v>784</v>
      </c>
      <c r="D99" s="37"/>
    </row>
    <row r="100" spans="1:4">
      <c r="A100" s="36">
        <v>106</v>
      </c>
      <c r="B100" s="38">
        <v>99</v>
      </c>
      <c r="C100" s="38" t="s">
        <v>403</v>
      </c>
      <c r="D100" s="37"/>
    </row>
    <row r="101" spans="1:4">
      <c r="A101" s="36">
        <v>107</v>
      </c>
      <c r="B101" s="38">
        <v>100</v>
      </c>
      <c r="C101" s="38" t="s">
        <v>411</v>
      </c>
      <c r="D101" s="37"/>
    </row>
    <row r="102" spans="1:4">
      <c r="A102" s="36">
        <v>108</v>
      </c>
      <c r="B102" s="38">
        <v>101</v>
      </c>
      <c r="C102" s="38" t="s">
        <v>1413</v>
      </c>
      <c r="D102" s="37"/>
    </row>
    <row r="103" spans="1:4">
      <c r="A103" s="36">
        <v>109</v>
      </c>
      <c r="B103" s="38">
        <v>102</v>
      </c>
      <c r="C103" s="38" t="s">
        <v>388</v>
      </c>
      <c r="D103" s="37"/>
    </row>
    <row r="104" spans="1:4">
      <c r="A104" s="36">
        <v>110</v>
      </c>
      <c r="B104" s="38">
        <v>103</v>
      </c>
      <c r="C104" s="38" t="s">
        <v>394</v>
      </c>
      <c r="D104" s="37"/>
    </row>
    <row r="105" spans="1:4">
      <c r="A105" s="36">
        <v>111</v>
      </c>
      <c r="B105" s="38">
        <v>104</v>
      </c>
      <c r="C105" s="38" t="s">
        <v>486</v>
      </c>
      <c r="D105" s="37"/>
    </row>
    <row r="106" spans="1:4">
      <c r="A106" s="36">
        <v>112</v>
      </c>
      <c r="B106" s="38">
        <v>105</v>
      </c>
      <c r="C106" s="38" t="s">
        <v>498</v>
      </c>
      <c r="D106" s="37"/>
    </row>
    <row r="107" spans="1:4">
      <c r="A107" s="36">
        <v>113</v>
      </c>
      <c r="B107" s="38">
        <v>106</v>
      </c>
      <c r="C107" s="38" t="s">
        <v>489</v>
      </c>
      <c r="D107" s="37"/>
    </row>
    <row r="108" spans="1:4">
      <c r="A108" s="36">
        <v>114</v>
      </c>
      <c r="B108" s="38">
        <v>107</v>
      </c>
      <c r="C108" s="38" t="s">
        <v>800</v>
      </c>
      <c r="D108" s="37"/>
    </row>
    <row r="109" spans="1:4">
      <c r="A109" s="36">
        <v>115</v>
      </c>
      <c r="B109" s="38">
        <v>108</v>
      </c>
      <c r="C109" s="38" t="s">
        <v>803</v>
      </c>
      <c r="D109" s="37"/>
    </row>
    <row r="110" spans="1:4">
      <c r="A110" s="36">
        <v>116</v>
      </c>
      <c r="B110" s="38">
        <v>109</v>
      </c>
      <c r="C110" s="38" t="s">
        <v>424</v>
      </c>
      <c r="D110" s="37"/>
    </row>
    <row r="111" spans="1:4">
      <c r="A111" s="36">
        <v>117</v>
      </c>
      <c r="B111" s="38">
        <v>110</v>
      </c>
      <c r="C111" s="38" t="s">
        <v>443</v>
      </c>
      <c r="D111" s="37"/>
    </row>
    <row r="112" spans="1:4">
      <c r="A112" s="36">
        <v>118</v>
      </c>
      <c r="B112" s="38">
        <v>111</v>
      </c>
      <c r="C112" s="38" t="s">
        <v>535</v>
      </c>
      <c r="D112" s="37"/>
    </row>
    <row r="113" spans="1:4">
      <c r="A113" s="36">
        <v>119</v>
      </c>
      <c r="B113" s="38">
        <v>112</v>
      </c>
      <c r="C113" s="38" t="s">
        <v>809</v>
      </c>
      <c r="D113" s="37"/>
    </row>
    <row r="114" spans="1:4">
      <c r="A114" s="36">
        <v>120</v>
      </c>
      <c r="B114" s="38">
        <v>113</v>
      </c>
      <c r="C114" s="38" t="s">
        <v>435</v>
      </c>
      <c r="D114" s="37"/>
    </row>
    <row r="115" spans="1:4">
      <c r="A115" s="36">
        <v>121</v>
      </c>
      <c r="B115" s="38">
        <v>114</v>
      </c>
      <c r="C115" s="38" t="s">
        <v>816</v>
      </c>
      <c r="D115" s="37"/>
    </row>
    <row r="116" spans="1:4">
      <c r="A116" s="36">
        <v>122</v>
      </c>
      <c r="B116" s="38">
        <v>115</v>
      </c>
      <c r="C116" s="38" t="s">
        <v>824</v>
      </c>
      <c r="D116" s="37"/>
    </row>
    <row r="117" spans="1:4">
      <c r="A117" s="36">
        <v>123</v>
      </c>
      <c r="B117" s="38">
        <v>116</v>
      </c>
      <c r="C117" s="38" t="s">
        <v>827</v>
      </c>
      <c r="D117" s="37"/>
    </row>
    <row r="118" spans="1:4">
      <c r="A118" s="36">
        <v>124</v>
      </c>
      <c r="B118" s="38">
        <v>117</v>
      </c>
      <c r="C118" s="38" t="s">
        <v>830</v>
      </c>
      <c r="D118" s="37"/>
    </row>
    <row r="119" spans="1:4">
      <c r="A119" s="36">
        <v>125</v>
      </c>
      <c r="B119" s="38">
        <v>118</v>
      </c>
      <c r="C119" s="38" t="s">
        <v>508</v>
      </c>
      <c r="D119" s="37"/>
    </row>
    <row r="120" spans="1:4">
      <c r="A120" s="36">
        <v>126</v>
      </c>
      <c r="B120" s="38">
        <v>119</v>
      </c>
      <c r="C120" s="38" t="s">
        <v>517</v>
      </c>
      <c r="D120" s="37"/>
    </row>
    <row r="121" spans="1:4">
      <c r="A121" s="36">
        <v>127</v>
      </c>
      <c r="B121" s="38">
        <v>120</v>
      </c>
      <c r="C121" s="38" t="s">
        <v>511</v>
      </c>
      <c r="D121" s="37"/>
    </row>
    <row r="122" spans="1:4">
      <c r="A122" s="36">
        <v>128</v>
      </c>
      <c r="B122" s="38">
        <v>121</v>
      </c>
      <c r="C122" s="38" t="s">
        <v>525</v>
      </c>
      <c r="D122" s="37"/>
    </row>
    <row r="123" spans="1:4">
      <c r="A123" s="36">
        <v>129</v>
      </c>
      <c r="B123" s="38">
        <v>122</v>
      </c>
      <c r="C123" s="38" t="s">
        <v>462</v>
      </c>
      <c r="D123" s="37"/>
    </row>
    <row r="124" spans="1:4">
      <c r="A124" s="36">
        <v>130</v>
      </c>
      <c r="B124" s="38">
        <v>123</v>
      </c>
      <c r="C124" s="38" t="s">
        <v>451</v>
      </c>
      <c r="D124" s="37"/>
    </row>
    <row r="125" spans="1:4">
      <c r="A125" s="36">
        <v>131</v>
      </c>
      <c r="B125" s="38">
        <v>124</v>
      </c>
      <c r="C125" s="38" t="s">
        <v>1415</v>
      </c>
      <c r="D125" s="37"/>
    </row>
    <row r="126" spans="1:4">
      <c r="A126" s="36">
        <v>132</v>
      </c>
      <c r="B126" s="38">
        <v>125</v>
      </c>
      <c r="C126" s="38" t="s">
        <v>513</v>
      </c>
      <c r="D126" s="37"/>
    </row>
    <row r="127" spans="1:4">
      <c r="A127" s="36">
        <v>133</v>
      </c>
      <c r="B127" s="38">
        <v>126</v>
      </c>
      <c r="C127" s="38" t="s">
        <v>457</v>
      </c>
      <c r="D127" s="37"/>
    </row>
    <row r="128" spans="1:4">
      <c r="A128" s="36">
        <v>134</v>
      </c>
      <c r="B128" s="38">
        <v>127</v>
      </c>
      <c r="C128" s="38" t="s">
        <v>838</v>
      </c>
      <c r="D128" s="37"/>
    </row>
    <row r="129" spans="1:4">
      <c r="A129" s="36">
        <v>135</v>
      </c>
      <c r="B129" s="38">
        <v>128</v>
      </c>
      <c r="C129" s="38" t="s">
        <v>467</v>
      </c>
      <c r="D129" s="37"/>
    </row>
    <row r="130" spans="1:4">
      <c r="A130" s="36">
        <v>136</v>
      </c>
      <c r="B130" s="38">
        <v>129</v>
      </c>
      <c r="C130" s="38" t="s">
        <v>844</v>
      </c>
      <c r="D130" s="37"/>
    </row>
    <row r="131" spans="1:4">
      <c r="A131" s="36">
        <v>138</v>
      </c>
      <c r="B131" s="38">
        <v>130</v>
      </c>
      <c r="C131" s="38" t="s">
        <v>852</v>
      </c>
      <c r="D131" s="37"/>
    </row>
    <row r="132" spans="1:4">
      <c r="A132" s="36">
        <v>140</v>
      </c>
      <c r="B132" s="38">
        <v>131</v>
      </c>
      <c r="C132" s="38" t="s">
        <v>1418</v>
      </c>
      <c r="D132" s="37"/>
    </row>
    <row r="133" spans="1:4">
      <c r="A133" s="36">
        <v>141</v>
      </c>
      <c r="B133" s="38">
        <v>132</v>
      </c>
      <c r="C133" s="38" t="s">
        <v>1420</v>
      </c>
      <c r="D133" s="37"/>
    </row>
    <row r="134" spans="1:4">
      <c r="A134" s="36">
        <v>142</v>
      </c>
      <c r="B134" s="38">
        <v>133</v>
      </c>
      <c r="C134" s="38" t="s">
        <v>482</v>
      </c>
      <c r="D134" s="37"/>
    </row>
    <row r="135" spans="1:4">
      <c r="A135" s="36">
        <v>143</v>
      </c>
      <c r="B135" s="38">
        <v>134</v>
      </c>
      <c r="C135" s="38" t="s">
        <v>1422</v>
      </c>
      <c r="D135" s="37"/>
    </row>
    <row r="136" spans="1:4">
      <c r="A136" s="36">
        <v>144</v>
      </c>
      <c r="B136" s="38">
        <v>135</v>
      </c>
      <c r="C136" s="38" t="s">
        <v>873</v>
      </c>
      <c r="D136" s="37"/>
    </row>
    <row r="137" spans="1:4">
      <c r="A137" s="36">
        <v>145</v>
      </c>
      <c r="B137" s="38">
        <v>136</v>
      </c>
      <c r="C137" s="38" t="s">
        <v>879</v>
      </c>
      <c r="D137" s="37"/>
    </row>
    <row r="138" spans="1:4">
      <c r="A138" s="36">
        <v>146</v>
      </c>
      <c r="B138" s="38">
        <v>137</v>
      </c>
      <c r="C138" s="38" t="s">
        <v>881</v>
      </c>
      <c r="D138" s="37"/>
    </row>
    <row r="139" spans="1:4">
      <c r="A139" s="36">
        <v>147</v>
      </c>
      <c r="B139" s="38">
        <v>138</v>
      </c>
      <c r="C139" s="38" t="s">
        <v>505</v>
      </c>
      <c r="D139" s="37"/>
    </row>
    <row r="140" spans="1:4">
      <c r="A140" s="36">
        <v>148</v>
      </c>
      <c r="B140" s="38">
        <v>139</v>
      </c>
      <c r="C140" s="38" t="s">
        <v>522</v>
      </c>
      <c r="D140" s="37"/>
    </row>
    <row r="141" spans="1:4">
      <c r="A141" s="36">
        <v>149</v>
      </c>
      <c r="B141" s="38">
        <v>140</v>
      </c>
      <c r="C141" s="38" t="s">
        <v>1425</v>
      </c>
      <c r="D141" s="37"/>
    </row>
    <row r="142" spans="1:4">
      <c r="A142" s="36">
        <v>150</v>
      </c>
      <c r="B142" s="38">
        <v>141</v>
      </c>
      <c r="C142" s="38" t="s">
        <v>889</v>
      </c>
      <c r="D142" s="37"/>
    </row>
    <row r="143" spans="1:4">
      <c r="A143" s="36">
        <v>151</v>
      </c>
      <c r="B143" s="38">
        <v>142</v>
      </c>
      <c r="C143" s="38" t="s">
        <v>893</v>
      </c>
      <c r="D143" s="37"/>
    </row>
    <row r="144" spans="1:4">
      <c r="A144" s="36">
        <v>152</v>
      </c>
      <c r="B144" s="38">
        <v>143</v>
      </c>
      <c r="C144" s="38" t="s">
        <v>550</v>
      </c>
      <c r="D144" s="37"/>
    </row>
    <row r="145" spans="1:4">
      <c r="A145" s="36">
        <v>153</v>
      </c>
      <c r="B145" s="38">
        <v>144</v>
      </c>
      <c r="C145" s="38" t="s">
        <v>541</v>
      </c>
      <c r="D145" s="37"/>
    </row>
    <row r="146" spans="1:4">
      <c r="A146" s="36">
        <v>154</v>
      </c>
      <c r="B146" s="38">
        <v>145</v>
      </c>
      <c r="C146" s="38" t="s">
        <v>898</v>
      </c>
      <c r="D146" s="37"/>
    </row>
    <row r="147" spans="1:4">
      <c r="A147" s="36">
        <v>156</v>
      </c>
      <c r="B147" s="38">
        <v>146</v>
      </c>
      <c r="C147" s="38" t="s">
        <v>905</v>
      </c>
      <c r="D147" s="37"/>
    </row>
    <row r="148" spans="1:4">
      <c r="A148" s="36">
        <v>157</v>
      </c>
      <c r="B148" s="38">
        <v>147</v>
      </c>
      <c r="C148" s="38" t="s">
        <v>1427</v>
      </c>
      <c r="D148" s="37"/>
    </row>
    <row r="149" spans="1:4">
      <c r="A149" s="36">
        <v>159</v>
      </c>
      <c r="B149" s="38">
        <v>148</v>
      </c>
      <c r="C149" s="38" t="s">
        <v>918</v>
      </c>
      <c r="D149" s="37"/>
    </row>
    <row r="150" spans="1:4">
      <c r="A150" s="36">
        <v>160</v>
      </c>
      <c r="B150" s="38">
        <v>149</v>
      </c>
      <c r="C150" s="38" t="s">
        <v>923</v>
      </c>
      <c r="D150" s="37"/>
    </row>
    <row r="151" spans="1:4">
      <c r="A151" s="36">
        <v>161</v>
      </c>
      <c r="B151" s="38">
        <v>150</v>
      </c>
      <c r="C151" s="38" t="s">
        <v>1432</v>
      </c>
      <c r="D151" s="37"/>
    </row>
    <row r="152" spans="1:4">
      <c r="A152" s="36">
        <v>162</v>
      </c>
      <c r="B152" s="38">
        <v>151</v>
      </c>
      <c r="C152" s="38" t="s">
        <v>933</v>
      </c>
      <c r="D152" s="37"/>
    </row>
    <row r="153" spans="1:4">
      <c r="A153" s="36">
        <v>163</v>
      </c>
      <c r="B153" s="38">
        <v>152</v>
      </c>
      <c r="C153" s="38" t="s">
        <v>937</v>
      </c>
      <c r="D153" s="37"/>
    </row>
    <row r="154" spans="1:4">
      <c r="A154" s="36">
        <v>164</v>
      </c>
      <c r="B154" s="38">
        <v>153</v>
      </c>
      <c r="C154" s="38" t="s">
        <v>941</v>
      </c>
      <c r="D154" s="37"/>
    </row>
    <row r="155" spans="1:4">
      <c r="A155" s="36">
        <v>165</v>
      </c>
      <c r="B155" s="38">
        <v>154</v>
      </c>
      <c r="C155" s="38" t="s">
        <v>947</v>
      </c>
      <c r="D155" s="37"/>
    </row>
    <row r="156" spans="1:4">
      <c r="A156" s="36">
        <v>166</v>
      </c>
      <c r="B156" s="38">
        <v>155</v>
      </c>
      <c r="C156" s="38" t="s">
        <v>950</v>
      </c>
      <c r="D156" s="37"/>
    </row>
    <row r="157" spans="1:4">
      <c r="A157" s="36">
        <v>167</v>
      </c>
      <c r="B157" s="38">
        <v>156</v>
      </c>
      <c r="C157" s="38" t="s">
        <v>953</v>
      </c>
      <c r="D157" s="37"/>
    </row>
    <row r="158" spans="1:4">
      <c r="A158" s="36">
        <v>168</v>
      </c>
      <c r="B158" s="38">
        <v>157</v>
      </c>
      <c r="C158" s="38" t="s">
        <v>956</v>
      </c>
      <c r="D158" s="37"/>
    </row>
    <row r="159" spans="1:4">
      <c r="A159" s="36">
        <v>169</v>
      </c>
      <c r="B159" s="38">
        <v>158</v>
      </c>
      <c r="C159" s="38" t="s">
        <v>528</v>
      </c>
      <c r="D159" s="37"/>
    </row>
    <row r="160" spans="1:4">
      <c r="A160" s="36">
        <v>170</v>
      </c>
      <c r="B160" s="38">
        <v>159</v>
      </c>
      <c r="C160" s="38" t="s">
        <v>1436</v>
      </c>
      <c r="D160" s="37"/>
    </row>
    <row r="161" spans="1:4">
      <c r="A161" s="36">
        <v>171</v>
      </c>
      <c r="B161" s="38">
        <v>160</v>
      </c>
      <c r="C161" s="38" t="s">
        <v>967</v>
      </c>
      <c r="D161" s="37"/>
    </row>
    <row r="162" spans="1:4">
      <c r="A162" s="36">
        <v>172</v>
      </c>
      <c r="B162" s="38">
        <v>161</v>
      </c>
      <c r="C162" s="38" t="s">
        <v>553</v>
      </c>
      <c r="D162" s="37"/>
    </row>
    <row r="163" spans="1:4">
      <c r="A163" s="36">
        <v>173</v>
      </c>
      <c r="B163" s="38">
        <v>162</v>
      </c>
      <c r="C163" s="38" t="s">
        <v>977</v>
      </c>
      <c r="D163" s="37"/>
    </row>
    <row r="164" spans="1:4">
      <c r="A164" s="36">
        <v>174</v>
      </c>
      <c r="B164" s="38">
        <v>163</v>
      </c>
      <c r="C164" s="38" t="s">
        <v>980</v>
      </c>
      <c r="D164" s="37"/>
    </row>
    <row r="165" spans="1:4">
      <c r="A165" s="36">
        <v>175</v>
      </c>
      <c r="B165" s="38">
        <v>164</v>
      </c>
      <c r="C165" s="38" t="s">
        <v>986</v>
      </c>
      <c r="D165" s="37"/>
    </row>
    <row r="166" spans="1:4">
      <c r="A166" s="36">
        <v>176</v>
      </c>
      <c r="B166" s="38">
        <v>165</v>
      </c>
      <c r="C166" s="38" t="s">
        <v>989</v>
      </c>
      <c r="D166" s="37"/>
    </row>
    <row r="167" spans="1:4">
      <c r="A167" s="36">
        <v>177</v>
      </c>
      <c r="B167" s="38">
        <v>166</v>
      </c>
      <c r="C167" s="38" t="s">
        <v>992</v>
      </c>
      <c r="D167" s="37"/>
    </row>
    <row r="168" spans="1:4">
      <c r="A168" s="36">
        <v>178</v>
      </c>
      <c r="B168" s="38">
        <v>167</v>
      </c>
      <c r="C168" s="38" t="s">
        <v>995</v>
      </c>
      <c r="D168" s="37"/>
    </row>
    <row r="169" spans="1:4">
      <c r="A169" s="36">
        <v>179</v>
      </c>
      <c r="B169" s="38">
        <v>168</v>
      </c>
      <c r="C169" s="38" t="s">
        <v>998</v>
      </c>
      <c r="D169" s="37"/>
    </row>
    <row r="170" spans="1:4">
      <c r="A170" s="36">
        <v>181</v>
      </c>
      <c r="B170" s="38">
        <v>169</v>
      </c>
      <c r="C170" s="38" t="s">
        <v>1003</v>
      </c>
      <c r="D170" s="37"/>
    </row>
    <row r="171" spans="1:4">
      <c r="A171" s="36">
        <v>182</v>
      </c>
      <c r="B171" s="38">
        <v>170</v>
      </c>
      <c r="C171" s="38" t="s">
        <v>1011</v>
      </c>
      <c r="D171" s="37"/>
    </row>
    <row r="172" spans="1:4">
      <c r="A172" s="36">
        <v>184</v>
      </c>
      <c r="B172" s="38">
        <v>171</v>
      </c>
      <c r="C172" s="38" t="s">
        <v>1015</v>
      </c>
      <c r="D172" s="37"/>
    </row>
    <row r="173" spans="1:4">
      <c r="A173" s="36">
        <v>185</v>
      </c>
      <c r="B173" s="38">
        <v>172</v>
      </c>
      <c r="C173" s="38" t="s">
        <v>1020</v>
      </c>
      <c r="D173" s="37"/>
    </row>
    <row r="174" spans="1:4">
      <c r="A174" s="36">
        <v>187</v>
      </c>
      <c r="B174" s="38">
        <v>173</v>
      </c>
      <c r="C174" s="38" t="s">
        <v>1027</v>
      </c>
      <c r="D174" s="37"/>
    </row>
    <row r="175" spans="1:4">
      <c r="A175" s="36">
        <v>188</v>
      </c>
      <c r="B175" s="38">
        <v>174</v>
      </c>
      <c r="C175" s="38" t="s">
        <v>1029</v>
      </c>
      <c r="D175" s="37"/>
    </row>
    <row r="176" spans="1:4">
      <c r="A176" s="36">
        <v>189</v>
      </c>
      <c r="B176" s="38">
        <v>175</v>
      </c>
      <c r="C176" s="38" t="s">
        <v>1034</v>
      </c>
      <c r="D176" s="37"/>
    </row>
    <row r="177" spans="1:4">
      <c r="A177" s="36">
        <v>190</v>
      </c>
      <c r="B177" s="38">
        <v>176</v>
      </c>
      <c r="C177" s="38" t="s">
        <v>1039</v>
      </c>
      <c r="D177" s="37"/>
    </row>
    <row r="178" spans="1:4">
      <c r="A178" s="36">
        <v>191</v>
      </c>
      <c r="B178" s="38">
        <v>177</v>
      </c>
      <c r="C178" s="38" t="s">
        <v>1042</v>
      </c>
      <c r="D178" s="37"/>
    </row>
    <row r="179" spans="1:4">
      <c r="A179" s="36">
        <v>192</v>
      </c>
      <c r="B179" s="38">
        <v>178</v>
      </c>
      <c r="C179" s="38" t="s">
        <v>1438</v>
      </c>
      <c r="D179" s="37"/>
    </row>
    <row r="180" spans="1:4">
      <c r="A180" s="36">
        <v>193</v>
      </c>
      <c r="B180" s="38">
        <v>179</v>
      </c>
      <c r="C180" s="38" t="s">
        <v>1049</v>
      </c>
      <c r="D180" s="37"/>
    </row>
    <row r="181" spans="1:4">
      <c r="A181" s="36">
        <v>194</v>
      </c>
      <c r="B181" s="38">
        <v>180</v>
      </c>
      <c r="C181" s="38" t="s">
        <v>1053</v>
      </c>
      <c r="D181" s="37"/>
    </row>
    <row r="182" spans="1:4">
      <c r="A182" s="36">
        <v>196</v>
      </c>
      <c r="B182" s="38">
        <v>181</v>
      </c>
      <c r="C182" s="38" t="s">
        <v>1057</v>
      </c>
      <c r="D182" s="37"/>
    </row>
    <row r="183" spans="1:4">
      <c r="A183" s="36">
        <v>197</v>
      </c>
      <c r="B183" s="38">
        <v>182</v>
      </c>
      <c r="C183" s="38" t="s">
        <v>1060</v>
      </c>
      <c r="D183" s="37"/>
    </row>
    <row r="184" spans="1:4">
      <c r="A184" s="36">
        <v>198</v>
      </c>
      <c r="B184" s="38">
        <v>183</v>
      </c>
      <c r="C184" s="38" t="s">
        <v>1063</v>
      </c>
      <c r="D184" s="37"/>
    </row>
    <row r="185" spans="1:4">
      <c r="A185" s="36">
        <v>199</v>
      </c>
      <c r="B185" s="38">
        <v>184</v>
      </c>
      <c r="C185" s="38" t="s">
        <v>1067</v>
      </c>
      <c r="D185" s="37"/>
    </row>
    <row r="186" spans="1:4">
      <c r="A186" s="36">
        <v>200</v>
      </c>
      <c r="B186" s="38">
        <v>185</v>
      </c>
      <c r="C186" s="38" t="s">
        <v>1072</v>
      </c>
      <c r="D186" s="37"/>
    </row>
    <row r="187" spans="1:4">
      <c r="A187" s="36">
        <v>201</v>
      </c>
      <c r="B187" s="38">
        <v>186</v>
      </c>
      <c r="C187" s="38" t="s">
        <v>1076</v>
      </c>
      <c r="D187" s="37"/>
    </row>
    <row r="188" spans="1:4">
      <c r="A188" s="36">
        <v>202</v>
      </c>
      <c r="B188" s="38">
        <v>187</v>
      </c>
      <c r="C188" s="38" t="s">
        <v>1080</v>
      </c>
      <c r="D188" s="37"/>
    </row>
    <row r="189" spans="1:4">
      <c r="A189" s="36">
        <v>203</v>
      </c>
      <c r="B189" s="38">
        <v>188</v>
      </c>
      <c r="C189" s="38" t="s">
        <v>1085</v>
      </c>
      <c r="D189" s="37"/>
    </row>
    <row r="190" spans="1:4">
      <c r="A190" s="36">
        <v>204</v>
      </c>
      <c r="B190" s="38">
        <v>189</v>
      </c>
      <c r="C190" s="38" t="s">
        <v>1089</v>
      </c>
      <c r="D190" s="37"/>
    </row>
    <row r="191" spans="1:4">
      <c r="A191" s="36">
        <v>205</v>
      </c>
      <c r="B191" s="38">
        <v>190</v>
      </c>
      <c r="C191" s="38" t="s">
        <v>1091</v>
      </c>
      <c r="D191" s="37"/>
    </row>
    <row r="192" spans="1:4">
      <c r="A192" s="36">
        <v>206</v>
      </c>
      <c r="B192" s="38">
        <v>191</v>
      </c>
      <c r="C192" s="38" t="s">
        <v>1095</v>
      </c>
      <c r="D192" s="37"/>
    </row>
    <row r="193" spans="1:4">
      <c r="A193" s="36">
        <v>207</v>
      </c>
      <c r="B193" s="38">
        <v>192</v>
      </c>
      <c r="C193" s="38" t="s">
        <v>1097</v>
      </c>
      <c r="D193" s="37"/>
    </row>
    <row r="194" spans="1:4">
      <c r="A194" s="36">
        <v>209</v>
      </c>
      <c r="B194" s="38">
        <v>193</v>
      </c>
      <c r="C194" s="38" t="s">
        <v>1103</v>
      </c>
      <c r="D194" s="37"/>
    </row>
    <row r="195" spans="1:4">
      <c r="A195" s="36">
        <v>210</v>
      </c>
      <c r="B195" s="38">
        <v>194</v>
      </c>
      <c r="C195" s="38" t="s">
        <v>564</v>
      </c>
      <c r="D195" s="37"/>
    </row>
    <row r="196" spans="1:4">
      <c r="A196" s="36">
        <v>211</v>
      </c>
      <c r="B196" s="38">
        <v>195</v>
      </c>
      <c r="C196" s="38" t="s">
        <v>1108</v>
      </c>
      <c r="D196" s="37"/>
    </row>
    <row r="197" spans="1:4">
      <c r="A197" s="36">
        <v>212</v>
      </c>
      <c r="B197" s="38">
        <v>196</v>
      </c>
      <c r="C197" s="38" t="s">
        <v>1111</v>
      </c>
      <c r="D197" s="37"/>
    </row>
    <row r="198" spans="1:4">
      <c r="A198" s="36">
        <v>213</v>
      </c>
      <c r="B198" s="38">
        <v>197</v>
      </c>
      <c r="C198" s="38" t="s">
        <v>1117</v>
      </c>
      <c r="D198" s="37"/>
    </row>
    <row r="199" spans="1:4">
      <c r="A199" s="36">
        <v>214</v>
      </c>
      <c r="B199" s="38">
        <v>198</v>
      </c>
      <c r="C199" s="38" t="s">
        <v>1122</v>
      </c>
      <c r="D199" s="37"/>
    </row>
    <row r="200" spans="1:4">
      <c r="A200" s="36">
        <v>215</v>
      </c>
      <c r="B200" s="38">
        <v>199</v>
      </c>
      <c r="C200" s="38" t="s">
        <v>1128</v>
      </c>
      <c r="D200" s="37"/>
    </row>
    <row r="201" spans="1:4">
      <c r="A201" s="36">
        <v>216</v>
      </c>
      <c r="B201" s="38">
        <v>200</v>
      </c>
      <c r="C201" s="38" t="s">
        <v>1441</v>
      </c>
      <c r="D201" s="37"/>
    </row>
    <row r="202" spans="1:4">
      <c r="A202" s="36">
        <v>217</v>
      </c>
      <c r="B202" s="38">
        <v>201</v>
      </c>
      <c r="C202" s="38" t="s">
        <v>1136</v>
      </c>
      <c r="D202" s="37"/>
    </row>
    <row r="203" spans="1:4">
      <c r="A203" s="36">
        <v>218</v>
      </c>
      <c r="B203" s="38">
        <v>202</v>
      </c>
      <c r="C203" s="38" t="s">
        <v>1138</v>
      </c>
      <c r="D203" s="37"/>
    </row>
    <row r="204" spans="1:4">
      <c r="A204" s="36">
        <v>219</v>
      </c>
      <c r="B204" s="38">
        <v>203</v>
      </c>
      <c r="C204" s="38" t="s">
        <v>1144</v>
      </c>
      <c r="D204" s="37"/>
    </row>
    <row r="205" spans="1:4">
      <c r="A205" s="36">
        <v>220</v>
      </c>
      <c r="B205" s="38">
        <v>204</v>
      </c>
      <c r="C205" s="38" t="s">
        <v>1146</v>
      </c>
      <c r="D205" s="37"/>
    </row>
    <row r="206" spans="1:4">
      <c r="A206" s="36">
        <v>221</v>
      </c>
      <c r="B206" s="38">
        <v>205</v>
      </c>
      <c r="C206" s="38" t="s">
        <v>1149</v>
      </c>
      <c r="D206" s="37"/>
    </row>
    <row r="207" spans="1:4">
      <c r="A207" s="36">
        <v>222</v>
      </c>
      <c r="B207" s="38">
        <v>206</v>
      </c>
      <c r="C207" s="38" t="s">
        <v>1150</v>
      </c>
      <c r="D207" s="37"/>
    </row>
    <row r="208" spans="1:4">
      <c r="A208" s="36">
        <v>223</v>
      </c>
      <c r="B208" s="38">
        <v>207</v>
      </c>
      <c r="C208" s="38" t="s">
        <v>1156</v>
      </c>
      <c r="D208" s="37"/>
    </row>
    <row r="209" spans="1:4">
      <c r="A209" s="36">
        <v>224</v>
      </c>
      <c r="B209" s="38">
        <v>208</v>
      </c>
      <c r="C209" s="38" t="s">
        <v>1159</v>
      </c>
      <c r="D209" s="37"/>
    </row>
    <row r="210" spans="1:4">
      <c r="A210" s="36">
        <v>226</v>
      </c>
      <c r="B210" s="38">
        <v>209</v>
      </c>
      <c r="C210" s="38" t="s">
        <v>1165</v>
      </c>
      <c r="D210" s="37"/>
    </row>
    <row r="211" spans="1:4">
      <c r="A211" s="36">
        <v>227</v>
      </c>
      <c r="B211" s="38">
        <v>210</v>
      </c>
      <c r="C211" s="38" t="s">
        <v>1170</v>
      </c>
      <c r="D211" s="37"/>
    </row>
    <row r="212" spans="1:4">
      <c r="A212" s="36">
        <v>228</v>
      </c>
      <c r="B212" s="38">
        <v>211</v>
      </c>
      <c r="C212" s="38" t="s">
        <v>1173</v>
      </c>
      <c r="D212" s="37"/>
    </row>
    <row r="213" spans="1:4">
      <c r="A213" s="36">
        <v>229</v>
      </c>
      <c r="B213" s="38">
        <v>212</v>
      </c>
      <c r="C213" s="38" t="s">
        <v>1177</v>
      </c>
      <c r="D213" s="37"/>
    </row>
    <row r="214" spans="1:4">
      <c r="A214" s="36">
        <v>230</v>
      </c>
      <c r="B214" s="38">
        <v>213</v>
      </c>
      <c r="C214" s="38" t="s">
        <v>1179</v>
      </c>
      <c r="D214" s="37"/>
    </row>
    <row r="215" spans="1:4">
      <c r="A215" s="36">
        <v>231</v>
      </c>
      <c r="B215" s="38">
        <v>214</v>
      </c>
      <c r="C215" s="38" t="s">
        <v>1182</v>
      </c>
      <c r="D215" s="37"/>
    </row>
    <row r="216" spans="1:4">
      <c r="A216" s="36">
        <v>233</v>
      </c>
      <c r="B216" s="38">
        <v>215</v>
      </c>
      <c r="C216" s="38" t="s">
        <v>1185</v>
      </c>
      <c r="D216" s="37"/>
    </row>
    <row r="217" spans="1:4">
      <c r="A217" s="36">
        <v>234</v>
      </c>
      <c r="B217" s="38">
        <v>216</v>
      </c>
      <c r="C217" s="38" t="s">
        <v>1188</v>
      </c>
      <c r="D217" s="37"/>
    </row>
    <row r="218" spans="1:4">
      <c r="A218" s="36">
        <v>235</v>
      </c>
      <c r="B218" s="38">
        <v>217</v>
      </c>
      <c r="C218" s="38" t="s">
        <v>1195</v>
      </c>
      <c r="D218" s="37"/>
    </row>
    <row r="219" spans="1:4">
      <c r="A219" s="36">
        <v>237</v>
      </c>
      <c r="B219" s="38">
        <v>218</v>
      </c>
      <c r="C219" s="38" t="s">
        <v>1202</v>
      </c>
      <c r="D219" s="37"/>
    </row>
    <row r="220" spans="1:4">
      <c r="A220" s="36">
        <v>238</v>
      </c>
      <c r="B220" s="38">
        <v>219</v>
      </c>
      <c r="C220" s="38" t="s">
        <v>1205</v>
      </c>
      <c r="D220" s="37"/>
    </row>
    <row r="221" spans="1:4">
      <c r="A221" s="36">
        <v>239</v>
      </c>
      <c r="B221" s="38">
        <v>220</v>
      </c>
      <c r="C221" s="38" t="s">
        <v>1209</v>
      </c>
      <c r="D221" s="37"/>
    </row>
    <row r="222" spans="1:4">
      <c r="A222" s="36">
        <v>240</v>
      </c>
      <c r="B222" s="38">
        <v>221</v>
      </c>
      <c r="C222" s="38" t="s">
        <v>1211</v>
      </c>
      <c r="D222" s="37"/>
    </row>
    <row r="223" spans="1:4">
      <c r="A223" s="36">
        <v>241</v>
      </c>
      <c r="B223" s="38">
        <v>222</v>
      </c>
      <c r="C223" s="38" t="s">
        <v>1216</v>
      </c>
      <c r="D223" s="37"/>
    </row>
    <row r="224" spans="1:4">
      <c r="A224" s="36">
        <v>243</v>
      </c>
      <c r="B224" s="38">
        <v>223</v>
      </c>
      <c r="C224" s="38" t="s">
        <v>1222</v>
      </c>
      <c r="D224" s="37"/>
    </row>
    <row r="225" spans="1:4">
      <c r="A225" s="36">
        <v>244</v>
      </c>
      <c r="B225" s="38">
        <v>224</v>
      </c>
      <c r="C225" s="38" t="s">
        <v>341</v>
      </c>
      <c r="D225" s="37"/>
    </row>
    <row r="226" spans="1:4">
      <c r="A226" s="36">
        <v>246</v>
      </c>
      <c r="B226" s="38">
        <v>225</v>
      </c>
      <c r="C226" s="38" t="s">
        <v>1228</v>
      </c>
      <c r="D226" s="37"/>
    </row>
    <row r="227" spans="1:4">
      <c r="A227" s="36">
        <v>247</v>
      </c>
      <c r="B227" s="38">
        <v>226</v>
      </c>
      <c r="C227" s="38" t="s">
        <v>1234</v>
      </c>
      <c r="D227" s="37"/>
    </row>
    <row r="228" spans="1:4">
      <c r="A228" s="36">
        <v>249</v>
      </c>
      <c r="B228" s="38">
        <v>227</v>
      </c>
      <c r="C228" s="38" t="s">
        <v>1237</v>
      </c>
      <c r="D228" s="37"/>
    </row>
    <row r="229" spans="1:4">
      <c r="A229" s="36">
        <v>250</v>
      </c>
      <c r="B229" s="38">
        <v>228</v>
      </c>
      <c r="C229" s="38" t="s">
        <v>1243</v>
      </c>
      <c r="D229" s="37"/>
    </row>
    <row r="230" spans="1:4">
      <c r="A230" s="36">
        <v>251</v>
      </c>
      <c r="B230" s="38">
        <v>229</v>
      </c>
      <c r="C230" s="38" t="s">
        <v>1246</v>
      </c>
      <c r="D230" s="37"/>
    </row>
    <row r="231" spans="1:4">
      <c r="A231" s="36">
        <v>252</v>
      </c>
      <c r="B231" s="38">
        <v>230</v>
      </c>
      <c r="C231" s="38" t="s">
        <v>1253</v>
      </c>
      <c r="D231" s="37"/>
    </row>
    <row r="232" spans="1:4">
      <c r="A232" s="36">
        <v>253</v>
      </c>
      <c r="B232" s="38">
        <v>231</v>
      </c>
      <c r="C232" s="38" t="s">
        <v>1262</v>
      </c>
      <c r="D232" s="37"/>
    </row>
    <row r="233" spans="1:4">
      <c r="A233" s="36">
        <v>254</v>
      </c>
      <c r="B233" s="38">
        <v>232</v>
      </c>
      <c r="C233" s="38" t="s">
        <v>1443</v>
      </c>
      <c r="D233" s="37"/>
    </row>
    <row r="234" spans="1:4">
      <c r="A234" s="36">
        <v>255</v>
      </c>
      <c r="B234" s="38">
        <v>233</v>
      </c>
      <c r="C234" s="38" t="s">
        <v>1267</v>
      </c>
      <c r="D234" s="37"/>
    </row>
    <row r="235" spans="1:4">
      <c r="A235" s="36">
        <v>256</v>
      </c>
      <c r="B235" s="38">
        <v>234</v>
      </c>
      <c r="C235" s="38" t="s">
        <v>1270</v>
      </c>
      <c r="D235" s="37"/>
    </row>
    <row r="236" spans="1:4">
      <c r="A236" s="36">
        <v>257</v>
      </c>
      <c r="B236" s="38">
        <v>235</v>
      </c>
      <c r="C236" s="38" t="s">
        <v>1273</v>
      </c>
      <c r="D236" s="37"/>
    </row>
    <row r="237" spans="1:4">
      <c r="A237" s="36">
        <v>258</v>
      </c>
      <c r="B237" s="38">
        <v>236</v>
      </c>
      <c r="C237" s="38" t="s">
        <v>1276</v>
      </c>
      <c r="D237" s="37"/>
    </row>
    <row r="238" spans="1:4">
      <c r="A238" s="36">
        <v>261</v>
      </c>
      <c r="B238" s="38">
        <v>237</v>
      </c>
      <c r="C238" s="38" t="s">
        <v>1284</v>
      </c>
      <c r="D238" s="37"/>
    </row>
    <row r="239" spans="1:4">
      <c r="A239" s="36">
        <v>262</v>
      </c>
      <c r="B239" s="38">
        <v>238</v>
      </c>
      <c r="C239" s="38" t="s">
        <v>1288</v>
      </c>
      <c r="D239" s="37"/>
    </row>
    <row r="240" spans="1:4">
      <c r="A240" s="36">
        <v>263</v>
      </c>
      <c r="B240" s="38">
        <v>239</v>
      </c>
      <c r="C240" s="38" t="s">
        <v>1291</v>
      </c>
      <c r="D240" s="37"/>
    </row>
    <row r="241" spans="1:5">
      <c r="A241" s="36">
        <v>264</v>
      </c>
      <c r="B241" s="38">
        <v>240</v>
      </c>
      <c r="C241" s="38" t="s">
        <v>1296</v>
      </c>
      <c r="D241" s="37"/>
    </row>
    <row r="242" spans="1:5">
      <c r="A242" s="36">
        <v>265</v>
      </c>
      <c r="B242" s="38">
        <v>241</v>
      </c>
      <c r="C242" s="38" t="s">
        <v>1300</v>
      </c>
      <c r="D242" s="37"/>
    </row>
    <row r="243" spans="1:5">
      <c r="A243" s="36">
        <v>266</v>
      </c>
      <c r="B243" s="38">
        <v>242</v>
      </c>
      <c r="C243" s="38" t="s">
        <v>1303</v>
      </c>
      <c r="D243" s="37"/>
    </row>
    <row r="244" spans="1:5">
      <c r="A244" s="36">
        <v>267</v>
      </c>
      <c r="B244" s="38">
        <v>243</v>
      </c>
      <c r="C244" s="38" t="s">
        <v>1309</v>
      </c>
      <c r="D244" s="37"/>
    </row>
    <row r="245" spans="1:5">
      <c r="A245" s="36">
        <v>268</v>
      </c>
      <c r="B245" s="38">
        <v>244</v>
      </c>
      <c r="C245" s="38" t="s">
        <v>1313</v>
      </c>
      <c r="D245" s="37"/>
    </row>
    <row r="246" spans="1:5">
      <c r="A246" s="36">
        <v>270</v>
      </c>
      <c r="B246" s="38">
        <v>245</v>
      </c>
      <c r="C246" s="38" t="s">
        <v>1317</v>
      </c>
      <c r="D246" s="37"/>
    </row>
    <row r="247" spans="1:5">
      <c r="A247" s="36">
        <v>271</v>
      </c>
      <c r="B247" s="38">
        <v>246</v>
      </c>
      <c r="C247" s="38" t="s">
        <v>1450</v>
      </c>
      <c r="D247" s="37"/>
    </row>
    <row r="248" spans="1:5">
      <c r="A248" s="36">
        <v>272</v>
      </c>
      <c r="B248" s="38">
        <v>247</v>
      </c>
      <c r="C248" s="38" t="s">
        <v>1325</v>
      </c>
      <c r="D248" s="37"/>
    </row>
    <row r="249" spans="1:5">
      <c r="A249" s="36">
        <v>273</v>
      </c>
      <c r="B249" s="38">
        <v>248</v>
      </c>
      <c r="C249" s="38" t="s">
        <v>1330</v>
      </c>
      <c r="D249" s="37"/>
    </row>
    <row r="250" spans="1:5">
      <c r="A250" s="36">
        <v>274</v>
      </c>
      <c r="B250" s="38">
        <v>249</v>
      </c>
      <c r="C250" s="38" t="s">
        <v>1331</v>
      </c>
      <c r="D250" s="37"/>
    </row>
    <row r="251" spans="1:5">
      <c r="A251" s="36">
        <v>275</v>
      </c>
      <c r="B251" s="38">
        <v>250</v>
      </c>
      <c r="C251" s="38" t="s">
        <v>1336</v>
      </c>
      <c r="D251" s="37"/>
    </row>
    <row r="252" spans="1:5">
      <c r="A252" s="36">
        <v>276</v>
      </c>
      <c r="B252" s="142">
        <v>251</v>
      </c>
      <c r="C252" s="142" t="s">
        <v>1340</v>
      </c>
      <c r="D252" s="37"/>
      <c r="E252" s="186" t="s">
        <v>1535</v>
      </c>
    </row>
    <row r="253" spans="1:5">
      <c r="A253" s="36">
        <v>277</v>
      </c>
      <c r="B253" s="142">
        <v>252</v>
      </c>
      <c r="C253" s="142" t="s">
        <v>1345</v>
      </c>
      <c r="D253" s="37"/>
    </row>
    <row r="254" spans="1:5">
      <c r="A254" s="36">
        <v>278</v>
      </c>
      <c r="B254" s="142">
        <v>253</v>
      </c>
      <c r="C254" s="142" t="s">
        <v>1352</v>
      </c>
      <c r="D254" s="37"/>
    </row>
    <row r="255" spans="1:5">
      <c r="A255" s="36">
        <v>279</v>
      </c>
      <c r="B255" s="142">
        <v>254</v>
      </c>
      <c r="C255" s="142" t="s">
        <v>1357</v>
      </c>
      <c r="D255" s="37"/>
    </row>
    <row r="256" spans="1:5">
      <c r="A256" s="36">
        <v>280</v>
      </c>
      <c r="B256" s="142">
        <v>255</v>
      </c>
      <c r="C256" s="142" t="s">
        <v>1361</v>
      </c>
      <c r="D256" s="37"/>
    </row>
    <row r="257" spans="1:4">
      <c r="A257" s="36">
        <v>281</v>
      </c>
      <c r="B257" s="142">
        <v>256</v>
      </c>
      <c r="C257" s="142" t="s">
        <v>1367</v>
      </c>
      <c r="D257" s="37"/>
    </row>
    <row r="258" spans="1:4">
      <c r="A258" s="36">
        <v>282</v>
      </c>
      <c r="B258" s="142">
        <v>257</v>
      </c>
      <c r="C258" s="142" t="s">
        <v>1370</v>
      </c>
      <c r="D258" s="37"/>
    </row>
    <row r="259" spans="1:4">
      <c r="A259" s="36">
        <v>283</v>
      </c>
      <c r="B259" s="142">
        <v>258</v>
      </c>
      <c r="C259" s="142" t="s">
        <v>1375</v>
      </c>
      <c r="D259" s="37"/>
    </row>
  </sheetData>
  <autoFilter ref="A1:AA259" xr:uid="{00000000-0009-0000-0000-000014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H893"/>
  <sheetViews>
    <sheetView topLeftCell="A86" zoomScale="104" workbookViewId="0">
      <selection activeCell="A50" sqref="A50"/>
    </sheetView>
  </sheetViews>
  <sheetFormatPr baseColWidth="10" defaultColWidth="73.1640625" defaultRowHeight="15.75" customHeight="1"/>
  <cols>
    <col min="1" max="1" width="121.6640625" style="317" customWidth="1"/>
    <col min="2" max="2" width="12" style="267" customWidth="1"/>
    <col min="3" max="6" width="73.1640625" style="267"/>
    <col min="7" max="7" width="73.1640625" style="296"/>
    <col min="8" max="16384" width="73.1640625" style="267"/>
  </cols>
  <sheetData>
    <row r="1" spans="1:8" ht="16">
      <c r="A1" s="304" t="s">
        <v>1536</v>
      </c>
      <c r="B1" s="286" t="s">
        <v>1537</v>
      </c>
      <c r="C1" s="272"/>
      <c r="F1" s="263"/>
      <c r="G1" s="287"/>
      <c r="H1" s="272"/>
    </row>
    <row r="2" spans="1:8" ht="16">
      <c r="A2" s="305" t="s">
        <v>1538</v>
      </c>
      <c r="B2" s="288">
        <v>1</v>
      </c>
      <c r="C2" s="272"/>
      <c r="E2" s="266"/>
      <c r="F2" s="263"/>
      <c r="G2" s="289"/>
      <c r="H2" s="272"/>
    </row>
    <row r="3" spans="1:8" ht="16">
      <c r="A3" s="306" t="s">
        <v>1539</v>
      </c>
      <c r="B3" s="288">
        <v>2</v>
      </c>
      <c r="C3" s="272"/>
      <c r="E3" s="266"/>
      <c r="F3" s="263"/>
      <c r="G3" s="289"/>
      <c r="H3" s="272"/>
    </row>
    <row r="4" spans="1:8" ht="16">
      <c r="A4" s="307" t="s">
        <v>1540</v>
      </c>
      <c r="B4" s="291">
        <v>7</v>
      </c>
      <c r="C4" s="272"/>
      <c r="F4" s="263"/>
      <c r="G4" s="289"/>
      <c r="H4" s="272"/>
    </row>
    <row r="5" spans="1:8" ht="16">
      <c r="A5" s="306" t="s">
        <v>1541</v>
      </c>
      <c r="B5" s="288">
        <v>8</v>
      </c>
      <c r="C5" s="272"/>
      <c r="F5" s="263"/>
      <c r="G5" s="289"/>
      <c r="H5" s="272"/>
    </row>
    <row r="6" spans="1:8" ht="16">
      <c r="A6" s="306" t="s">
        <v>1542</v>
      </c>
      <c r="B6" s="288">
        <v>10</v>
      </c>
      <c r="C6" s="272"/>
      <c r="F6" s="263"/>
      <c r="G6" s="289"/>
      <c r="H6" s="272"/>
    </row>
    <row r="7" spans="1:8" ht="32">
      <c r="A7" s="308" t="s">
        <v>1543</v>
      </c>
      <c r="B7" s="292">
        <v>12</v>
      </c>
      <c r="C7" s="272"/>
      <c r="F7" s="263"/>
      <c r="G7" s="289"/>
      <c r="H7" s="272"/>
    </row>
    <row r="8" spans="1:8" ht="16">
      <c r="A8" s="305" t="s">
        <v>660</v>
      </c>
      <c r="B8" s="288">
        <v>17</v>
      </c>
      <c r="C8" s="272"/>
      <c r="G8" s="289"/>
      <c r="H8" s="272"/>
    </row>
    <row r="9" spans="1:8" ht="16">
      <c r="A9" s="309" t="s">
        <v>1544</v>
      </c>
      <c r="B9" s="292">
        <v>22</v>
      </c>
      <c r="C9" s="272"/>
      <c r="G9" s="288"/>
      <c r="H9" s="272"/>
    </row>
    <row r="10" spans="1:8" ht="16">
      <c r="A10" s="309" t="s">
        <v>1545</v>
      </c>
      <c r="B10" s="292">
        <v>35</v>
      </c>
      <c r="C10" s="272"/>
      <c r="G10" s="288"/>
      <c r="H10" s="272"/>
    </row>
    <row r="11" spans="1:8" ht="16">
      <c r="A11" s="309" t="s">
        <v>1546</v>
      </c>
      <c r="B11" s="292">
        <v>45</v>
      </c>
      <c r="C11" s="272"/>
      <c r="G11" s="267"/>
      <c r="H11" s="272"/>
    </row>
    <row r="12" spans="1:8" ht="16">
      <c r="A12" s="309" t="s">
        <v>1547</v>
      </c>
      <c r="B12" s="292">
        <v>46</v>
      </c>
      <c r="C12" s="272"/>
      <c r="G12" s="267"/>
      <c r="H12" s="272"/>
    </row>
    <row r="13" spans="1:8" ht="16">
      <c r="A13" s="306" t="s">
        <v>1548</v>
      </c>
      <c r="B13" s="288">
        <v>48</v>
      </c>
      <c r="C13" s="272"/>
      <c r="G13" s="267"/>
      <c r="H13" s="272"/>
    </row>
    <row r="14" spans="1:8" ht="16">
      <c r="A14" s="306" t="s">
        <v>1549</v>
      </c>
      <c r="B14" s="288">
        <v>49</v>
      </c>
      <c r="C14" s="272"/>
      <c r="G14" s="267"/>
      <c r="H14" s="272"/>
    </row>
    <row r="15" spans="1:8" ht="16">
      <c r="A15" s="306" t="s">
        <v>1550</v>
      </c>
      <c r="B15" s="288">
        <v>51</v>
      </c>
      <c r="C15" s="272"/>
      <c r="G15" s="267"/>
      <c r="H15" s="272"/>
    </row>
    <row r="16" spans="1:8" ht="16">
      <c r="A16" s="306" t="s">
        <v>1551</v>
      </c>
      <c r="B16" s="288">
        <v>52</v>
      </c>
      <c r="C16" s="272"/>
      <c r="G16" s="267"/>
      <c r="H16" s="272"/>
    </row>
    <row r="17" spans="1:8" ht="32">
      <c r="A17" s="303" t="s">
        <v>1552</v>
      </c>
      <c r="B17" s="288">
        <v>57</v>
      </c>
      <c r="C17" s="272"/>
      <c r="G17" s="267"/>
      <c r="H17" s="272"/>
    </row>
    <row r="18" spans="1:8" ht="16">
      <c r="A18" s="307" t="s">
        <v>1553</v>
      </c>
      <c r="B18" s="288">
        <v>58</v>
      </c>
      <c r="C18" s="272"/>
      <c r="G18" s="267"/>
      <c r="H18" s="272"/>
    </row>
    <row r="19" spans="1:8" ht="32">
      <c r="A19" s="307" t="s">
        <v>1554</v>
      </c>
      <c r="B19" s="291">
        <v>62</v>
      </c>
      <c r="C19" s="272"/>
      <c r="G19" s="267"/>
      <c r="H19" s="272"/>
    </row>
    <row r="20" spans="1:8" ht="32">
      <c r="A20" s="307" t="s">
        <v>1555</v>
      </c>
      <c r="B20" s="291">
        <v>63</v>
      </c>
      <c r="C20" s="272"/>
      <c r="G20" s="267"/>
      <c r="H20" s="272"/>
    </row>
    <row r="21" spans="1:8" ht="32">
      <c r="A21" s="306" t="s">
        <v>1557</v>
      </c>
      <c r="B21" s="290">
        <v>69</v>
      </c>
      <c r="C21" s="272"/>
      <c r="G21" s="267"/>
      <c r="H21" s="272"/>
    </row>
    <row r="22" spans="1:8" ht="16">
      <c r="A22" s="310" t="s">
        <v>1558</v>
      </c>
      <c r="B22" s="291">
        <v>71</v>
      </c>
      <c r="C22" s="272"/>
      <c r="G22" s="267"/>
      <c r="H22" s="272"/>
    </row>
    <row r="23" spans="1:8" ht="16">
      <c r="A23" s="311" t="s">
        <v>1559</v>
      </c>
      <c r="B23" s="293">
        <v>72</v>
      </c>
      <c r="C23" s="272"/>
      <c r="G23" s="267"/>
      <c r="H23" s="272"/>
    </row>
    <row r="24" spans="1:8" ht="32">
      <c r="A24" s="311" t="s">
        <v>1560</v>
      </c>
      <c r="B24" s="293">
        <v>73</v>
      </c>
      <c r="C24" s="272"/>
      <c r="G24" s="267"/>
      <c r="H24" s="272"/>
    </row>
    <row r="25" spans="1:8" ht="16">
      <c r="A25" s="306" t="s">
        <v>1561</v>
      </c>
      <c r="B25" s="288">
        <v>85</v>
      </c>
      <c r="C25" s="272"/>
      <c r="G25" s="267"/>
      <c r="H25" s="272"/>
    </row>
    <row r="26" spans="1:8" ht="16">
      <c r="A26" s="306" t="s">
        <v>1562</v>
      </c>
      <c r="B26" s="288">
        <v>86</v>
      </c>
      <c r="C26" s="272"/>
      <c r="G26" s="267"/>
      <c r="H26" s="272"/>
    </row>
    <row r="27" spans="1:8" ht="16">
      <c r="A27" s="306" t="s">
        <v>1563</v>
      </c>
      <c r="B27" s="288">
        <v>89</v>
      </c>
      <c r="C27" s="272"/>
      <c r="G27" s="267"/>
      <c r="H27" s="272"/>
    </row>
    <row r="28" spans="1:8" ht="32">
      <c r="A28" s="306" t="s">
        <v>1564</v>
      </c>
      <c r="B28" s="288">
        <v>94</v>
      </c>
      <c r="C28" s="272"/>
      <c r="G28" s="267"/>
      <c r="H28" s="272"/>
    </row>
    <row r="29" spans="1:8" ht="16">
      <c r="A29" s="306" t="s">
        <v>1565</v>
      </c>
      <c r="B29" s="288">
        <v>98</v>
      </c>
      <c r="C29" s="272"/>
      <c r="G29" s="267"/>
      <c r="H29" s="272"/>
    </row>
    <row r="30" spans="1:8" ht="16">
      <c r="A30" s="306" t="s">
        <v>1566</v>
      </c>
      <c r="B30" s="288">
        <v>99</v>
      </c>
      <c r="C30" s="272"/>
      <c r="G30" s="267"/>
      <c r="H30" s="272"/>
    </row>
    <row r="31" spans="1:8" ht="16">
      <c r="A31" s="306" t="s">
        <v>1567</v>
      </c>
      <c r="B31" s="288">
        <v>100</v>
      </c>
      <c r="C31" s="272"/>
      <c r="G31" s="267"/>
      <c r="H31" s="272"/>
    </row>
    <row r="32" spans="1:8" ht="32">
      <c r="A32" s="306" t="s">
        <v>1568</v>
      </c>
      <c r="B32" s="288">
        <v>101</v>
      </c>
      <c r="C32" s="272"/>
      <c r="G32" s="267"/>
      <c r="H32" s="272"/>
    </row>
    <row r="33" spans="1:8" ht="32">
      <c r="A33" s="306" t="s">
        <v>1569</v>
      </c>
      <c r="B33" s="288">
        <v>102</v>
      </c>
      <c r="C33" s="272"/>
      <c r="G33" s="267"/>
      <c r="H33" s="272"/>
    </row>
    <row r="34" spans="1:8" ht="32">
      <c r="A34" s="306" t="s">
        <v>1570</v>
      </c>
      <c r="B34" s="288">
        <v>103</v>
      </c>
      <c r="C34" s="272"/>
      <c r="G34" s="267"/>
      <c r="H34" s="272"/>
    </row>
    <row r="35" spans="1:8" ht="16">
      <c r="A35" s="306" t="s">
        <v>1571</v>
      </c>
      <c r="B35" s="288">
        <v>105</v>
      </c>
      <c r="C35" s="272"/>
      <c r="D35" s="294"/>
      <c r="G35" s="267"/>
      <c r="H35" s="272"/>
    </row>
    <row r="36" spans="1:8" ht="16">
      <c r="A36" s="306" t="s">
        <v>1572</v>
      </c>
      <c r="B36" s="288">
        <v>106</v>
      </c>
      <c r="C36" s="272"/>
      <c r="G36" s="267"/>
      <c r="H36" s="272"/>
    </row>
    <row r="37" spans="1:8" ht="32">
      <c r="A37" s="306" t="s">
        <v>1573</v>
      </c>
      <c r="B37" s="288">
        <v>107</v>
      </c>
      <c r="C37" s="272"/>
      <c r="G37" s="267"/>
    </row>
    <row r="38" spans="1:8" ht="32">
      <c r="A38" s="306" t="s">
        <v>1574</v>
      </c>
      <c r="B38" s="288">
        <v>108</v>
      </c>
      <c r="C38" s="272"/>
      <c r="G38" s="267"/>
    </row>
    <row r="39" spans="1:8" ht="16">
      <c r="A39" s="308" t="s">
        <v>1575</v>
      </c>
      <c r="B39" s="288">
        <v>110</v>
      </c>
      <c r="C39" s="272"/>
      <c r="G39" s="267"/>
    </row>
    <row r="40" spans="1:8" ht="16">
      <c r="A40" s="308" t="s">
        <v>1576</v>
      </c>
      <c r="B40" s="288">
        <v>111</v>
      </c>
      <c r="C40" s="272"/>
      <c r="G40" s="267"/>
    </row>
    <row r="41" spans="1:8" ht="32">
      <c r="A41" s="306" t="s">
        <v>1577</v>
      </c>
      <c r="B41" s="288">
        <v>112</v>
      </c>
      <c r="C41" s="272"/>
      <c r="G41" s="267"/>
    </row>
    <row r="42" spans="1:8" ht="16">
      <c r="A42" s="308" t="s">
        <v>1578</v>
      </c>
      <c r="B42" s="288">
        <v>113</v>
      </c>
      <c r="C42" s="272"/>
      <c r="G42" s="267"/>
    </row>
    <row r="43" spans="1:8" ht="32">
      <c r="A43" s="303" t="s">
        <v>1580</v>
      </c>
      <c r="B43" s="288">
        <v>115</v>
      </c>
      <c r="C43" s="272"/>
      <c r="G43" s="267"/>
      <c r="H43" s="272"/>
    </row>
    <row r="44" spans="1:8" ht="16">
      <c r="A44" s="308" t="s">
        <v>1581</v>
      </c>
      <c r="B44" s="288">
        <v>116</v>
      </c>
      <c r="C44" s="272"/>
      <c r="G44" s="267"/>
      <c r="H44" s="272"/>
    </row>
    <row r="45" spans="1:8" ht="16">
      <c r="A45" s="309" t="s">
        <v>1582</v>
      </c>
      <c r="B45" s="288">
        <v>117</v>
      </c>
      <c r="C45" s="272"/>
      <c r="G45" s="267"/>
      <c r="H45" s="272"/>
    </row>
    <row r="46" spans="1:8" ht="32">
      <c r="A46" s="306" t="s">
        <v>1583</v>
      </c>
      <c r="B46" s="288">
        <v>119</v>
      </c>
      <c r="C46" s="272"/>
      <c r="G46" s="267"/>
      <c r="H46" s="272"/>
    </row>
    <row r="47" spans="1:8" ht="32">
      <c r="A47" s="306" t="s">
        <v>1584</v>
      </c>
      <c r="B47" s="288">
        <v>120</v>
      </c>
      <c r="C47" s="272"/>
      <c r="G47" s="267"/>
      <c r="H47" s="272"/>
    </row>
    <row r="48" spans="1:8" ht="16">
      <c r="A48" s="306" t="s">
        <v>1585</v>
      </c>
      <c r="B48" s="288">
        <v>126</v>
      </c>
      <c r="C48" s="272"/>
      <c r="G48" s="267"/>
      <c r="H48" s="272"/>
    </row>
    <row r="49" spans="1:8" ht="32" customHeight="1">
      <c r="A49" s="306" t="s">
        <v>1586</v>
      </c>
      <c r="B49" s="288">
        <v>131</v>
      </c>
      <c r="C49" s="272"/>
      <c r="G49" s="267"/>
      <c r="H49" s="272"/>
    </row>
    <row r="50" spans="1:8" ht="32">
      <c r="A50" s="306" t="s">
        <v>1587</v>
      </c>
      <c r="B50" s="288">
        <v>132</v>
      </c>
      <c r="C50" s="272"/>
      <c r="G50" s="267"/>
      <c r="H50" s="272"/>
    </row>
    <row r="51" spans="1:8" ht="16">
      <c r="A51" s="303" t="s">
        <v>1588</v>
      </c>
      <c r="B51" s="288">
        <v>133</v>
      </c>
      <c r="C51" s="272"/>
      <c r="G51" s="267"/>
      <c r="H51" s="272"/>
    </row>
    <row r="52" spans="1:8" ht="16">
      <c r="A52" s="303" t="s">
        <v>1589</v>
      </c>
      <c r="B52" s="288">
        <v>134</v>
      </c>
      <c r="C52" s="272"/>
      <c r="G52" s="267"/>
      <c r="H52" s="272"/>
    </row>
    <row r="53" spans="1:8" ht="32">
      <c r="A53" s="312" t="s">
        <v>1590</v>
      </c>
      <c r="B53" s="288">
        <v>135</v>
      </c>
      <c r="C53" s="272"/>
      <c r="G53" s="267"/>
      <c r="H53" s="272"/>
    </row>
    <row r="54" spans="1:8" ht="32">
      <c r="A54" s="303" t="s">
        <v>1591</v>
      </c>
      <c r="B54" s="288">
        <v>137</v>
      </c>
      <c r="C54" s="272"/>
      <c r="D54" s="294"/>
      <c r="G54" s="267"/>
      <c r="H54" s="272"/>
    </row>
    <row r="55" spans="1:8" ht="16">
      <c r="A55" s="303" t="s">
        <v>1592</v>
      </c>
      <c r="B55" s="288">
        <v>138</v>
      </c>
      <c r="C55" s="272"/>
      <c r="D55" s="294"/>
      <c r="E55" s="264"/>
      <c r="G55" s="267"/>
      <c r="H55" s="272"/>
    </row>
    <row r="56" spans="1:8" ht="20" customHeight="1">
      <c r="A56" s="303" t="s">
        <v>1579</v>
      </c>
      <c r="B56" s="288">
        <v>139</v>
      </c>
      <c r="C56" s="272"/>
      <c r="D56" s="294"/>
      <c r="G56" s="267"/>
      <c r="H56" s="272"/>
    </row>
    <row r="57" spans="1:8" ht="16">
      <c r="A57" s="303" t="s">
        <v>1593</v>
      </c>
      <c r="B57" s="288">
        <v>140</v>
      </c>
      <c r="C57" s="272"/>
      <c r="G57" s="267"/>
      <c r="H57" s="272"/>
    </row>
    <row r="58" spans="1:8" ht="32">
      <c r="A58" s="306" t="s">
        <v>1594</v>
      </c>
      <c r="B58" s="288">
        <v>142</v>
      </c>
      <c r="C58" s="272"/>
      <c r="G58" s="267"/>
      <c r="H58" s="272"/>
    </row>
    <row r="59" spans="1:8" ht="32">
      <c r="A59" s="303" t="s">
        <v>1595</v>
      </c>
      <c r="B59" s="288">
        <v>144</v>
      </c>
      <c r="C59" s="272"/>
      <c r="G59" s="267"/>
      <c r="H59" s="272"/>
    </row>
    <row r="60" spans="1:8" ht="32">
      <c r="A60" s="312" t="s">
        <v>1596</v>
      </c>
      <c r="B60" s="288">
        <v>145</v>
      </c>
      <c r="C60" s="272"/>
      <c r="G60" s="267"/>
      <c r="H60" s="272"/>
    </row>
    <row r="61" spans="1:8" ht="16">
      <c r="A61" s="313" t="s">
        <v>1597</v>
      </c>
      <c r="B61" s="288">
        <v>147</v>
      </c>
      <c r="C61" s="272"/>
      <c r="G61" s="267"/>
      <c r="H61" s="272"/>
    </row>
    <row r="62" spans="1:8" ht="32">
      <c r="A62" s="312" t="s">
        <v>1598</v>
      </c>
      <c r="B62" s="288">
        <v>148</v>
      </c>
      <c r="C62" s="272"/>
      <c r="G62" s="267"/>
      <c r="H62" s="272"/>
    </row>
    <row r="63" spans="1:8" ht="32">
      <c r="A63" s="303" t="s">
        <v>1599</v>
      </c>
      <c r="B63" s="288">
        <v>149</v>
      </c>
      <c r="C63" s="272"/>
      <c r="G63" s="267"/>
      <c r="H63" s="272"/>
    </row>
    <row r="64" spans="1:8" ht="32">
      <c r="A64" s="306" t="s">
        <v>1600</v>
      </c>
      <c r="B64" s="288">
        <v>150</v>
      </c>
      <c r="C64" s="272"/>
      <c r="G64" s="267"/>
      <c r="H64" s="272"/>
    </row>
    <row r="65" spans="1:8" ht="16">
      <c r="A65" s="303" t="s">
        <v>1601</v>
      </c>
      <c r="B65" s="288">
        <v>151</v>
      </c>
      <c r="C65" s="272"/>
      <c r="D65" s="294"/>
      <c r="G65" s="267"/>
      <c r="H65" s="272"/>
    </row>
    <row r="66" spans="1:8" ht="32">
      <c r="A66" s="303" t="s">
        <v>1602</v>
      </c>
      <c r="B66" s="288">
        <v>152</v>
      </c>
      <c r="C66" s="272"/>
      <c r="G66" s="267"/>
      <c r="H66" s="272"/>
    </row>
    <row r="67" spans="1:8" ht="16">
      <c r="A67" s="314" t="s">
        <v>1603</v>
      </c>
      <c r="B67" s="288">
        <v>155</v>
      </c>
      <c r="C67" s="272"/>
      <c r="G67" s="267"/>
      <c r="H67" s="272"/>
    </row>
    <row r="68" spans="1:8" ht="16">
      <c r="A68" s="315" t="s">
        <v>1604</v>
      </c>
      <c r="B68" s="288">
        <v>157</v>
      </c>
      <c r="C68" s="272"/>
      <c r="G68" s="267"/>
      <c r="H68" s="272"/>
    </row>
    <row r="69" spans="1:8" ht="32">
      <c r="A69" s="303" t="s">
        <v>1605</v>
      </c>
      <c r="B69" s="288">
        <v>158</v>
      </c>
      <c r="C69" s="272"/>
      <c r="G69" s="267"/>
      <c r="H69" s="272"/>
    </row>
    <row r="70" spans="1:8" ht="16">
      <c r="A70" s="313" t="s">
        <v>1606</v>
      </c>
      <c r="B70" s="288">
        <v>161</v>
      </c>
      <c r="C70" s="272"/>
      <c r="G70" s="267"/>
      <c r="H70" s="272"/>
    </row>
    <row r="71" spans="1:8" ht="32">
      <c r="A71" s="303" t="s">
        <v>1607</v>
      </c>
      <c r="B71" s="288">
        <v>162</v>
      </c>
      <c r="C71" s="272"/>
      <c r="G71" s="267"/>
      <c r="H71" s="272"/>
    </row>
    <row r="72" spans="1:8" ht="16">
      <c r="A72" s="315" t="s">
        <v>730</v>
      </c>
      <c r="B72" s="288">
        <v>163</v>
      </c>
      <c r="C72" s="272"/>
      <c r="G72" s="267"/>
      <c r="H72" s="272"/>
    </row>
    <row r="73" spans="1:8" ht="16">
      <c r="A73" s="303" t="s">
        <v>1608</v>
      </c>
      <c r="B73" s="288">
        <v>164</v>
      </c>
      <c r="C73" s="272"/>
      <c r="G73" s="267"/>
      <c r="H73" s="272"/>
    </row>
    <row r="74" spans="1:8" ht="48">
      <c r="A74" s="303" t="s">
        <v>1609</v>
      </c>
      <c r="B74" s="288">
        <v>165</v>
      </c>
      <c r="C74" s="272"/>
      <c r="G74" s="267"/>
      <c r="H74" s="272"/>
    </row>
    <row r="75" spans="1:8" ht="32">
      <c r="A75" s="303" t="s">
        <v>1610</v>
      </c>
      <c r="B75" s="288">
        <v>166</v>
      </c>
      <c r="C75" s="272"/>
      <c r="G75" s="267"/>
      <c r="H75" s="272"/>
    </row>
    <row r="76" spans="1:8" ht="48">
      <c r="A76" s="303" t="s">
        <v>1611</v>
      </c>
      <c r="B76" s="288">
        <v>167</v>
      </c>
      <c r="C76" s="272"/>
      <c r="G76" s="267"/>
      <c r="H76" s="272"/>
    </row>
    <row r="77" spans="1:8" ht="32">
      <c r="A77" s="303" t="s">
        <v>1612</v>
      </c>
      <c r="B77" s="295">
        <v>168</v>
      </c>
      <c r="C77" s="272"/>
      <c r="G77" s="267"/>
      <c r="H77" s="272"/>
    </row>
    <row r="78" spans="1:8" ht="32">
      <c r="A78" s="303" t="s">
        <v>1613</v>
      </c>
      <c r="B78" s="288">
        <v>169</v>
      </c>
      <c r="C78" s="272"/>
      <c r="G78" s="267"/>
      <c r="H78" s="272"/>
    </row>
    <row r="79" spans="1:8" ht="32">
      <c r="A79" s="316" t="s">
        <v>1614</v>
      </c>
      <c r="B79" s="291">
        <v>170</v>
      </c>
      <c r="C79" s="272"/>
      <c r="G79" s="267"/>
      <c r="H79" s="272"/>
    </row>
    <row r="80" spans="1:8" ht="16">
      <c r="A80" s="303" t="s">
        <v>1615</v>
      </c>
      <c r="B80" s="288">
        <v>172</v>
      </c>
      <c r="C80" s="272"/>
      <c r="G80" s="267"/>
      <c r="H80" s="272"/>
    </row>
    <row r="81" spans="1:8" ht="15">
      <c r="A81" s="294" t="s">
        <v>571</v>
      </c>
      <c r="B81" s="288">
        <v>173</v>
      </c>
      <c r="C81" s="272"/>
      <c r="G81" s="267"/>
      <c r="H81" s="272"/>
    </row>
    <row r="82" spans="1:8" ht="42">
      <c r="A82" s="294" t="s">
        <v>1617</v>
      </c>
      <c r="B82" s="288">
        <v>174</v>
      </c>
      <c r="C82" s="272"/>
      <c r="G82" s="267"/>
      <c r="H82" s="272"/>
    </row>
    <row r="83" spans="1:8" ht="28">
      <c r="A83" s="294" t="s">
        <v>1629</v>
      </c>
      <c r="B83" s="288">
        <v>175</v>
      </c>
      <c r="C83" s="272"/>
      <c r="G83" s="267"/>
      <c r="H83" s="272"/>
    </row>
    <row r="84" spans="1:8" ht="15">
      <c r="A84" s="294" t="s">
        <v>1556</v>
      </c>
      <c r="B84" s="288">
        <v>176</v>
      </c>
      <c r="C84" s="272"/>
      <c r="G84" s="267"/>
      <c r="H84" s="272"/>
    </row>
    <row r="85" spans="1:8" ht="28">
      <c r="A85" s="294" t="s">
        <v>1625</v>
      </c>
      <c r="B85" s="288">
        <v>177</v>
      </c>
      <c r="C85" s="272"/>
      <c r="G85" s="267"/>
      <c r="H85" s="272"/>
    </row>
    <row r="86" spans="1:8" ht="42">
      <c r="A86" s="294" t="s">
        <v>1627</v>
      </c>
      <c r="B86" s="288">
        <v>178</v>
      </c>
      <c r="C86" s="272"/>
      <c r="G86" s="267"/>
      <c r="H86" s="272"/>
    </row>
    <row r="87" spans="1:8" ht="42">
      <c r="A87" s="294" t="s">
        <v>331</v>
      </c>
      <c r="B87" s="288">
        <v>179</v>
      </c>
      <c r="C87" s="272"/>
      <c r="G87" s="267"/>
      <c r="H87" s="272"/>
    </row>
    <row r="88" spans="1:8" ht="32">
      <c r="A88" s="306" t="s">
        <v>1631</v>
      </c>
      <c r="B88" s="290">
        <v>180</v>
      </c>
      <c r="C88" s="272"/>
      <c r="G88" s="267"/>
      <c r="H88" s="272"/>
    </row>
    <row r="89" spans="1:8" ht="15">
      <c r="A89" s="306"/>
      <c r="B89" s="290"/>
      <c r="C89" s="272"/>
      <c r="G89" s="267"/>
      <c r="H89" s="272"/>
    </row>
    <row r="90" spans="1:8" ht="15">
      <c r="A90" s="306"/>
      <c r="B90" s="290"/>
      <c r="C90" s="272"/>
      <c r="G90" s="267"/>
      <c r="H90" s="272"/>
    </row>
    <row r="91" spans="1:8" ht="15">
      <c r="A91" s="306"/>
      <c r="B91" s="290"/>
      <c r="C91" s="272"/>
      <c r="G91" s="267"/>
      <c r="H91" s="272"/>
    </row>
    <row r="92" spans="1:8" ht="15">
      <c r="A92" s="306"/>
      <c r="B92" s="290"/>
      <c r="C92" s="272"/>
      <c r="G92" s="267"/>
      <c r="H92" s="272"/>
    </row>
    <row r="93" spans="1:8" ht="15">
      <c r="A93" s="306"/>
      <c r="B93" s="290"/>
      <c r="C93" s="272"/>
      <c r="G93" s="267"/>
      <c r="H93" s="272"/>
    </row>
    <row r="94" spans="1:8" ht="15">
      <c r="A94" s="306"/>
      <c r="B94" s="290"/>
      <c r="C94" s="272"/>
      <c r="G94" s="267"/>
      <c r="H94" s="272"/>
    </row>
    <row r="95" spans="1:8" ht="15">
      <c r="A95" s="306"/>
      <c r="B95" s="290"/>
      <c r="C95" s="272"/>
      <c r="G95" s="267"/>
      <c r="H95" s="272"/>
    </row>
    <row r="96" spans="1:8" ht="15">
      <c r="A96" s="306"/>
      <c r="B96" s="290"/>
      <c r="C96" s="272"/>
      <c r="G96" s="267"/>
      <c r="H96" s="272"/>
    </row>
    <row r="97" spans="1:8" ht="15">
      <c r="A97" s="306"/>
      <c r="B97" s="290"/>
      <c r="C97" s="272"/>
      <c r="G97" s="267"/>
      <c r="H97" s="272"/>
    </row>
    <row r="98" spans="1:8" ht="15">
      <c r="A98" s="306"/>
      <c r="B98" s="290"/>
      <c r="C98" s="272"/>
      <c r="G98" s="267"/>
      <c r="H98" s="272"/>
    </row>
    <row r="99" spans="1:8" ht="15">
      <c r="A99" s="306"/>
      <c r="B99" s="290"/>
      <c r="C99" s="272"/>
      <c r="G99" s="267"/>
      <c r="H99" s="272"/>
    </row>
    <row r="100" spans="1:8" ht="15">
      <c r="A100" s="306"/>
      <c r="B100" s="290"/>
      <c r="C100" s="272"/>
      <c r="G100" s="267"/>
      <c r="H100" s="272"/>
    </row>
    <row r="101" spans="1:8" ht="15">
      <c r="A101" s="306"/>
      <c r="B101" s="290"/>
      <c r="C101" s="272"/>
      <c r="G101" s="267"/>
      <c r="H101" s="272"/>
    </row>
    <row r="102" spans="1:8" ht="15">
      <c r="A102" s="306"/>
      <c r="B102" s="290"/>
      <c r="C102" s="272"/>
      <c r="G102" s="267"/>
      <c r="H102" s="272"/>
    </row>
    <row r="103" spans="1:8" ht="15">
      <c r="A103" s="306"/>
      <c r="B103" s="290"/>
      <c r="C103" s="272"/>
      <c r="D103" s="294"/>
      <c r="G103" s="267"/>
      <c r="H103" s="272"/>
    </row>
    <row r="104" spans="1:8" ht="15">
      <c r="A104" s="306"/>
      <c r="B104" s="290"/>
      <c r="C104" s="272"/>
      <c r="G104" s="267"/>
      <c r="H104" s="272"/>
    </row>
    <row r="105" spans="1:8" ht="15">
      <c r="A105" s="306"/>
      <c r="B105" s="290"/>
      <c r="C105" s="272"/>
      <c r="G105" s="267"/>
      <c r="H105" s="272"/>
    </row>
    <row r="106" spans="1:8" ht="15">
      <c r="A106" s="306"/>
      <c r="B106" s="290"/>
      <c r="C106" s="272"/>
      <c r="G106" s="267"/>
      <c r="H106" s="272"/>
    </row>
    <row r="107" spans="1:8" ht="15">
      <c r="A107" s="306"/>
      <c r="B107" s="290"/>
      <c r="C107" s="272"/>
      <c r="G107" s="267"/>
      <c r="H107" s="272"/>
    </row>
    <row r="108" spans="1:8" ht="15">
      <c r="A108" s="306"/>
      <c r="B108" s="290"/>
      <c r="C108" s="272"/>
      <c r="G108" s="267"/>
      <c r="H108" s="272"/>
    </row>
    <row r="109" spans="1:8" ht="15">
      <c r="A109" s="306"/>
      <c r="B109" s="290"/>
      <c r="C109" s="272"/>
      <c r="G109" s="267"/>
      <c r="H109" s="272"/>
    </row>
    <row r="110" spans="1:8" ht="15">
      <c r="A110" s="306"/>
      <c r="B110" s="290"/>
      <c r="C110" s="272"/>
      <c r="H110" s="272"/>
    </row>
    <row r="111" spans="1:8" ht="15">
      <c r="A111" s="306"/>
      <c r="B111" s="290"/>
      <c r="C111" s="272"/>
      <c r="H111" s="272"/>
    </row>
    <row r="112" spans="1:8" ht="15">
      <c r="A112" s="306"/>
      <c r="B112" s="290"/>
      <c r="C112" s="272"/>
      <c r="G112" s="297"/>
      <c r="H112" s="272"/>
    </row>
    <row r="113" spans="1:8" ht="15">
      <c r="A113" s="306"/>
      <c r="B113" s="290"/>
      <c r="C113" s="272"/>
      <c r="G113" s="287"/>
      <c r="H113" s="272"/>
    </row>
    <row r="114" spans="1:8" ht="15">
      <c r="A114" s="306"/>
      <c r="B114" s="290"/>
      <c r="C114" s="272"/>
      <c r="G114" s="298"/>
      <c r="H114" s="272"/>
    </row>
    <row r="115" spans="1:8" ht="15">
      <c r="A115" s="306"/>
      <c r="B115" s="290"/>
      <c r="C115" s="272"/>
      <c r="G115" s="287"/>
      <c r="H115" s="272"/>
    </row>
    <row r="116" spans="1:8" ht="15">
      <c r="A116" s="306"/>
      <c r="B116" s="290"/>
      <c r="C116" s="272"/>
      <c r="G116" s="299"/>
      <c r="H116" s="272"/>
    </row>
    <row r="117" spans="1:8" ht="15">
      <c r="A117" s="306"/>
      <c r="B117" s="290"/>
      <c r="C117" s="272"/>
      <c r="H117" s="272"/>
    </row>
    <row r="118" spans="1:8" ht="15">
      <c r="A118" s="306"/>
      <c r="B118" s="290"/>
      <c r="C118" s="272"/>
      <c r="G118" s="287"/>
      <c r="H118" s="272"/>
    </row>
    <row r="119" spans="1:8" ht="15">
      <c r="A119" s="306"/>
      <c r="B119" s="290"/>
      <c r="C119" s="272"/>
      <c r="G119" s="287"/>
      <c r="H119" s="272"/>
    </row>
    <row r="120" spans="1:8" ht="15">
      <c r="A120" s="306"/>
      <c r="B120" s="290"/>
      <c r="C120" s="272"/>
      <c r="G120" s="287"/>
      <c r="H120" s="272"/>
    </row>
    <row r="121" spans="1:8" ht="15">
      <c r="A121" s="306"/>
      <c r="B121" s="290"/>
      <c r="C121" s="272"/>
      <c r="G121" s="300"/>
      <c r="H121" s="272"/>
    </row>
    <row r="122" spans="1:8" ht="15">
      <c r="A122" s="306"/>
      <c r="B122" s="290"/>
      <c r="C122" s="272"/>
      <c r="G122" s="287"/>
      <c r="H122" s="272"/>
    </row>
    <row r="123" spans="1:8" ht="15">
      <c r="A123" s="306"/>
      <c r="B123" s="290"/>
      <c r="C123" s="272"/>
      <c r="G123" s="300"/>
      <c r="H123" s="272"/>
    </row>
    <row r="124" spans="1:8" ht="15">
      <c r="A124" s="306"/>
      <c r="B124" s="290"/>
      <c r="C124" s="272"/>
      <c r="G124" s="287"/>
      <c r="H124" s="272"/>
    </row>
    <row r="125" spans="1:8" ht="15">
      <c r="A125" s="306"/>
      <c r="B125" s="290"/>
      <c r="C125" s="272"/>
      <c r="G125" s="287"/>
      <c r="H125" s="272"/>
    </row>
    <row r="126" spans="1:8" ht="15">
      <c r="A126" s="306"/>
      <c r="B126" s="290"/>
      <c r="C126" s="272"/>
      <c r="H126" s="272"/>
    </row>
    <row r="127" spans="1:8" ht="15">
      <c r="A127" s="306"/>
      <c r="B127" s="290"/>
      <c r="C127" s="272"/>
      <c r="H127" s="272"/>
    </row>
    <row r="128" spans="1:8" ht="15">
      <c r="A128" s="306"/>
      <c r="B128" s="290"/>
      <c r="C128" s="272"/>
      <c r="H128" s="272"/>
    </row>
    <row r="129" spans="1:8" ht="15">
      <c r="A129" s="306"/>
      <c r="B129" s="290"/>
      <c r="C129" s="272"/>
      <c r="H129" s="272"/>
    </row>
    <row r="130" spans="1:8" ht="15">
      <c r="A130" s="306"/>
      <c r="B130" s="290"/>
      <c r="C130" s="272"/>
      <c r="H130" s="272"/>
    </row>
    <row r="131" spans="1:8" ht="15">
      <c r="A131" s="306"/>
      <c r="B131" s="290"/>
      <c r="C131" s="272"/>
      <c r="H131" s="272"/>
    </row>
    <row r="132" spans="1:8" ht="15">
      <c r="A132" s="306"/>
      <c r="B132" s="290"/>
      <c r="C132" s="272"/>
      <c r="H132" s="272"/>
    </row>
    <row r="133" spans="1:8" ht="15">
      <c r="A133" s="306"/>
      <c r="B133" s="290"/>
      <c r="C133" s="272"/>
      <c r="G133" s="301"/>
      <c r="H133" s="272"/>
    </row>
    <row r="134" spans="1:8" ht="15">
      <c r="A134" s="306"/>
      <c r="B134" s="290"/>
      <c r="C134" s="272"/>
      <c r="G134" s="301"/>
      <c r="H134" s="272"/>
    </row>
    <row r="135" spans="1:8" ht="15">
      <c r="A135" s="306"/>
      <c r="B135" s="290"/>
      <c r="C135" s="272"/>
      <c r="G135" s="301"/>
      <c r="H135" s="272"/>
    </row>
    <row r="136" spans="1:8" ht="15">
      <c r="A136" s="306"/>
      <c r="B136" s="290"/>
      <c r="C136" s="272"/>
      <c r="G136" s="301"/>
      <c r="H136" s="272"/>
    </row>
    <row r="137" spans="1:8" ht="15">
      <c r="A137" s="306"/>
      <c r="B137" s="290"/>
      <c r="C137" s="272"/>
      <c r="G137" s="301"/>
      <c r="H137" s="272"/>
    </row>
    <row r="138" spans="1:8" ht="15">
      <c r="A138" s="306"/>
      <c r="B138" s="290"/>
      <c r="C138" s="272"/>
      <c r="G138" s="301"/>
      <c r="H138" s="272"/>
    </row>
    <row r="139" spans="1:8" ht="15">
      <c r="A139" s="306"/>
      <c r="B139" s="290"/>
      <c r="C139" s="272"/>
      <c r="G139" s="301"/>
      <c r="H139" s="272"/>
    </row>
    <row r="140" spans="1:8" ht="15">
      <c r="A140" s="306"/>
      <c r="B140" s="290"/>
      <c r="C140" s="272"/>
      <c r="G140" s="301"/>
      <c r="H140" s="272"/>
    </row>
    <row r="141" spans="1:8" ht="15">
      <c r="A141" s="306"/>
      <c r="B141" s="290"/>
      <c r="C141" s="272"/>
      <c r="G141" s="301"/>
      <c r="H141" s="272"/>
    </row>
    <row r="142" spans="1:8" ht="15">
      <c r="A142" s="306"/>
      <c r="B142" s="290"/>
      <c r="C142" s="272"/>
      <c r="G142" s="301"/>
      <c r="H142" s="272"/>
    </row>
    <row r="143" spans="1:8" ht="15">
      <c r="A143" s="306"/>
      <c r="B143" s="290"/>
      <c r="C143" s="272"/>
      <c r="G143" s="301"/>
      <c r="H143" s="272"/>
    </row>
    <row r="144" spans="1:8" ht="15">
      <c r="A144" s="306"/>
      <c r="B144" s="290"/>
      <c r="C144" s="272"/>
      <c r="G144" s="301"/>
      <c r="H144" s="272"/>
    </row>
    <row r="145" spans="1:8" ht="15">
      <c r="A145" s="306"/>
      <c r="B145" s="290"/>
      <c r="C145" s="272"/>
      <c r="G145" s="301"/>
      <c r="H145" s="272"/>
    </row>
    <row r="146" spans="1:8" ht="15">
      <c r="A146" s="306"/>
      <c r="B146" s="290"/>
      <c r="C146" s="272"/>
      <c r="G146" s="301"/>
      <c r="H146" s="272"/>
    </row>
    <row r="147" spans="1:8" ht="15">
      <c r="A147" s="306"/>
      <c r="B147" s="290"/>
      <c r="C147" s="272"/>
      <c r="G147" s="301"/>
      <c r="H147" s="272"/>
    </row>
    <row r="148" spans="1:8" ht="15">
      <c r="A148" s="306"/>
      <c r="B148" s="290"/>
      <c r="C148" s="272"/>
      <c r="G148" s="301"/>
      <c r="H148" s="272"/>
    </row>
    <row r="149" spans="1:8" ht="15">
      <c r="A149" s="306"/>
      <c r="B149" s="290"/>
      <c r="C149" s="272"/>
      <c r="G149" s="301"/>
      <c r="H149" s="272"/>
    </row>
    <row r="150" spans="1:8" ht="15">
      <c r="A150" s="306"/>
      <c r="B150" s="290"/>
      <c r="C150" s="272"/>
      <c r="G150" s="301"/>
      <c r="H150" s="272"/>
    </row>
    <row r="151" spans="1:8" ht="15">
      <c r="A151" s="306"/>
      <c r="B151" s="290"/>
      <c r="C151" s="272"/>
      <c r="G151" s="301"/>
      <c r="H151" s="272"/>
    </row>
    <row r="152" spans="1:8" ht="15">
      <c r="A152" s="306"/>
      <c r="B152" s="290"/>
      <c r="C152" s="272"/>
      <c r="G152" s="301"/>
      <c r="H152" s="272"/>
    </row>
    <row r="153" spans="1:8" ht="15">
      <c r="A153" s="306"/>
      <c r="B153" s="290"/>
      <c r="C153" s="272"/>
      <c r="G153" s="301"/>
      <c r="H153" s="272"/>
    </row>
    <row r="154" spans="1:8" ht="15">
      <c r="A154" s="306"/>
      <c r="B154" s="290"/>
      <c r="C154" s="272"/>
      <c r="G154" s="301"/>
      <c r="H154" s="272"/>
    </row>
    <row r="155" spans="1:8" ht="15">
      <c r="A155" s="306"/>
      <c r="B155" s="290"/>
      <c r="C155" s="272"/>
      <c r="G155" s="301"/>
      <c r="H155" s="272"/>
    </row>
    <row r="156" spans="1:8" ht="15">
      <c r="A156" s="306"/>
      <c r="B156" s="290"/>
      <c r="C156" s="272"/>
      <c r="G156" s="301"/>
      <c r="H156" s="272"/>
    </row>
    <row r="157" spans="1:8" ht="15">
      <c r="A157" s="306"/>
      <c r="B157" s="290"/>
      <c r="C157" s="272"/>
      <c r="G157" s="301"/>
      <c r="H157" s="272"/>
    </row>
    <row r="158" spans="1:8" ht="15">
      <c r="A158" s="306"/>
      <c r="B158" s="290"/>
      <c r="C158" s="272"/>
      <c r="G158" s="300"/>
      <c r="H158" s="272"/>
    </row>
    <row r="159" spans="1:8" ht="15">
      <c r="A159" s="306"/>
      <c r="B159" s="290"/>
      <c r="C159" s="272"/>
      <c r="G159" s="300"/>
      <c r="H159" s="272"/>
    </row>
    <row r="160" spans="1:8" ht="15">
      <c r="A160" s="306"/>
      <c r="B160" s="290"/>
      <c r="C160" s="272"/>
      <c r="G160" s="297"/>
      <c r="H160" s="272"/>
    </row>
    <row r="161" spans="1:8" ht="15">
      <c r="A161" s="306"/>
      <c r="B161" s="290"/>
      <c r="C161" s="272"/>
      <c r="G161" s="297"/>
      <c r="H161" s="272"/>
    </row>
    <row r="162" spans="1:8" ht="15">
      <c r="A162" s="306"/>
      <c r="B162" s="290"/>
      <c r="C162" s="272"/>
      <c r="G162" s="302"/>
      <c r="H162" s="272"/>
    </row>
    <row r="163" spans="1:8" ht="15">
      <c r="A163" s="306"/>
      <c r="B163" s="290"/>
      <c r="C163" s="272"/>
      <c r="G163" s="287"/>
      <c r="H163" s="272"/>
    </row>
    <row r="164" spans="1:8" ht="15">
      <c r="A164" s="306"/>
      <c r="B164" s="290"/>
      <c r="C164" s="272"/>
      <c r="G164" s="300"/>
      <c r="H164" s="272"/>
    </row>
    <row r="165" spans="1:8" ht="15">
      <c r="A165" s="306"/>
      <c r="B165" s="290"/>
      <c r="C165" s="272"/>
      <c r="G165" s="297"/>
      <c r="H165" s="272"/>
    </row>
    <row r="166" spans="1:8" ht="15">
      <c r="A166" s="306"/>
      <c r="B166" s="290"/>
      <c r="C166" s="272"/>
      <c r="G166" s="297"/>
      <c r="H166" s="272"/>
    </row>
    <row r="167" spans="1:8" ht="15">
      <c r="A167" s="306"/>
      <c r="B167" s="290"/>
      <c r="C167" s="272"/>
      <c r="G167" s="297"/>
      <c r="H167" s="272"/>
    </row>
    <row r="168" spans="1:8" ht="15">
      <c r="A168" s="306"/>
      <c r="B168" s="290"/>
      <c r="C168" s="272"/>
      <c r="G168" s="297"/>
      <c r="H168" s="272"/>
    </row>
    <row r="169" spans="1:8" ht="15">
      <c r="A169" s="306"/>
      <c r="B169" s="290"/>
      <c r="C169" s="272"/>
      <c r="G169" s="300"/>
      <c r="H169" s="272"/>
    </row>
    <row r="170" spans="1:8" ht="15">
      <c r="A170" s="306"/>
      <c r="B170" s="290"/>
      <c r="C170" s="272"/>
      <c r="G170" s="301"/>
      <c r="H170" s="272"/>
    </row>
    <row r="171" spans="1:8" ht="15">
      <c r="A171" s="306"/>
      <c r="B171" s="290"/>
      <c r="C171" s="272"/>
      <c r="G171" s="301"/>
      <c r="H171" s="272"/>
    </row>
    <row r="172" spans="1:8" ht="15">
      <c r="A172" s="306"/>
      <c r="B172" s="290"/>
      <c r="C172" s="272"/>
      <c r="G172" s="301"/>
      <c r="H172" s="272"/>
    </row>
    <row r="173" spans="1:8" ht="15">
      <c r="A173" s="306"/>
      <c r="B173" s="290"/>
      <c r="C173" s="272"/>
      <c r="G173" s="301"/>
      <c r="H173" s="272"/>
    </row>
    <row r="174" spans="1:8" ht="15">
      <c r="A174" s="306"/>
      <c r="B174" s="290"/>
      <c r="C174" s="272"/>
      <c r="G174" s="301"/>
      <c r="H174" s="272"/>
    </row>
    <row r="175" spans="1:8" ht="15">
      <c r="A175" s="306"/>
      <c r="B175" s="290"/>
      <c r="C175" s="272"/>
      <c r="G175" s="301"/>
      <c r="H175" s="272"/>
    </row>
    <row r="176" spans="1:8" ht="15">
      <c r="A176" s="306"/>
      <c r="B176" s="290"/>
      <c r="C176" s="272"/>
      <c r="G176" s="301"/>
      <c r="H176" s="272"/>
    </row>
    <row r="177" spans="1:8" ht="15">
      <c r="A177" s="306"/>
      <c r="B177" s="290"/>
      <c r="C177" s="272"/>
      <c r="D177" s="294"/>
      <c r="G177" s="301"/>
      <c r="H177" s="272"/>
    </row>
    <row r="178" spans="1:8" ht="15">
      <c r="A178" s="306"/>
      <c r="B178" s="290"/>
      <c r="C178" s="272"/>
      <c r="G178" s="301"/>
      <c r="H178" s="272"/>
    </row>
    <row r="179" spans="1:8" ht="15">
      <c r="A179" s="306"/>
      <c r="B179" s="290"/>
      <c r="C179" s="272"/>
      <c r="G179" s="301"/>
      <c r="H179" s="272"/>
    </row>
    <row r="180" spans="1:8" ht="15">
      <c r="A180" s="306"/>
      <c r="B180" s="290"/>
      <c r="C180" s="272"/>
      <c r="G180" s="301"/>
      <c r="H180" s="272"/>
    </row>
    <row r="181" spans="1:8" ht="15">
      <c r="A181" s="306"/>
      <c r="B181" s="290"/>
      <c r="C181" s="272"/>
      <c r="G181" s="301"/>
      <c r="H181" s="272"/>
    </row>
    <row r="182" spans="1:8" ht="15">
      <c r="A182" s="306"/>
      <c r="B182" s="290"/>
      <c r="C182" s="272"/>
      <c r="G182" s="301"/>
      <c r="H182" s="272"/>
    </row>
    <row r="183" spans="1:8" ht="15">
      <c r="A183" s="306"/>
      <c r="B183" s="290"/>
    </row>
    <row r="184" spans="1:8" ht="15">
      <c r="A184" s="306"/>
      <c r="B184" s="290"/>
    </row>
    <row r="185" spans="1:8" ht="15">
      <c r="A185" s="306"/>
      <c r="B185" s="290"/>
    </row>
    <row r="186" spans="1:8" ht="15">
      <c r="A186" s="306"/>
      <c r="B186" s="290"/>
    </row>
    <row r="187" spans="1:8" ht="15">
      <c r="A187" s="306"/>
      <c r="B187" s="290"/>
    </row>
    <row r="188" spans="1:8" ht="15">
      <c r="A188" s="306"/>
      <c r="B188" s="290"/>
    </row>
    <row r="189" spans="1:8" ht="15">
      <c r="A189" s="306"/>
      <c r="B189" s="290"/>
    </row>
    <row r="190" spans="1:8" ht="15">
      <c r="A190" s="306"/>
      <c r="B190" s="290"/>
    </row>
    <row r="191" spans="1:8" ht="15">
      <c r="A191" s="306"/>
      <c r="B191" s="290"/>
    </row>
    <row r="192" spans="1:8" ht="15">
      <c r="A192" s="306"/>
      <c r="B192" s="290"/>
    </row>
    <row r="193" spans="1:2" ht="15">
      <c r="A193" s="306"/>
      <c r="B193" s="290"/>
    </row>
    <row r="194" spans="1:2" ht="15">
      <c r="A194" s="306"/>
      <c r="B194" s="290"/>
    </row>
    <row r="195" spans="1:2" ht="15">
      <c r="A195" s="306"/>
      <c r="B195" s="290"/>
    </row>
    <row r="196" spans="1:2" ht="15">
      <c r="A196" s="306"/>
      <c r="B196" s="290"/>
    </row>
    <row r="197" spans="1:2" ht="15">
      <c r="A197" s="306"/>
      <c r="B197" s="290"/>
    </row>
    <row r="198" spans="1:2" ht="15">
      <c r="A198" s="306"/>
      <c r="B198" s="290"/>
    </row>
    <row r="199" spans="1:2" ht="15">
      <c r="A199" s="306"/>
      <c r="B199" s="290"/>
    </row>
    <row r="200" spans="1:2" ht="15">
      <c r="A200" s="306"/>
      <c r="B200" s="290"/>
    </row>
    <row r="201" spans="1:2" ht="15">
      <c r="A201" s="306"/>
      <c r="B201" s="290"/>
    </row>
    <row r="202" spans="1:2" ht="15">
      <c r="A202" s="306"/>
      <c r="B202" s="290"/>
    </row>
    <row r="203" spans="1:2" ht="15">
      <c r="A203" s="306"/>
      <c r="B203" s="290"/>
    </row>
    <row r="204" spans="1:2" ht="15">
      <c r="A204" s="306"/>
      <c r="B204" s="290"/>
    </row>
    <row r="205" spans="1:2" ht="15">
      <c r="A205" s="306"/>
      <c r="B205" s="290"/>
    </row>
    <row r="206" spans="1:2" ht="15">
      <c r="A206" s="306"/>
      <c r="B206" s="290"/>
    </row>
    <row r="207" spans="1:2" ht="15">
      <c r="A207" s="306"/>
      <c r="B207" s="290"/>
    </row>
    <row r="208" spans="1:2" ht="15">
      <c r="A208" s="306"/>
      <c r="B208" s="290"/>
    </row>
    <row r="209" spans="1:2" ht="15">
      <c r="A209" s="306"/>
      <c r="B209" s="290"/>
    </row>
    <row r="210" spans="1:2" ht="15">
      <c r="A210" s="306"/>
      <c r="B210" s="290"/>
    </row>
    <row r="211" spans="1:2" ht="15">
      <c r="A211" s="306"/>
      <c r="B211" s="290"/>
    </row>
    <row r="212" spans="1:2" ht="15">
      <c r="A212" s="306"/>
      <c r="B212" s="290"/>
    </row>
    <row r="213" spans="1:2" ht="15">
      <c r="A213" s="306"/>
      <c r="B213" s="290"/>
    </row>
    <row r="214" spans="1:2" ht="15">
      <c r="A214" s="306"/>
      <c r="B214" s="290"/>
    </row>
    <row r="215" spans="1:2" ht="15">
      <c r="A215" s="306"/>
      <c r="B215" s="290"/>
    </row>
    <row r="216" spans="1:2" ht="15">
      <c r="A216" s="306"/>
      <c r="B216" s="290"/>
    </row>
    <row r="217" spans="1:2" ht="15">
      <c r="A217" s="306"/>
      <c r="B217" s="290"/>
    </row>
    <row r="218" spans="1:2" ht="15">
      <c r="A218" s="306"/>
      <c r="B218" s="290"/>
    </row>
    <row r="219" spans="1:2" ht="15">
      <c r="A219" s="306"/>
      <c r="B219" s="290"/>
    </row>
    <row r="220" spans="1:2" ht="15">
      <c r="A220" s="306"/>
      <c r="B220" s="290"/>
    </row>
    <row r="221" spans="1:2" ht="15">
      <c r="A221" s="306"/>
      <c r="B221" s="290"/>
    </row>
    <row r="222" spans="1:2" ht="15">
      <c r="A222" s="306"/>
      <c r="B222" s="290"/>
    </row>
    <row r="223" spans="1:2" ht="15">
      <c r="A223" s="306"/>
      <c r="B223" s="290"/>
    </row>
    <row r="224" spans="1:2" ht="15">
      <c r="A224" s="306"/>
      <c r="B224" s="290"/>
    </row>
    <row r="225" spans="1:2" ht="15">
      <c r="A225" s="306"/>
      <c r="B225" s="290"/>
    </row>
    <row r="226" spans="1:2" ht="15">
      <c r="A226" s="306"/>
      <c r="B226" s="290"/>
    </row>
    <row r="227" spans="1:2" ht="15">
      <c r="A227" s="306"/>
      <c r="B227" s="290"/>
    </row>
    <row r="228" spans="1:2" ht="15">
      <c r="A228" s="306"/>
      <c r="B228" s="290"/>
    </row>
    <row r="229" spans="1:2" ht="15">
      <c r="A229" s="306"/>
      <c r="B229" s="290"/>
    </row>
    <row r="230" spans="1:2" ht="15">
      <c r="A230" s="306"/>
      <c r="B230" s="290"/>
    </row>
    <row r="231" spans="1:2" ht="15">
      <c r="A231" s="306"/>
      <c r="B231" s="290"/>
    </row>
    <row r="232" spans="1:2" ht="15">
      <c r="A232" s="306"/>
      <c r="B232" s="290"/>
    </row>
    <row r="233" spans="1:2" ht="15">
      <c r="A233" s="306"/>
      <c r="B233" s="290"/>
    </row>
    <row r="234" spans="1:2" ht="15">
      <c r="A234" s="306"/>
      <c r="B234" s="290"/>
    </row>
    <row r="235" spans="1:2" ht="15">
      <c r="A235" s="306"/>
      <c r="B235" s="290"/>
    </row>
    <row r="236" spans="1:2" ht="15">
      <c r="A236" s="306"/>
      <c r="B236" s="290"/>
    </row>
    <row r="237" spans="1:2" ht="15">
      <c r="A237" s="306"/>
      <c r="B237" s="290"/>
    </row>
    <row r="238" spans="1:2" ht="15">
      <c r="A238" s="306"/>
      <c r="B238" s="290"/>
    </row>
    <row r="239" spans="1:2" ht="15">
      <c r="A239" s="306"/>
      <c r="B239" s="290"/>
    </row>
    <row r="240" spans="1:2" ht="15">
      <c r="A240" s="306"/>
      <c r="B240" s="290"/>
    </row>
    <row r="241" spans="1:2" ht="15">
      <c r="A241" s="306"/>
      <c r="B241" s="290"/>
    </row>
    <row r="242" spans="1:2" ht="15">
      <c r="A242" s="306"/>
      <c r="B242" s="290"/>
    </row>
    <row r="243" spans="1:2" ht="15">
      <c r="A243" s="306"/>
      <c r="B243" s="290"/>
    </row>
    <row r="244" spans="1:2" ht="15">
      <c r="A244" s="306"/>
      <c r="B244" s="290"/>
    </row>
    <row r="245" spans="1:2" ht="15">
      <c r="A245" s="306"/>
      <c r="B245" s="290"/>
    </row>
    <row r="246" spans="1:2" ht="15">
      <c r="A246" s="306"/>
      <c r="B246" s="290"/>
    </row>
    <row r="247" spans="1:2" ht="15">
      <c r="A247" s="306"/>
      <c r="B247" s="290"/>
    </row>
    <row r="248" spans="1:2" ht="15">
      <c r="A248" s="306"/>
      <c r="B248" s="290"/>
    </row>
    <row r="249" spans="1:2" ht="15">
      <c r="A249" s="306"/>
      <c r="B249" s="290"/>
    </row>
    <row r="250" spans="1:2" ht="15">
      <c r="A250" s="306"/>
      <c r="B250" s="290"/>
    </row>
    <row r="251" spans="1:2" ht="15">
      <c r="A251" s="306"/>
      <c r="B251" s="290"/>
    </row>
    <row r="252" spans="1:2" ht="15">
      <c r="A252" s="306"/>
      <c r="B252" s="290"/>
    </row>
    <row r="253" spans="1:2" ht="15">
      <c r="A253" s="306"/>
      <c r="B253" s="290"/>
    </row>
    <row r="254" spans="1:2" ht="15">
      <c r="A254" s="306"/>
      <c r="B254" s="290"/>
    </row>
    <row r="255" spans="1:2" ht="15">
      <c r="A255" s="306"/>
      <c r="B255" s="290"/>
    </row>
    <row r="256" spans="1:2" ht="15">
      <c r="A256" s="306"/>
      <c r="B256" s="290"/>
    </row>
    <row r="257" spans="1:2" ht="15">
      <c r="A257" s="306"/>
      <c r="B257" s="290"/>
    </row>
    <row r="258" spans="1:2" ht="15">
      <c r="A258" s="306"/>
      <c r="B258" s="290"/>
    </row>
    <row r="259" spans="1:2" ht="15">
      <c r="A259" s="306"/>
      <c r="B259" s="290"/>
    </row>
    <row r="260" spans="1:2" ht="15">
      <c r="A260" s="306"/>
      <c r="B260" s="290"/>
    </row>
    <row r="261" spans="1:2" ht="15">
      <c r="A261" s="306"/>
      <c r="B261" s="290"/>
    </row>
    <row r="262" spans="1:2" ht="15">
      <c r="A262" s="306"/>
      <c r="B262" s="290"/>
    </row>
    <row r="263" spans="1:2" ht="15">
      <c r="A263" s="306"/>
      <c r="B263" s="290"/>
    </row>
    <row r="264" spans="1:2" ht="15">
      <c r="A264" s="306"/>
      <c r="B264" s="290"/>
    </row>
    <row r="265" spans="1:2" ht="15">
      <c r="A265" s="306"/>
      <c r="B265" s="290"/>
    </row>
    <row r="266" spans="1:2" ht="15">
      <c r="A266" s="306"/>
      <c r="B266" s="290"/>
    </row>
    <row r="267" spans="1:2" ht="15">
      <c r="A267" s="306"/>
      <c r="B267" s="290"/>
    </row>
    <row r="268" spans="1:2" ht="15">
      <c r="A268" s="306"/>
      <c r="B268" s="290"/>
    </row>
    <row r="269" spans="1:2" ht="15">
      <c r="A269" s="306"/>
      <c r="B269" s="290"/>
    </row>
    <row r="270" spans="1:2" ht="15">
      <c r="A270" s="306"/>
      <c r="B270" s="290"/>
    </row>
    <row r="271" spans="1:2" ht="15">
      <c r="A271" s="306"/>
      <c r="B271" s="290"/>
    </row>
    <row r="272" spans="1:2" ht="15">
      <c r="A272" s="306"/>
      <c r="B272" s="290"/>
    </row>
    <row r="273" spans="1:2" ht="15">
      <c r="A273" s="306"/>
      <c r="B273" s="290"/>
    </row>
    <row r="274" spans="1:2" ht="15">
      <c r="A274" s="306"/>
      <c r="B274" s="290"/>
    </row>
    <row r="275" spans="1:2" ht="15">
      <c r="A275" s="306"/>
      <c r="B275" s="290"/>
    </row>
    <row r="276" spans="1:2" ht="15">
      <c r="A276" s="306"/>
      <c r="B276" s="290"/>
    </row>
    <row r="277" spans="1:2" ht="15">
      <c r="A277" s="306"/>
      <c r="B277" s="290"/>
    </row>
    <row r="278" spans="1:2" ht="15">
      <c r="A278" s="306"/>
      <c r="B278" s="290"/>
    </row>
    <row r="279" spans="1:2" ht="15">
      <c r="A279" s="306"/>
      <c r="B279" s="290"/>
    </row>
    <row r="280" spans="1:2" ht="15">
      <c r="A280" s="306"/>
      <c r="B280" s="290"/>
    </row>
    <row r="281" spans="1:2" ht="15">
      <c r="A281" s="306"/>
      <c r="B281" s="290"/>
    </row>
    <row r="282" spans="1:2" ht="15">
      <c r="A282" s="306"/>
      <c r="B282" s="290"/>
    </row>
    <row r="283" spans="1:2" ht="15">
      <c r="A283" s="306"/>
      <c r="B283" s="290"/>
    </row>
    <row r="284" spans="1:2" ht="15">
      <c r="A284" s="306"/>
      <c r="B284" s="290"/>
    </row>
    <row r="285" spans="1:2" ht="15">
      <c r="A285" s="306"/>
      <c r="B285" s="290"/>
    </row>
    <row r="286" spans="1:2" ht="15">
      <c r="A286" s="306"/>
      <c r="B286" s="290"/>
    </row>
    <row r="287" spans="1:2" ht="15">
      <c r="A287" s="306"/>
      <c r="B287" s="290"/>
    </row>
    <row r="288" spans="1:2" ht="15">
      <c r="A288" s="306"/>
      <c r="B288" s="290"/>
    </row>
    <row r="289" spans="1:2" ht="15">
      <c r="A289" s="306"/>
      <c r="B289" s="290"/>
    </row>
    <row r="290" spans="1:2" ht="15">
      <c r="A290" s="306"/>
      <c r="B290" s="290"/>
    </row>
    <row r="291" spans="1:2" ht="15">
      <c r="A291" s="306"/>
      <c r="B291" s="290"/>
    </row>
    <row r="292" spans="1:2" ht="15">
      <c r="A292" s="306"/>
      <c r="B292" s="290"/>
    </row>
    <row r="293" spans="1:2" ht="15">
      <c r="A293" s="306"/>
      <c r="B293" s="290"/>
    </row>
    <row r="294" spans="1:2" ht="15">
      <c r="A294" s="306"/>
      <c r="B294" s="290"/>
    </row>
    <row r="295" spans="1:2" ht="15">
      <c r="A295" s="306"/>
      <c r="B295" s="290"/>
    </row>
    <row r="296" spans="1:2" ht="15">
      <c r="A296" s="306"/>
      <c r="B296" s="290"/>
    </row>
    <row r="297" spans="1:2" ht="15">
      <c r="A297" s="306"/>
      <c r="B297" s="290"/>
    </row>
    <row r="298" spans="1:2" ht="15">
      <c r="A298" s="306"/>
      <c r="B298" s="290"/>
    </row>
    <row r="299" spans="1:2" ht="15">
      <c r="A299" s="306"/>
      <c r="B299" s="290"/>
    </row>
    <row r="300" spans="1:2" ht="15">
      <c r="A300" s="306"/>
      <c r="B300" s="290"/>
    </row>
    <row r="301" spans="1:2" ht="15">
      <c r="A301" s="306"/>
      <c r="B301" s="290"/>
    </row>
    <row r="302" spans="1:2" ht="15">
      <c r="A302" s="306"/>
      <c r="B302" s="290"/>
    </row>
    <row r="303" spans="1:2" ht="15">
      <c r="A303" s="306"/>
      <c r="B303" s="290"/>
    </row>
    <row r="304" spans="1:2" ht="15">
      <c r="A304" s="306"/>
      <c r="B304" s="290"/>
    </row>
    <row r="305" spans="1:2" ht="15">
      <c r="A305" s="306"/>
      <c r="B305" s="290"/>
    </row>
    <row r="306" spans="1:2" ht="15">
      <c r="A306" s="306"/>
      <c r="B306" s="290"/>
    </row>
    <row r="307" spans="1:2" ht="15">
      <c r="A307" s="306"/>
      <c r="B307" s="290"/>
    </row>
    <row r="308" spans="1:2" ht="15">
      <c r="A308" s="306"/>
      <c r="B308" s="290"/>
    </row>
    <row r="309" spans="1:2" ht="15">
      <c r="A309" s="306"/>
      <c r="B309" s="290"/>
    </row>
    <row r="310" spans="1:2" ht="15">
      <c r="A310" s="306"/>
      <c r="B310" s="290"/>
    </row>
    <row r="311" spans="1:2" ht="15">
      <c r="A311" s="306"/>
      <c r="B311" s="290"/>
    </row>
    <row r="312" spans="1:2" ht="15">
      <c r="A312" s="306"/>
      <c r="B312" s="290"/>
    </row>
    <row r="313" spans="1:2" ht="15">
      <c r="A313" s="306"/>
      <c r="B313" s="290"/>
    </row>
    <row r="314" spans="1:2" ht="15">
      <c r="A314" s="306"/>
      <c r="B314" s="290"/>
    </row>
    <row r="315" spans="1:2" ht="15">
      <c r="A315" s="306"/>
      <c r="B315" s="290"/>
    </row>
    <row r="316" spans="1:2" ht="15">
      <c r="A316" s="306"/>
      <c r="B316" s="290"/>
    </row>
    <row r="317" spans="1:2" ht="15">
      <c r="A317" s="306"/>
      <c r="B317" s="290"/>
    </row>
    <row r="318" spans="1:2" ht="15">
      <c r="A318" s="306"/>
      <c r="B318" s="290"/>
    </row>
    <row r="319" spans="1:2" ht="15">
      <c r="A319" s="306"/>
      <c r="B319" s="290"/>
    </row>
    <row r="320" spans="1:2" ht="15">
      <c r="A320" s="306"/>
      <c r="B320" s="290"/>
    </row>
    <row r="321" spans="1:2" ht="15">
      <c r="A321" s="306"/>
      <c r="B321" s="290"/>
    </row>
    <row r="322" spans="1:2" ht="15">
      <c r="A322" s="306"/>
      <c r="B322" s="290"/>
    </row>
    <row r="323" spans="1:2" ht="15">
      <c r="A323" s="306"/>
      <c r="B323" s="290"/>
    </row>
    <row r="324" spans="1:2" ht="15">
      <c r="A324" s="306"/>
      <c r="B324" s="290"/>
    </row>
    <row r="325" spans="1:2" ht="15">
      <c r="A325" s="306"/>
      <c r="B325" s="290"/>
    </row>
    <row r="326" spans="1:2" ht="15">
      <c r="A326" s="306"/>
      <c r="B326" s="290"/>
    </row>
    <row r="327" spans="1:2" ht="15">
      <c r="A327" s="306"/>
      <c r="B327" s="290"/>
    </row>
    <row r="328" spans="1:2" ht="15">
      <c r="A328" s="306"/>
      <c r="B328" s="290"/>
    </row>
    <row r="329" spans="1:2" ht="15">
      <c r="A329" s="306"/>
      <c r="B329" s="290"/>
    </row>
    <row r="330" spans="1:2" ht="15">
      <c r="A330" s="306"/>
      <c r="B330" s="290"/>
    </row>
    <row r="331" spans="1:2" ht="15">
      <c r="A331" s="306"/>
      <c r="B331" s="290"/>
    </row>
    <row r="332" spans="1:2" ht="15">
      <c r="A332" s="306"/>
      <c r="B332" s="290"/>
    </row>
    <row r="333" spans="1:2" ht="15">
      <c r="A333" s="306"/>
      <c r="B333" s="290"/>
    </row>
    <row r="334" spans="1:2" ht="15">
      <c r="A334" s="306"/>
      <c r="B334" s="290"/>
    </row>
    <row r="335" spans="1:2" ht="15">
      <c r="A335" s="306"/>
      <c r="B335" s="290"/>
    </row>
    <row r="336" spans="1:2" ht="15">
      <c r="A336" s="306"/>
      <c r="B336" s="290"/>
    </row>
    <row r="337" spans="1:2" ht="15">
      <c r="A337" s="306"/>
      <c r="B337" s="290"/>
    </row>
    <row r="338" spans="1:2" ht="15">
      <c r="A338" s="306"/>
      <c r="B338" s="290"/>
    </row>
    <row r="339" spans="1:2" ht="15">
      <c r="A339" s="306"/>
      <c r="B339" s="290"/>
    </row>
    <row r="340" spans="1:2" ht="15">
      <c r="A340" s="306"/>
      <c r="B340" s="290"/>
    </row>
    <row r="341" spans="1:2" ht="15">
      <c r="A341" s="306"/>
      <c r="B341" s="290"/>
    </row>
    <row r="342" spans="1:2" ht="15">
      <c r="A342" s="306"/>
      <c r="B342" s="290"/>
    </row>
    <row r="343" spans="1:2" ht="15">
      <c r="A343" s="306"/>
      <c r="B343" s="290"/>
    </row>
    <row r="344" spans="1:2" ht="15">
      <c r="A344" s="306"/>
      <c r="B344" s="290"/>
    </row>
    <row r="345" spans="1:2" ht="15">
      <c r="A345" s="306"/>
      <c r="B345" s="290"/>
    </row>
    <row r="346" spans="1:2" ht="15">
      <c r="A346" s="306"/>
      <c r="B346" s="290"/>
    </row>
    <row r="347" spans="1:2" ht="15">
      <c r="A347" s="306"/>
      <c r="B347" s="290"/>
    </row>
    <row r="348" spans="1:2" ht="15">
      <c r="A348" s="306"/>
      <c r="B348" s="290"/>
    </row>
    <row r="349" spans="1:2" ht="15">
      <c r="A349" s="306"/>
      <c r="B349" s="290"/>
    </row>
    <row r="350" spans="1:2" ht="15">
      <c r="A350" s="306"/>
      <c r="B350" s="290"/>
    </row>
    <row r="351" spans="1:2" ht="15">
      <c r="A351" s="306"/>
      <c r="B351" s="290"/>
    </row>
    <row r="352" spans="1:2" ht="15">
      <c r="A352" s="306"/>
      <c r="B352" s="290"/>
    </row>
    <row r="353" spans="1:2" ht="15">
      <c r="A353" s="306"/>
      <c r="B353" s="290"/>
    </row>
    <row r="354" spans="1:2" ht="15">
      <c r="A354" s="306"/>
      <c r="B354" s="290"/>
    </row>
    <row r="355" spans="1:2" ht="15">
      <c r="A355" s="306"/>
      <c r="B355" s="290"/>
    </row>
    <row r="356" spans="1:2" ht="15">
      <c r="A356" s="306"/>
      <c r="B356" s="290"/>
    </row>
    <row r="357" spans="1:2" ht="15">
      <c r="A357" s="306"/>
      <c r="B357" s="290"/>
    </row>
    <row r="358" spans="1:2" ht="15">
      <c r="A358" s="306"/>
      <c r="B358" s="290"/>
    </row>
    <row r="359" spans="1:2" ht="15">
      <c r="A359" s="306"/>
      <c r="B359" s="290"/>
    </row>
    <row r="360" spans="1:2" ht="15">
      <c r="A360" s="306"/>
      <c r="B360" s="290"/>
    </row>
    <row r="361" spans="1:2" ht="15">
      <c r="A361" s="306"/>
      <c r="B361" s="290"/>
    </row>
    <row r="362" spans="1:2" ht="15">
      <c r="A362" s="306"/>
      <c r="B362" s="290"/>
    </row>
    <row r="363" spans="1:2" ht="15">
      <c r="A363" s="306"/>
      <c r="B363" s="290"/>
    </row>
    <row r="364" spans="1:2" ht="15">
      <c r="A364" s="306"/>
      <c r="B364" s="290"/>
    </row>
    <row r="365" spans="1:2" ht="15">
      <c r="A365" s="306"/>
      <c r="B365" s="290"/>
    </row>
    <row r="366" spans="1:2" ht="15">
      <c r="A366" s="306"/>
      <c r="B366" s="290"/>
    </row>
    <row r="367" spans="1:2" ht="15">
      <c r="A367" s="306"/>
      <c r="B367" s="290"/>
    </row>
    <row r="368" spans="1:2" ht="15">
      <c r="A368" s="306"/>
      <c r="B368" s="290"/>
    </row>
    <row r="369" spans="1:2" ht="15">
      <c r="A369" s="306"/>
      <c r="B369" s="290"/>
    </row>
    <row r="370" spans="1:2" ht="15">
      <c r="A370" s="306"/>
      <c r="B370" s="290"/>
    </row>
    <row r="371" spans="1:2" ht="15">
      <c r="A371" s="306"/>
      <c r="B371" s="290"/>
    </row>
    <row r="372" spans="1:2" ht="15">
      <c r="A372" s="306"/>
      <c r="B372" s="290"/>
    </row>
    <row r="373" spans="1:2" ht="15">
      <c r="A373" s="306"/>
      <c r="B373" s="290"/>
    </row>
    <row r="374" spans="1:2" ht="15">
      <c r="A374" s="306"/>
      <c r="B374" s="290"/>
    </row>
    <row r="375" spans="1:2" ht="15">
      <c r="A375" s="306"/>
      <c r="B375" s="290"/>
    </row>
    <row r="376" spans="1:2" ht="15">
      <c r="A376" s="306"/>
      <c r="B376" s="290"/>
    </row>
    <row r="377" spans="1:2" ht="15">
      <c r="A377" s="306"/>
      <c r="B377" s="290"/>
    </row>
    <row r="378" spans="1:2" ht="15">
      <c r="A378" s="306"/>
      <c r="B378" s="290"/>
    </row>
    <row r="379" spans="1:2" ht="15">
      <c r="A379" s="306"/>
      <c r="B379" s="290"/>
    </row>
    <row r="380" spans="1:2" ht="15">
      <c r="A380" s="306"/>
      <c r="B380" s="290"/>
    </row>
    <row r="381" spans="1:2" ht="15">
      <c r="A381" s="306"/>
      <c r="B381" s="290"/>
    </row>
    <row r="382" spans="1:2" ht="15">
      <c r="A382" s="306"/>
      <c r="B382" s="290"/>
    </row>
    <row r="383" spans="1:2" ht="15">
      <c r="A383" s="306"/>
      <c r="B383" s="290"/>
    </row>
    <row r="384" spans="1:2" ht="15">
      <c r="A384" s="306"/>
      <c r="B384" s="290"/>
    </row>
    <row r="385" spans="1:2" ht="15">
      <c r="A385" s="306"/>
      <c r="B385" s="290"/>
    </row>
    <row r="386" spans="1:2" ht="15">
      <c r="A386" s="306"/>
      <c r="B386" s="290"/>
    </row>
    <row r="387" spans="1:2" ht="15">
      <c r="A387" s="306"/>
      <c r="B387" s="290"/>
    </row>
    <row r="388" spans="1:2" ht="15">
      <c r="A388" s="306"/>
      <c r="B388" s="290"/>
    </row>
    <row r="389" spans="1:2" ht="15">
      <c r="A389" s="306"/>
      <c r="B389" s="290"/>
    </row>
    <row r="390" spans="1:2" ht="15">
      <c r="A390" s="306"/>
      <c r="B390" s="290"/>
    </row>
    <row r="391" spans="1:2" ht="15">
      <c r="A391" s="306"/>
      <c r="B391" s="290"/>
    </row>
    <row r="392" spans="1:2" ht="15">
      <c r="A392" s="306"/>
      <c r="B392" s="290"/>
    </row>
    <row r="393" spans="1:2" ht="15">
      <c r="A393" s="306"/>
      <c r="B393" s="290"/>
    </row>
    <row r="394" spans="1:2" ht="15">
      <c r="A394" s="306"/>
      <c r="B394" s="290"/>
    </row>
    <row r="395" spans="1:2" ht="15">
      <c r="A395" s="306"/>
      <c r="B395" s="290"/>
    </row>
    <row r="396" spans="1:2" ht="15">
      <c r="A396" s="306"/>
      <c r="B396" s="290"/>
    </row>
    <row r="397" spans="1:2" ht="15">
      <c r="A397" s="306"/>
      <c r="B397" s="290"/>
    </row>
    <row r="398" spans="1:2" ht="15">
      <c r="A398" s="306"/>
      <c r="B398" s="290"/>
    </row>
    <row r="399" spans="1:2" ht="15">
      <c r="A399" s="306"/>
      <c r="B399" s="290"/>
    </row>
    <row r="400" spans="1:2" ht="15">
      <c r="A400" s="306"/>
      <c r="B400" s="290"/>
    </row>
    <row r="401" spans="1:2" ht="15">
      <c r="A401" s="306"/>
      <c r="B401" s="290"/>
    </row>
    <row r="402" spans="1:2" ht="15">
      <c r="A402" s="306"/>
      <c r="B402" s="290"/>
    </row>
    <row r="403" spans="1:2" ht="15">
      <c r="A403" s="306"/>
      <c r="B403" s="290"/>
    </row>
    <row r="404" spans="1:2" ht="15">
      <c r="A404" s="306"/>
      <c r="B404" s="290"/>
    </row>
    <row r="405" spans="1:2" ht="15">
      <c r="A405" s="306"/>
      <c r="B405" s="290"/>
    </row>
    <row r="406" spans="1:2" ht="15">
      <c r="A406" s="306"/>
      <c r="B406" s="290"/>
    </row>
    <row r="407" spans="1:2" ht="15">
      <c r="A407" s="306"/>
      <c r="B407" s="290"/>
    </row>
    <row r="408" spans="1:2" ht="15">
      <c r="A408" s="306"/>
      <c r="B408" s="290"/>
    </row>
    <row r="409" spans="1:2" ht="15">
      <c r="A409" s="306"/>
      <c r="B409" s="290"/>
    </row>
    <row r="410" spans="1:2" ht="15">
      <c r="A410" s="306"/>
      <c r="B410" s="290"/>
    </row>
    <row r="411" spans="1:2" ht="15">
      <c r="A411" s="306"/>
      <c r="B411" s="290"/>
    </row>
    <row r="412" spans="1:2" ht="15">
      <c r="A412" s="306"/>
      <c r="B412" s="290"/>
    </row>
    <row r="413" spans="1:2" ht="15">
      <c r="A413" s="306"/>
      <c r="B413" s="290"/>
    </row>
    <row r="414" spans="1:2" ht="15">
      <c r="A414" s="306"/>
      <c r="B414" s="290"/>
    </row>
    <row r="415" spans="1:2" ht="15">
      <c r="A415" s="306"/>
      <c r="B415" s="290"/>
    </row>
    <row r="416" spans="1:2" ht="15">
      <c r="A416" s="306"/>
      <c r="B416" s="290"/>
    </row>
    <row r="417" spans="1:2" ht="15">
      <c r="A417" s="306"/>
      <c r="B417" s="290"/>
    </row>
    <row r="418" spans="1:2" ht="15">
      <c r="A418" s="306"/>
      <c r="B418" s="290"/>
    </row>
    <row r="419" spans="1:2" ht="15">
      <c r="A419" s="306"/>
      <c r="B419" s="290"/>
    </row>
    <row r="420" spans="1:2" ht="15">
      <c r="A420" s="306"/>
      <c r="B420" s="290"/>
    </row>
    <row r="421" spans="1:2" ht="15">
      <c r="A421" s="306"/>
      <c r="B421" s="290"/>
    </row>
    <row r="422" spans="1:2" ht="15">
      <c r="A422" s="306"/>
      <c r="B422" s="290"/>
    </row>
    <row r="423" spans="1:2" ht="15">
      <c r="A423" s="306"/>
      <c r="B423" s="290"/>
    </row>
    <row r="424" spans="1:2" ht="15">
      <c r="A424" s="306"/>
      <c r="B424" s="290"/>
    </row>
    <row r="425" spans="1:2" ht="15">
      <c r="A425" s="306"/>
      <c r="B425" s="290"/>
    </row>
    <row r="426" spans="1:2" ht="15">
      <c r="A426" s="306"/>
      <c r="B426" s="290"/>
    </row>
    <row r="427" spans="1:2" ht="15">
      <c r="A427" s="306"/>
      <c r="B427" s="290"/>
    </row>
    <row r="428" spans="1:2" ht="15">
      <c r="A428" s="306"/>
      <c r="B428" s="290"/>
    </row>
    <row r="429" spans="1:2" ht="15">
      <c r="A429" s="306"/>
      <c r="B429" s="290"/>
    </row>
    <row r="430" spans="1:2" ht="15">
      <c r="A430" s="306"/>
      <c r="B430" s="290"/>
    </row>
    <row r="431" spans="1:2" ht="15">
      <c r="A431" s="306"/>
      <c r="B431" s="290"/>
    </row>
    <row r="432" spans="1:2" ht="15">
      <c r="A432" s="306"/>
      <c r="B432" s="290"/>
    </row>
    <row r="433" spans="1:2" ht="15">
      <c r="A433" s="306"/>
      <c r="B433" s="290"/>
    </row>
    <row r="434" spans="1:2" ht="15">
      <c r="A434" s="306"/>
      <c r="B434" s="290"/>
    </row>
    <row r="435" spans="1:2" ht="15">
      <c r="A435" s="306"/>
      <c r="B435" s="290"/>
    </row>
    <row r="436" spans="1:2" ht="15">
      <c r="A436" s="306"/>
      <c r="B436" s="290"/>
    </row>
    <row r="437" spans="1:2" ht="15">
      <c r="A437" s="306"/>
      <c r="B437" s="290"/>
    </row>
    <row r="438" spans="1:2" ht="15">
      <c r="A438" s="306"/>
      <c r="B438" s="290"/>
    </row>
    <row r="439" spans="1:2" ht="15">
      <c r="A439" s="306"/>
      <c r="B439" s="290"/>
    </row>
    <row r="440" spans="1:2" ht="15">
      <c r="A440" s="306"/>
      <c r="B440" s="290"/>
    </row>
    <row r="441" spans="1:2" ht="15">
      <c r="A441" s="306"/>
      <c r="B441" s="290"/>
    </row>
    <row r="442" spans="1:2" ht="15">
      <c r="A442" s="306"/>
      <c r="B442" s="290"/>
    </row>
    <row r="443" spans="1:2" ht="15">
      <c r="A443" s="306"/>
      <c r="B443" s="290"/>
    </row>
    <row r="444" spans="1:2" ht="15">
      <c r="A444" s="306"/>
      <c r="B444" s="290"/>
    </row>
    <row r="445" spans="1:2" ht="15">
      <c r="A445" s="306"/>
      <c r="B445" s="290"/>
    </row>
    <row r="446" spans="1:2" ht="15">
      <c r="A446" s="306"/>
      <c r="B446" s="290"/>
    </row>
    <row r="447" spans="1:2" ht="15">
      <c r="A447" s="306"/>
      <c r="B447" s="290"/>
    </row>
    <row r="448" spans="1:2" ht="15">
      <c r="A448" s="306"/>
      <c r="B448" s="290"/>
    </row>
    <row r="449" spans="1:2" ht="15">
      <c r="A449" s="306"/>
      <c r="B449" s="290"/>
    </row>
    <row r="450" spans="1:2" ht="15">
      <c r="A450" s="306"/>
      <c r="B450" s="290"/>
    </row>
    <row r="451" spans="1:2" ht="15">
      <c r="A451" s="306"/>
      <c r="B451" s="290"/>
    </row>
    <row r="452" spans="1:2" ht="15">
      <c r="A452" s="306"/>
      <c r="B452" s="290"/>
    </row>
    <row r="453" spans="1:2" ht="15">
      <c r="A453" s="306"/>
      <c r="B453" s="290"/>
    </row>
    <row r="454" spans="1:2" ht="15">
      <c r="A454" s="306"/>
      <c r="B454" s="290"/>
    </row>
    <row r="455" spans="1:2" ht="15">
      <c r="A455" s="306"/>
      <c r="B455" s="290"/>
    </row>
    <row r="456" spans="1:2" ht="15">
      <c r="A456" s="306"/>
      <c r="B456" s="290"/>
    </row>
    <row r="457" spans="1:2" ht="15">
      <c r="A457" s="306"/>
      <c r="B457" s="290"/>
    </row>
    <row r="458" spans="1:2" ht="15">
      <c r="A458" s="306"/>
      <c r="B458" s="290"/>
    </row>
    <row r="459" spans="1:2" ht="15">
      <c r="A459" s="306"/>
      <c r="B459" s="290"/>
    </row>
    <row r="460" spans="1:2" ht="15">
      <c r="A460" s="306"/>
      <c r="B460" s="290"/>
    </row>
    <row r="461" spans="1:2" ht="15">
      <c r="A461" s="306"/>
      <c r="B461" s="290"/>
    </row>
    <row r="462" spans="1:2" ht="15">
      <c r="A462" s="306"/>
      <c r="B462" s="290"/>
    </row>
    <row r="463" spans="1:2" ht="15">
      <c r="A463" s="306"/>
      <c r="B463" s="290"/>
    </row>
    <row r="464" spans="1:2" ht="15">
      <c r="A464" s="306"/>
      <c r="B464" s="290"/>
    </row>
    <row r="465" spans="1:2" ht="15">
      <c r="A465" s="306"/>
      <c r="B465" s="290"/>
    </row>
    <row r="466" spans="1:2" ht="15">
      <c r="A466" s="306"/>
      <c r="B466" s="290"/>
    </row>
    <row r="467" spans="1:2" ht="15">
      <c r="A467" s="306"/>
      <c r="B467" s="290"/>
    </row>
    <row r="468" spans="1:2" ht="15">
      <c r="A468" s="306"/>
      <c r="B468" s="290"/>
    </row>
    <row r="469" spans="1:2" ht="15">
      <c r="A469" s="306"/>
      <c r="B469" s="290"/>
    </row>
    <row r="470" spans="1:2" ht="15">
      <c r="A470" s="306"/>
      <c r="B470" s="290"/>
    </row>
    <row r="471" spans="1:2" ht="15">
      <c r="A471" s="306"/>
      <c r="B471" s="290"/>
    </row>
    <row r="472" spans="1:2" ht="15">
      <c r="A472" s="306"/>
      <c r="B472" s="290"/>
    </row>
    <row r="473" spans="1:2" ht="15">
      <c r="A473" s="306"/>
      <c r="B473" s="290"/>
    </row>
    <row r="474" spans="1:2" ht="15">
      <c r="A474" s="306"/>
      <c r="B474" s="290"/>
    </row>
    <row r="475" spans="1:2" ht="15">
      <c r="A475" s="306"/>
      <c r="B475" s="290"/>
    </row>
    <row r="476" spans="1:2" ht="15">
      <c r="A476" s="306"/>
      <c r="B476" s="290"/>
    </row>
    <row r="477" spans="1:2" ht="15">
      <c r="A477" s="306"/>
      <c r="B477" s="290"/>
    </row>
    <row r="478" spans="1:2" ht="15">
      <c r="A478" s="306"/>
      <c r="B478" s="290"/>
    </row>
    <row r="479" spans="1:2" ht="15">
      <c r="A479" s="306"/>
      <c r="B479" s="290"/>
    </row>
    <row r="480" spans="1:2" ht="15">
      <c r="A480" s="306"/>
      <c r="B480" s="290"/>
    </row>
    <row r="481" spans="1:2" ht="15">
      <c r="A481" s="306"/>
      <c r="B481" s="290"/>
    </row>
    <row r="482" spans="1:2" ht="15">
      <c r="A482" s="306"/>
      <c r="B482" s="290"/>
    </row>
    <row r="483" spans="1:2" ht="15">
      <c r="A483" s="306"/>
      <c r="B483" s="290"/>
    </row>
    <row r="484" spans="1:2" ht="15">
      <c r="A484" s="306"/>
      <c r="B484" s="290"/>
    </row>
    <row r="485" spans="1:2" ht="15">
      <c r="A485" s="306"/>
      <c r="B485" s="290"/>
    </row>
    <row r="486" spans="1:2" ht="15">
      <c r="A486" s="306"/>
      <c r="B486" s="290"/>
    </row>
    <row r="487" spans="1:2" ht="15">
      <c r="A487" s="306"/>
      <c r="B487" s="290"/>
    </row>
    <row r="488" spans="1:2" ht="15">
      <c r="A488" s="306"/>
      <c r="B488" s="290"/>
    </row>
    <row r="489" spans="1:2" ht="15">
      <c r="A489" s="306"/>
      <c r="B489" s="290"/>
    </row>
    <row r="490" spans="1:2" ht="15">
      <c r="A490" s="306"/>
      <c r="B490" s="290"/>
    </row>
    <row r="491" spans="1:2" ht="15">
      <c r="A491" s="306"/>
      <c r="B491" s="290"/>
    </row>
    <row r="492" spans="1:2" ht="15">
      <c r="A492" s="306"/>
      <c r="B492" s="290"/>
    </row>
    <row r="493" spans="1:2" ht="15">
      <c r="A493" s="306"/>
      <c r="B493" s="290"/>
    </row>
    <row r="494" spans="1:2" ht="15">
      <c r="A494" s="306"/>
      <c r="B494" s="290"/>
    </row>
    <row r="495" spans="1:2" ht="15">
      <c r="A495" s="306"/>
      <c r="B495" s="290"/>
    </row>
    <row r="496" spans="1:2" ht="15">
      <c r="A496" s="306"/>
      <c r="B496" s="290"/>
    </row>
    <row r="497" spans="1:2" ht="15">
      <c r="A497" s="306"/>
      <c r="B497" s="290"/>
    </row>
    <row r="498" spans="1:2" ht="15">
      <c r="A498" s="306"/>
      <c r="B498" s="290"/>
    </row>
    <row r="499" spans="1:2" ht="15">
      <c r="A499" s="306"/>
      <c r="B499" s="290"/>
    </row>
    <row r="500" spans="1:2" ht="15">
      <c r="A500" s="306"/>
      <c r="B500" s="290"/>
    </row>
    <row r="501" spans="1:2" ht="15">
      <c r="A501" s="306"/>
      <c r="B501" s="290"/>
    </row>
    <row r="502" spans="1:2" ht="15">
      <c r="A502" s="306"/>
      <c r="B502" s="290"/>
    </row>
    <row r="503" spans="1:2" ht="15">
      <c r="A503" s="306"/>
      <c r="B503" s="290"/>
    </row>
    <row r="504" spans="1:2" ht="15">
      <c r="A504" s="306"/>
      <c r="B504" s="290"/>
    </row>
    <row r="505" spans="1:2" ht="15">
      <c r="A505" s="306"/>
      <c r="B505" s="290"/>
    </row>
    <row r="506" spans="1:2" ht="15">
      <c r="A506" s="306"/>
      <c r="B506" s="290"/>
    </row>
    <row r="507" spans="1:2" ht="15">
      <c r="A507" s="306"/>
      <c r="B507" s="290"/>
    </row>
    <row r="508" spans="1:2" ht="15">
      <c r="A508" s="306"/>
      <c r="B508" s="290"/>
    </row>
    <row r="509" spans="1:2" ht="15">
      <c r="A509" s="306"/>
      <c r="B509" s="290"/>
    </row>
    <row r="510" spans="1:2" ht="15">
      <c r="A510" s="306"/>
      <c r="B510" s="290"/>
    </row>
    <row r="511" spans="1:2" ht="15">
      <c r="A511" s="306"/>
      <c r="B511" s="290"/>
    </row>
    <row r="512" spans="1:2" ht="15">
      <c r="A512" s="306"/>
      <c r="B512" s="290"/>
    </row>
    <row r="513" spans="1:2" ht="15">
      <c r="A513" s="306"/>
      <c r="B513" s="290"/>
    </row>
    <row r="514" spans="1:2" ht="15">
      <c r="A514" s="306"/>
      <c r="B514" s="290"/>
    </row>
    <row r="515" spans="1:2" ht="15">
      <c r="A515" s="306"/>
      <c r="B515" s="290"/>
    </row>
    <row r="516" spans="1:2" ht="15">
      <c r="A516" s="306"/>
      <c r="B516" s="290"/>
    </row>
    <row r="517" spans="1:2" ht="15">
      <c r="A517" s="306"/>
      <c r="B517" s="290"/>
    </row>
    <row r="518" spans="1:2" ht="15">
      <c r="A518" s="306"/>
      <c r="B518" s="290"/>
    </row>
    <row r="519" spans="1:2" ht="15">
      <c r="A519" s="306"/>
      <c r="B519" s="290"/>
    </row>
    <row r="520" spans="1:2" ht="15">
      <c r="A520" s="306"/>
      <c r="B520" s="290"/>
    </row>
    <row r="521" spans="1:2" ht="15">
      <c r="A521" s="306"/>
      <c r="B521" s="290"/>
    </row>
    <row r="522" spans="1:2" ht="15">
      <c r="A522" s="306"/>
      <c r="B522" s="290"/>
    </row>
    <row r="523" spans="1:2" ht="15">
      <c r="A523" s="306"/>
      <c r="B523" s="290"/>
    </row>
    <row r="524" spans="1:2" ht="15">
      <c r="A524" s="306"/>
      <c r="B524" s="290"/>
    </row>
    <row r="525" spans="1:2" ht="15">
      <c r="A525" s="306"/>
      <c r="B525" s="290"/>
    </row>
    <row r="526" spans="1:2" ht="15">
      <c r="A526" s="306"/>
      <c r="B526" s="290"/>
    </row>
    <row r="527" spans="1:2" ht="15">
      <c r="A527" s="306"/>
      <c r="B527" s="290"/>
    </row>
    <row r="528" spans="1:2" ht="15">
      <c r="A528" s="306"/>
      <c r="B528" s="290"/>
    </row>
    <row r="529" spans="1:2" ht="15">
      <c r="A529" s="306"/>
      <c r="B529" s="290"/>
    </row>
    <row r="530" spans="1:2" ht="15">
      <c r="A530" s="306"/>
      <c r="B530" s="290"/>
    </row>
    <row r="531" spans="1:2" ht="15">
      <c r="A531" s="306"/>
      <c r="B531" s="290"/>
    </row>
    <row r="532" spans="1:2" ht="15">
      <c r="A532" s="306"/>
      <c r="B532" s="290"/>
    </row>
    <row r="533" spans="1:2" ht="15">
      <c r="A533" s="306"/>
      <c r="B533" s="290"/>
    </row>
    <row r="534" spans="1:2" ht="15">
      <c r="A534" s="306"/>
      <c r="B534" s="290"/>
    </row>
    <row r="535" spans="1:2" ht="15">
      <c r="A535" s="306"/>
      <c r="B535" s="290"/>
    </row>
    <row r="536" spans="1:2" ht="15">
      <c r="A536" s="306"/>
      <c r="B536" s="290"/>
    </row>
    <row r="537" spans="1:2" ht="15">
      <c r="A537" s="306"/>
      <c r="B537" s="290"/>
    </row>
    <row r="538" spans="1:2" ht="15">
      <c r="A538" s="306"/>
      <c r="B538" s="290"/>
    </row>
    <row r="539" spans="1:2" ht="15">
      <c r="A539" s="306"/>
      <c r="B539" s="290"/>
    </row>
    <row r="540" spans="1:2" ht="15">
      <c r="A540" s="306"/>
      <c r="B540" s="290"/>
    </row>
    <row r="541" spans="1:2" ht="15">
      <c r="A541" s="306"/>
      <c r="B541" s="290"/>
    </row>
    <row r="542" spans="1:2" ht="15">
      <c r="A542" s="306"/>
      <c r="B542" s="290"/>
    </row>
    <row r="543" spans="1:2" ht="15">
      <c r="A543" s="306"/>
      <c r="B543" s="290"/>
    </row>
    <row r="544" spans="1:2" ht="15">
      <c r="A544" s="306"/>
      <c r="B544" s="290"/>
    </row>
    <row r="545" spans="1:2" ht="15">
      <c r="A545" s="306"/>
      <c r="B545" s="290"/>
    </row>
    <row r="546" spans="1:2" ht="15">
      <c r="A546" s="306"/>
      <c r="B546" s="290"/>
    </row>
    <row r="547" spans="1:2" ht="15">
      <c r="A547" s="306"/>
      <c r="B547" s="290"/>
    </row>
    <row r="548" spans="1:2" ht="15">
      <c r="A548" s="306"/>
      <c r="B548" s="290"/>
    </row>
    <row r="549" spans="1:2" ht="15">
      <c r="A549" s="306"/>
      <c r="B549" s="290"/>
    </row>
    <row r="550" spans="1:2" ht="15">
      <c r="A550" s="306"/>
      <c r="B550" s="290"/>
    </row>
    <row r="551" spans="1:2" ht="15">
      <c r="A551" s="306"/>
      <c r="B551" s="290"/>
    </row>
    <row r="552" spans="1:2" ht="15">
      <c r="A552" s="306"/>
      <c r="B552" s="290"/>
    </row>
    <row r="553" spans="1:2" ht="15">
      <c r="A553" s="306"/>
      <c r="B553" s="290"/>
    </row>
    <row r="554" spans="1:2" ht="15">
      <c r="A554" s="306"/>
      <c r="B554" s="290"/>
    </row>
    <row r="555" spans="1:2" ht="15">
      <c r="A555" s="306"/>
      <c r="B555" s="290"/>
    </row>
    <row r="556" spans="1:2" ht="15">
      <c r="A556" s="306"/>
      <c r="B556" s="290"/>
    </row>
    <row r="557" spans="1:2" ht="15">
      <c r="A557" s="306"/>
      <c r="B557" s="290"/>
    </row>
    <row r="558" spans="1:2" ht="15">
      <c r="A558" s="306"/>
      <c r="B558" s="290"/>
    </row>
    <row r="559" spans="1:2" ht="15">
      <c r="A559" s="306"/>
      <c r="B559" s="290"/>
    </row>
    <row r="560" spans="1:2" ht="15">
      <c r="A560" s="306"/>
      <c r="B560" s="290"/>
    </row>
    <row r="561" spans="1:2" ht="15">
      <c r="A561" s="306"/>
      <c r="B561" s="290"/>
    </row>
    <row r="562" spans="1:2" ht="15">
      <c r="A562" s="306"/>
      <c r="B562" s="290"/>
    </row>
    <row r="563" spans="1:2" ht="15">
      <c r="A563" s="306"/>
      <c r="B563" s="290"/>
    </row>
    <row r="564" spans="1:2" ht="15">
      <c r="A564" s="306"/>
      <c r="B564" s="290"/>
    </row>
    <row r="565" spans="1:2" ht="15">
      <c r="A565" s="306"/>
      <c r="B565" s="290"/>
    </row>
    <row r="566" spans="1:2" ht="15">
      <c r="A566" s="306"/>
      <c r="B566" s="290"/>
    </row>
    <row r="567" spans="1:2" ht="15">
      <c r="A567" s="306"/>
      <c r="B567" s="290"/>
    </row>
    <row r="568" spans="1:2" ht="15">
      <c r="A568" s="306"/>
      <c r="B568" s="290"/>
    </row>
    <row r="569" spans="1:2" ht="15">
      <c r="A569" s="306"/>
      <c r="B569" s="290"/>
    </row>
    <row r="570" spans="1:2" ht="15">
      <c r="A570" s="306"/>
      <c r="B570" s="290"/>
    </row>
    <row r="571" spans="1:2" ht="15">
      <c r="A571" s="306"/>
      <c r="B571" s="290"/>
    </row>
    <row r="572" spans="1:2" ht="15">
      <c r="A572" s="306"/>
      <c r="B572" s="290"/>
    </row>
    <row r="573" spans="1:2" ht="15">
      <c r="A573" s="306"/>
      <c r="B573" s="290"/>
    </row>
    <row r="574" spans="1:2" ht="15">
      <c r="A574" s="306"/>
      <c r="B574" s="290"/>
    </row>
    <row r="575" spans="1:2" ht="15">
      <c r="A575" s="306"/>
      <c r="B575" s="290"/>
    </row>
    <row r="576" spans="1:2" ht="15">
      <c r="A576" s="306"/>
      <c r="B576" s="290"/>
    </row>
    <row r="577" spans="1:2" ht="15">
      <c r="A577" s="306"/>
      <c r="B577" s="290"/>
    </row>
    <row r="578" spans="1:2" ht="15">
      <c r="A578" s="306"/>
      <c r="B578" s="290"/>
    </row>
    <row r="579" spans="1:2" ht="15">
      <c r="A579" s="306"/>
      <c r="B579" s="290"/>
    </row>
    <row r="580" spans="1:2" ht="15">
      <c r="A580" s="306"/>
      <c r="B580" s="290"/>
    </row>
    <row r="581" spans="1:2" ht="15">
      <c r="A581" s="306"/>
      <c r="B581" s="290"/>
    </row>
    <row r="582" spans="1:2" ht="15">
      <c r="A582" s="306"/>
      <c r="B582" s="290"/>
    </row>
    <row r="583" spans="1:2" ht="15">
      <c r="A583" s="306"/>
      <c r="B583" s="290"/>
    </row>
    <row r="584" spans="1:2" ht="15">
      <c r="A584" s="306"/>
      <c r="B584" s="290"/>
    </row>
    <row r="585" spans="1:2" ht="15">
      <c r="A585" s="306"/>
      <c r="B585" s="290"/>
    </row>
    <row r="586" spans="1:2" ht="15">
      <c r="A586" s="306"/>
      <c r="B586" s="290"/>
    </row>
    <row r="587" spans="1:2" ht="15">
      <c r="A587" s="306"/>
      <c r="B587" s="290"/>
    </row>
    <row r="588" spans="1:2" ht="15">
      <c r="A588" s="306"/>
      <c r="B588" s="290"/>
    </row>
    <row r="589" spans="1:2" ht="15">
      <c r="A589" s="306"/>
      <c r="B589" s="290"/>
    </row>
    <row r="590" spans="1:2" ht="15">
      <c r="A590" s="306"/>
      <c r="B590" s="290"/>
    </row>
    <row r="591" spans="1:2" ht="15">
      <c r="A591" s="306"/>
      <c r="B591" s="290"/>
    </row>
    <row r="592" spans="1:2" ht="15">
      <c r="A592" s="306"/>
      <c r="B592" s="290"/>
    </row>
    <row r="593" spans="1:2" ht="15">
      <c r="A593" s="306"/>
      <c r="B593" s="290"/>
    </row>
    <row r="594" spans="1:2" ht="15">
      <c r="A594" s="306"/>
      <c r="B594" s="290"/>
    </row>
    <row r="595" spans="1:2" ht="15">
      <c r="A595" s="306"/>
      <c r="B595" s="290"/>
    </row>
    <row r="596" spans="1:2" ht="15">
      <c r="A596" s="306"/>
      <c r="B596" s="290"/>
    </row>
    <row r="597" spans="1:2" ht="15">
      <c r="A597" s="306"/>
      <c r="B597" s="290"/>
    </row>
    <row r="598" spans="1:2" ht="15">
      <c r="A598" s="306"/>
      <c r="B598" s="290"/>
    </row>
    <row r="599" spans="1:2" ht="15">
      <c r="A599" s="306"/>
      <c r="B599" s="290"/>
    </row>
    <row r="600" spans="1:2" ht="15">
      <c r="A600" s="306"/>
      <c r="B600" s="290"/>
    </row>
    <row r="601" spans="1:2" ht="15">
      <c r="A601" s="306"/>
      <c r="B601" s="290"/>
    </row>
    <row r="602" spans="1:2" ht="15">
      <c r="A602" s="306"/>
      <c r="B602" s="290"/>
    </row>
    <row r="603" spans="1:2" ht="15">
      <c r="A603" s="306"/>
      <c r="B603" s="290"/>
    </row>
    <row r="604" spans="1:2" ht="15">
      <c r="A604" s="306"/>
      <c r="B604" s="290"/>
    </row>
    <row r="605" spans="1:2" ht="15">
      <c r="A605" s="306"/>
      <c r="B605" s="290"/>
    </row>
    <row r="606" spans="1:2" ht="15">
      <c r="A606" s="306"/>
      <c r="B606" s="290"/>
    </row>
    <row r="607" spans="1:2" ht="15">
      <c r="A607" s="306"/>
      <c r="B607" s="290"/>
    </row>
    <row r="608" spans="1:2" ht="15">
      <c r="A608" s="306"/>
      <c r="B608" s="290"/>
    </row>
    <row r="609" spans="1:2" ht="15">
      <c r="A609" s="306"/>
      <c r="B609" s="290"/>
    </row>
    <row r="610" spans="1:2" ht="15">
      <c r="A610" s="306"/>
      <c r="B610" s="290"/>
    </row>
    <row r="611" spans="1:2" ht="15">
      <c r="A611" s="306"/>
      <c r="B611" s="290"/>
    </row>
    <row r="612" spans="1:2" ht="15">
      <c r="A612" s="306"/>
      <c r="B612" s="290"/>
    </row>
    <row r="613" spans="1:2" ht="15">
      <c r="A613" s="306"/>
      <c r="B613" s="290"/>
    </row>
    <row r="614" spans="1:2" ht="15">
      <c r="A614" s="306"/>
      <c r="B614" s="290"/>
    </row>
    <row r="615" spans="1:2" ht="15">
      <c r="A615" s="306"/>
      <c r="B615" s="290"/>
    </row>
    <row r="616" spans="1:2" ht="15">
      <c r="A616" s="306"/>
      <c r="B616" s="290"/>
    </row>
    <row r="617" spans="1:2" ht="15">
      <c r="A617" s="306"/>
      <c r="B617" s="290"/>
    </row>
    <row r="618" spans="1:2" ht="15">
      <c r="A618" s="306"/>
      <c r="B618" s="290"/>
    </row>
    <row r="619" spans="1:2" ht="15">
      <c r="A619" s="306"/>
      <c r="B619" s="290"/>
    </row>
    <row r="620" spans="1:2" ht="15">
      <c r="A620" s="306"/>
      <c r="B620" s="290"/>
    </row>
    <row r="621" spans="1:2" ht="15">
      <c r="A621" s="306"/>
      <c r="B621" s="290"/>
    </row>
    <row r="622" spans="1:2" ht="15">
      <c r="A622" s="306"/>
      <c r="B622" s="290"/>
    </row>
    <row r="623" spans="1:2" ht="15">
      <c r="A623" s="306"/>
      <c r="B623" s="290"/>
    </row>
    <row r="624" spans="1:2" ht="15">
      <c r="A624" s="306"/>
      <c r="B624" s="290"/>
    </row>
    <row r="625" spans="1:2" ht="15">
      <c r="A625" s="306"/>
      <c r="B625" s="290"/>
    </row>
    <row r="626" spans="1:2" ht="15">
      <c r="A626" s="306"/>
      <c r="B626" s="290"/>
    </row>
    <row r="627" spans="1:2" ht="15">
      <c r="A627" s="306"/>
      <c r="B627" s="290"/>
    </row>
    <row r="628" spans="1:2" ht="15">
      <c r="A628" s="306"/>
      <c r="B628" s="290"/>
    </row>
    <row r="629" spans="1:2" ht="15">
      <c r="A629" s="306"/>
      <c r="B629" s="290"/>
    </row>
    <row r="630" spans="1:2" ht="15">
      <c r="A630" s="306"/>
      <c r="B630" s="290"/>
    </row>
    <row r="631" spans="1:2" ht="15">
      <c r="A631" s="306"/>
      <c r="B631" s="290"/>
    </row>
    <row r="632" spans="1:2" ht="15">
      <c r="A632" s="306"/>
      <c r="B632" s="290"/>
    </row>
    <row r="633" spans="1:2" ht="15">
      <c r="A633" s="306"/>
      <c r="B633" s="290"/>
    </row>
    <row r="634" spans="1:2" ht="15">
      <c r="A634" s="306"/>
      <c r="B634" s="290"/>
    </row>
    <row r="635" spans="1:2" ht="15">
      <c r="A635" s="306"/>
      <c r="B635" s="290"/>
    </row>
    <row r="636" spans="1:2" ht="15">
      <c r="A636" s="306"/>
      <c r="B636" s="290"/>
    </row>
    <row r="637" spans="1:2" ht="15">
      <c r="A637" s="306"/>
      <c r="B637" s="290"/>
    </row>
    <row r="638" spans="1:2" ht="15">
      <c r="A638" s="306"/>
      <c r="B638" s="290"/>
    </row>
    <row r="639" spans="1:2" ht="15">
      <c r="A639" s="306"/>
      <c r="B639" s="290"/>
    </row>
    <row r="640" spans="1:2" ht="15">
      <c r="A640" s="306"/>
      <c r="B640" s="290"/>
    </row>
    <row r="641" spans="1:2" ht="15">
      <c r="A641" s="306"/>
      <c r="B641" s="290"/>
    </row>
    <row r="642" spans="1:2" ht="15">
      <c r="A642" s="306"/>
      <c r="B642" s="290"/>
    </row>
    <row r="643" spans="1:2" ht="15">
      <c r="A643" s="306"/>
      <c r="B643" s="290"/>
    </row>
    <row r="644" spans="1:2" ht="15">
      <c r="A644" s="306"/>
      <c r="B644" s="290"/>
    </row>
    <row r="645" spans="1:2" ht="15">
      <c r="A645" s="306"/>
      <c r="B645" s="290"/>
    </row>
    <row r="646" spans="1:2" ht="15">
      <c r="A646" s="306"/>
      <c r="B646" s="290"/>
    </row>
    <row r="647" spans="1:2" ht="15">
      <c r="A647" s="306"/>
      <c r="B647" s="290"/>
    </row>
    <row r="648" spans="1:2" ht="15">
      <c r="A648" s="306"/>
      <c r="B648" s="290"/>
    </row>
    <row r="649" spans="1:2" ht="15">
      <c r="A649" s="306"/>
      <c r="B649" s="290"/>
    </row>
    <row r="650" spans="1:2" ht="15">
      <c r="A650" s="306"/>
      <c r="B650" s="290"/>
    </row>
    <row r="651" spans="1:2" ht="15">
      <c r="A651" s="306"/>
      <c r="B651" s="290"/>
    </row>
    <row r="652" spans="1:2" ht="15">
      <c r="A652" s="306"/>
      <c r="B652" s="290"/>
    </row>
    <row r="653" spans="1:2" ht="15">
      <c r="A653" s="306"/>
      <c r="B653" s="290"/>
    </row>
    <row r="654" spans="1:2" ht="15">
      <c r="A654" s="306"/>
      <c r="B654" s="290"/>
    </row>
    <row r="655" spans="1:2" ht="15">
      <c r="A655" s="306"/>
      <c r="B655" s="290"/>
    </row>
    <row r="656" spans="1:2" ht="15">
      <c r="A656" s="306"/>
      <c r="B656" s="290"/>
    </row>
    <row r="657" spans="1:2" ht="15">
      <c r="A657" s="306"/>
      <c r="B657" s="290"/>
    </row>
    <row r="658" spans="1:2" ht="15">
      <c r="A658" s="306"/>
      <c r="B658" s="290"/>
    </row>
    <row r="659" spans="1:2" ht="15">
      <c r="A659" s="306"/>
      <c r="B659" s="290"/>
    </row>
    <row r="660" spans="1:2" ht="15">
      <c r="A660" s="306"/>
      <c r="B660" s="290"/>
    </row>
    <row r="661" spans="1:2" ht="15">
      <c r="A661" s="306"/>
      <c r="B661" s="290"/>
    </row>
    <row r="662" spans="1:2" ht="15">
      <c r="A662" s="306"/>
      <c r="B662" s="290"/>
    </row>
    <row r="663" spans="1:2" ht="15">
      <c r="A663" s="306"/>
      <c r="B663" s="290"/>
    </row>
    <row r="664" spans="1:2" ht="15">
      <c r="A664" s="306"/>
      <c r="B664" s="290"/>
    </row>
    <row r="665" spans="1:2" ht="15">
      <c r="A665" s="306"/>
      <c r="B665" s="290"/>
    </row>
    <row r="666" spans="1:2" ht="15">
      <c r="A666" s="306"/>
      <c r="B666" s="290"/>
    </row>
    <row r="667" spans="1:2" ht="15">
      <c r="A667" s="306"/>
      <c r="B667" s="290"/>
    </row>
    <row r="668" spans="1:2" ht="15">
      <c r="A668" s="306"/>
      <c r="B668" s="290"/>
    </row>
    <row r="669" spans="1:2" ht="15">
      <c r="A669" s="306"/>
      <c r="B669" s="290"/>
    </row>
    <row r="670" spans="1:2" ht="15">
      <c r="A670" s="306"/>
      <c r="B670" s="290"/>
    </row>
    <row r="671" spans="1:2" ht="15">
      <c r="A671" s="306"/>
      <c r="B671" s="290"/>
    </row>
    <row r="672" spans="1:2" ht="15">
      <c r="A672" s="306"/>
      <c r="B672" s="290"/>
    </row>
    <row r="673" spans="1:2" ht="15">
      <c r="A673" s="306"/>
      <c r="B673" s="290"/>
    </row>
    <row r="674" spans="1:2" ht="15">
      <c r="A674" s="306"/>
      <c r="B674" s="290"/>
    </row>
    <row r="675" spans="1:2" ht="15">
      <c r="A675" s="306"/>
      <c r="B675" s="290"/>
    </row>
    <row r="676" spans="1:2" ht="15">
      <c r="A676" s="306"/>
      <c r="B676" s="290"/>
    </row>
    <row r="677" spans="1:2" ht="15">
      <c r="A677" s="306"/>
      <c r="B677" s="290"/>
    </row>
    <row r="678" spans="1:2" ht="15">
      <c r="A678" s="306"/>
      <c r="B678" s="290"/>
    </row>
    <row r="679" spans="1:2" ht="15">
      <c r="A679" s="306"/>
      <c r="B679" s="290"/>
    </row>
    <row r="680" spans="1:2" ht="15">
      <c r="A680" s="306"/>
      <c r="B680" s="290"/>
    </row>
    <row r="681" spans="1:2" ht="15">
      <c r="A681" s="306"/>
      <c r="B681" s="290"/>
    </row>
    <row r="682" spans="1:2" ht="15">
      <c r="A682" s="306"/>
      <c r="B682" s="290"/>
    </row>
    <row r="683" spans="1:2" ht="15">
      <c r="A683" s="306"/>
      <c r="B683" s="290"/>
    </row>
    <row r="684" spans="1:2" ht="15">
      <c r="A684" s="306"/>
      <c r="B684" s="290"/>
    </row>
    <row r="685" spans="1:2" ht="15">
      <c r="A685" s="306"/>
      <c r="B685" s="290"/>
    </row>
    <row r="686" spans="1:2" ht="15">
      <c r="A686" s="306"/>
      <c r="B686" s="290"/>
    </row>
    <row r="687" spans="1:2" ht="15">
      <c r="A687" s="306"/>
      <c r="B687" s="290"/>
    </row>
    <row r="688" spans="1:2" ht="15">
      <c r="A688" s="306"/>
      <c r="B688" s="290"/>
    </row>
    <row r="689" spans="1:2" ht="15">
      <c r="A689" s="306"/>
      <c r="B689" s="290"/>
    </row>
    <row r="690" spans="1:2" ht="15">
      <c r="A690" s="306"/>
      <c r="B690" s="290"/>
    </row>
    <row r="691" spans="1:2" ht="15">
      <c r="A691" s="306"/>
      <c r="B691" s="290"/>
    </row>
    <row r="692" spans="1:2" ht="15">
      <c r="A692" s="306"/>
      <c r="B692" s="290"/>
    </row>
    <row r="693" spans="1:2" ht="15">
      <c r="A693" s="306"/>
      <c r="B693" s="290"/>
    </row>
    <row r="694" spans="1:2" ht="15">
      <c r="A694" s="306"/>
      <c r="B694" s="290"/>
    </row>
    <row r="695" spans="1:2" ht="15">
      <c r="A695" s="306"/>
      <c r="B695" s="290"/>
    </row>
    <row r="696" spans="1:2" ht="15">
      <c r="A696" s="306"/>
      <c r="B696" s="290"/>
    </row>
    <row r="697" spans="1:2" ht="15">
      <c r="A697" s="306"/>
      <c r="B697" s="290"/>
    </row>
    <row r="698" spans="1:2" ht="15">
      <c r="A698" s="306"/>
      <c r="B698" s="290"/>
    </row>
    <row r="699" spans="1:2" ht="15">
      <c r="A699" s="306"/>
      <c r="B699" s="290"/>
    </row>
    <row r="700" spans="1:2" ht="15">
      <c r="A700" s="306"/>
      <c r="B700" s="290"/>
    </row>
    <row r="701" spans="1:2" ht="15">
      <c r="A701" s="306"/>
      <c r="B701" s="290"/>
    </row>
    <row r="702" spans="1:2" ht="15">
      <c r="A702" s="306"/>
      <c r="B702" s="290"/>
    </row>
    <row r="703" spans="1:2" ht="15">
      <c r="A703" s="306"/>
      <c r="B703" s="290"/>
    </row>
    <row r="704" spans="1:2" ht="15">
      <c r="A704" s="306"/>
      <c r="B704" s="290"/>
    </row>
    <row r="705" spans="1:2" ht="15">
      <c r="A705" s="306"/>
      <c r="B705" s="290"/>
    </row>
    <row r="706" spans="1:2" ht="15">
      <c r="A706" s="306"/>
      <c r="B706" s="290"/>
    </row>
    <row r="707" spans="1:2" ht="15">
      <c r="A707" s="306"/>
      <c r="B707" s="290"/>
    </row>
    <row r="708" spans="1:2" ht="15">
      <c r="A708" s="306"/>
      <c r="B708" s="290"/>
    </row>
    <row r="709" spans="1:2" ht="15">
      <c r="A709" s="306"/>
      <c r="B709" s="290"/>
    </row>
    <row r="710" spans="1:2" ht="15">
      <c r="A710" s="306"/>
      <c r="B710" s="290"/>
    </row>
    <row r="711" spans="1:2" ht="15">
      <c r="A711" s="306"/>
      <c r="B711" s="290"/>
    </row>
    <row r="712" spans="1:2" ht="15">
      <c r="A712" s="306"/>
      <c r="B712" s="290"/>
    </row>
    <row r="713" spans="1:2" ht="15">
      <c r="A713" s="306"/>
      <c r="B713" s="290"/>
    </row>
    <row r="714" spans="1:2" ht="15">
      <c r="A714" s="306"/>
      <c r="B714" s="290"/>
    </row>
    <row r="715" spans="1:2" ht="15">
      <c r="A715" s="306"/>
      <c r="B715" s="290"/>
    </row>
    <row r="716" spans="1:2" ht="15">
      <c r="A716" s="306"/>
      <c r="B716" s="290"/>
    </row>
    <row r="717" spans="1:2" ht="15">
      <c r="A717" s="306"/>
      <c r="B717" s="290"/>
    </row>
    <row r="718" spans="1:2" ht="15">
      <c r="A718" s="306"/>
      <c r="B718" s="290"/>
    </row>
    <row r="719" spans="1:2" ht="15">
      <c r="A719" s="306"/>
      <c r="B719" s="290"/>
    </row>
    <row r="720" spans="1:2" ht="15">
      <c r="A720" s="306"/>
      <c r="B720" s="290"/>
    </row>
    <row r="721" spans="1:2" ht="15">
      <c r="A721" s="306"/>
      <c r="B721" s="290"/>
    </row>
    <row r="722" spans="1:2" ht="15">
      <c r="A722" s="306"/>
      <c r="B722" s="290"/>
    </row>
    <row r="723" spans="1:2" ht="15">
      <c r="A723" s="306"/>
      <c r="B723" s="290"/>
    </row>
    <row r="724" spans="1:2" ht="15">
      <c r="A724" s="306"/>
      <c r="B724" s="290"/>
    </row>
    <row r="725" spans="1:2" ht="15">
      <c r="A725" s="306"/>
      <c r="B725" s="290"/>
    </row>
    <row r="726" spans="1:2" ht="15">
      <c r="A726" s="306"/>
      <c r="B726" s="290"/>
    </row>
    <row r="727" spans="1:2" ht="15">
      <c r="A727" s="306"/>
      <c r="B727" s="290"/>
    </row>
    <row r="728" spans="1:2" ht="15">
      <c r="A728" s="306"/>
      <c r="B728" s="290"/>
    </row>
    <row r="729" spans="1:2" ht="15">
      <c r="A729" s="306"/>
      <c r="B729" s="290"/>
    </row>
    <row r="730" spans="1:2" ht="15">
      <c r="A730" s="306"/>
      <c r="B730" s="290"/>
    </row>
    <row r="731" spans="1:2" ht="15">
      <c r="A731" s="306"/>
      <c r="B731" s="290"/>
    </row>
    <row r="732" spans="1:2" ht="15">
      <c r="A732" s="306"/>
      <c r="B732" s="290"/>
    </row>
    <row r="733" spans="1:2" ht="15">
      <c r="A733" s="306"/>
      <c r="B733" s="290"/>
    </row>
    <row r="734" spans="1:2" ht="15">
      <c r="A734" s="306"/>
      <c r="B734" s="290"/>
    </row>
    <row r="735" spans="1:2" ht="15">
      <c r="A735" s="306"/>
      <c r="B735" s="290"/>
    </row>
    <row r="736" spans="1:2" ht="15">
      <c r="A736" s="306"/>
      <c r="B736" s="290"/>
    </row>
    <row r="737" spans="1:2" ht="15">
      <c r="A737" s="306"/>
      <c r="B737" s="290"/>
    </row>
    <row r="738" spans="1:2" ht="15">
      <c r="A738" s="306"/>
      <c r="B738" s="290"/>
    </row>
    <row r="739" spans="1:2" ht="15">
      <c r="A739" s="306"/>
      <c r="B739" s="290"/>
    </row>
    <row r="740" spans="1:2" ht="15">
      <c r="A740" s="306"/>
      <c r="B740" s="290"/>
    </row>
    <row r="741" spans="1:2" ht="15">
      <c r="A741" s="306"/>
      <c r="B741" s="290"/>
    </row>
    <row r="742" spans="1:2" ht="15">
      <c r="A742" s="306"/>
      <c r="B742" s="290"/>
    </row>
    <row r="743" spans="1:2" ht="15">
      <c r="A743" s="306"/>
      <c r="B743" s="290"/>
    </row>
    <row r="744" spans="1:2" ht="15">
      <c r="A744" s="306"/>
      <c r="B744" s="290"/>
    </row>
    <row r="745" spans="1:2" ht="15">
      <c r="A745" s="306"/>
      <c r="B745" s="290"/>
    </row>
    <row r="746" spans="1:2" ht="15">
      <c r="A746" s="306"/>
      <c r="B746" s="290"/>
    </row>
    <row r="747" spans="1:2" ht="15">
      <c r="A747" s="306"/>
      <c r="B747" s="290"/>
    </row>
    <row r="748" spans="1:2" ht="15">
      <c r="A748" s="306"/>
      <c r="B748" s="290"/>
    </row>
    <row r="749" spans="1:2" ht="15">
      <c r="A749" s="306"/>
      <c r="B749" s="290"/>
    </row>
    <row r="750" spans="1:2" ht="15">
      <c r="A750" s="306"/>
      <c r="B750" s="290"/>
    </row>
    <row r="751" spans="1:2" ht="15">
      <c r="A751" s="306"/>
      <c r="B751" s="290"/>
    </row>
    <row r="752" spans="1:2" ht="15">
      <c r="A752" s="306"/>
      <c r="B752" s="290"/>
    </row>
    <row r="753" spans="1:2" ht="15">
      <c r="A753" s="306"/>
      <c r="B753" s="290"/>
    </row>
    <row r="754" spans="1:2" ht="15">
      <c r="A754" s="306"/>
      <c r="B754" s="290"/>
    </row>
    <row r="755" spans="1:2" ht="15">
      <c r="A755" s="306"/>
      <c r="B755" s="290"/>
    </row>
    <row r="756" spans="1:2" ht="15">
      <c r="A756" s="306"/>
      <c r="B756" s="290"/>
    </row>
    <row r="757" spans="1:2" ht="15">
      <c r="A757" s="306"/>
      <c r="B757" s="290"/>
    </row>
    <row r="758" spans="1:2" ht="15">
      <c r="A758" s="306"/>
      <c r="B758" s="290"/>
    </row>
    <row r="759" spans="1:2" ht="15">
      <c r="A759" s="306"/>
      <c r="B759" s="290"/>
    </row>
    <row r="760" spans="1:2" ht="15">
      <c r="A760" s="306"/>
      <c r="B760" s="290"/>
    </row>
    <row r="761" spans="1:2" ht="15">
      <c r="A761" s="306"/>
      <c r="B761" s="290"/>
    </row>
    <row r="762" spans="1:2" ht="15">
      <c r="A762" s="306"/>
      <c r="B762" s="290"/>
    </row>
    <row r="763" spans="1:2" ht="15">
      <c r="A763" s="306"/>
      <c r="B763" s="290"/>
    </row>
    <row r="764" spans="1:2" ht="15">
      <c r="A764" s="306"/>
      <c r="B764" s="290"/>
    </row>
    <row r="765" spans="1:2" ht="15">
      <c r="A765" s="306"/>
      <c r="B765" s="290"/>
    </row>
    <row r="766" spans="1:2" ht="15">
      <c r="A766" s="306"/>
      <c r="B766" s="290"/>
    </row>
    <row r="767" spans="1:2" ht="15">
      <c r="A767" s="306"/>
      <c r="B767" s="290"/>
    </row>
    <row r="768" spans="1:2" ht="15">
      <c r="A768" s="306"/>
      <c r="B768" s="290"/>
    </row>
    <row r="769" spans="1:2" ht="15">
      <c r="A769" s="306"/>
      <c r="B769" s="290"/>
    </row>
    <row r="770" spans="1:2" ht="15">
      <c r="A770" s="306"/>
      <c r="B770" s="290"/>
    </row>
    <row r="771" spans="1:2" ht="15">
      <c r="A771" s="306"/>
      <c r="B771" s="290"/>
    </row>
    <row r="772" spans="1:2" ht="15">
      <c r="A772" s="306"/>
      <c r="B772" s="290"/>
    </row>
    <row r="773" spans="1:2" ht="15">
      <c r="A773" s="306"/>
      <c r="B773" s="290"/>
    </row>
    <row r="774" spans="1:2" ht="15">
      <c r="A774" s="306"/>
      <c r="B774" s="290"/>
    </row>
    <row r="775" spans="1:2" ht="15">
      <c r="A775" s="306"/>
      <c r="B775" s="290"/>
    </row>
    <row r="776" spans="1:2" ht="15">
      <c r="A776" s="306"/>
      <c r="B776" s="290"/>
    </row>
    <row r="777" spans="1:2" ht="15">
      <c r="A777" s="306"/>
      <c r="B777" s="290"/>
    </row>
    <row r="778" spans="1:2" ht="15">
      <c r="A778" s="306"/>
      <c r="B778" s="290"/>
    </row>
    <row r="779" spans="1:2" ht="15">
      <c r="A779" s="306"/>
      <c r="B779" s="290"/>
    </row>
    <row r="780" spans="1:2" ht="15">
      <c r="A780" s="306"/>
      <c r="B780" s="290"/>
    </row>
    <row r="781" spans="1:2" ht="15">
      <c r="A781" s="306"/>
      <c r="B781" s="290"/>
    </row>
    <row r="782" spans="1:2" ht="15">
      <c r="A782" s="306"/>
      <c r="B782" s="290"/>
    </row>
    <row r="783" spans="1:2" ht="15">
      <c r="A783" s="306"/>
      <c r="B783" s="290"/>
    </row>
    <row r="784" spans="1:2" ht="15">
      <c r="A784" s="306"/>
      <c r="B784" s="290"/>
    </row>
    <row r="785" spans="1:2" ht="15">
      <c r="A785" s="306"/>
      <c r="B785" s="290"/>
    </row>
    <row r="786" spans="1:2" ht="15">
      <c r="A786" s="306"/>
      <c r="B786" s="290"/>
    </row>
    <row r="787" spans="1:2" ht="15">
      <c r="A787" s="306"/>
      <c r="B787" s="290"/>
    </row>
    <row r="788" spans="1:2" ht="15">
      <c r="A788" s="306"/>
      <c r="B788" s="290"/>
    </row>
    <row r="789" spans="1:2" ht="15">
      <c r="A789" s="306"/>
      <c r="B789" s="290"/>
    </row>
    <row r="790" spans="1:2" ht="15">
      <c r="A790" s="306"/>
      <c r="B790" s="290"/>
    </row>
    <row r="791" spans="1:2" ht="15">
      <c r="A791" s="306"/>
      <c r="B791" s="290"/>
    </row>
    <row r="792" spans="1:2" ht="15">
      <c r="A792" s="306"/>
      <c r="B792" s="290"/>
    </row>
    <row r="793" spans="1:2" ht="15">
      <c r="A793" s="306"/>
      <c r="B793" s="290"/>
    </row>
    <row r="794" spans="1:2" ht="15">
      <c r="A794" s="306"/>
      <c r="B794" s="290"/>
    </row>
    <row r="795" spans="1:2" ht="15">
      <c r="A795" s="306"/>
      <c r="B795" s="290"/>
    </row>
    <row r="796" spans="1:2" ht="15">
      <c r="A796" s="306"/>
      <c r="B796" s="290"/>
    </row>
    <row r="797" spans="1:2" ht="15">
      <c r="A797" s="306"/>
      <c r="B797" s="290"/>
    </row>
    <row r="798" spans="1:2" ht="15">
      <c r="A798" s="306"/>
      <c r="B798" s="290"/>
    </row>
    <row r="799" spans="1:2" ht="15">
      <c r="A799" s="306"/>
      <c r="B799" s="290"/>
    </row>
    <row r="800" spans="1:2" ht="15">
      <c r="A800" s="306"/>
      <c r="B800" s="290"/>
    </row>
    <row r="801" spans="1:2" ht="15">
      <c r="A801" s="306"/>
      <c r="B801" s="290"/>
    </row>
    <row r="802" spans="1:2" ht="15">
      <c r="A802" s="306"/>
      <c r="B802" s="290"/>
    </row>
    <row r="803" spans="1:2" ht="15">
      <c r="A803" s="306"/>
      <c r="B803" s="290"/>
    </row>
    <row r="804" spans="1:2" ht="15">
      <c r="A804" s="306"/>
      <c r="B804" s="290"/>
    </row>
    <row r="805" spans="1:2" ht="15">
      <c r="A805" s="306"/>
      <c r="B805" s="290"/>
    </row>
    <row r="806" spans="1:2" ht="15">
      <c r="A806" s="306"/>
      <c r="B806" s="290"/>
    </row>
    <row r="807" spans="1:2" ht="15">
      <c r="A807" s="306"/>
      <c r="B807" s="290"/>
    </row>
    <row r="808" spans="1:2" ht="15">
      <c r="A808" s="306"/>
      <c r="B808" s="290"/>
    </row>
    <row r="809" spans="1:2" ht="15">
      <c r="A809" s="306"/>
      <c r="B809" s="290"/>
    </row>
    <row r="810" spans="1:2" ht="15">
      <c r="A810" s="306"/>
      <c r="B810" s="290"/>
    </row>
    <row r="811" spans="1:2" ht="15">
      <c r="A811" s="306"/>
      <c r="B811" s="290"/>
    </row>
    <row r="812" spans="1:2" ht="15">
      <c r="A812" s="306"/>
      <c r="B812" s="290"/>
    </row>
    <row r="813" spans="1:2" ht="15">
      <c r="A813" s="306"/>
      <c r="B813" s="290"/>
    </row>
    <row r="814" spans="1:2" ht="15">
      <c r="A814" s="306"/>
      <c r="B814" s="290"/>
    </row>
    <row r="815" spans="1:2" ht="15">
      <c r="A815" s="306"/>
      <c r="B815" s="290"/>
    </row>
    <row r="816" spans="1:2" ht="15">
      <c r="A816" s="306"/>
      <c r="B816" s="290"/>
    </row>
    <row r="817" spans="1:2" ht="15">
      <c r="A817" s="306"/>
      <c r="B817" s="290"/>
    </row>
    <row r="818" spans="1:2" ht="15">
      <c r="A818" s="306"/>
      <c r="B818" s="290"/>
    </row>
    <row r="819" spans="1:2" ht="15">
      <c r="A819" s="306"/>
      <c r="B819" s="290"/>
    </row>
    <row r="820" spans="1:2" ht="15">
      <c r="A820" s="306"/>
      <c r="B820" s="290"/>
    </row>
    <row r="821" spans="1:2" ht="15">
      <c r="A821" s="306"/>
      <c r="B821" s="290"/>
    </row>
    <row r="822" spans="1:2" ht="15">
      <c r="A822" s="306"/>
      <c r="B822" s="290"/>
    </row>
    <row r="823" spans="1:2" ht="15">
      <c r="A823" s="306"/>
      <c r="B823" s="290"/>
    </row>
    <row r="824" spans="1:2" ht="15">
      <c r="A824" s="306"/>
      <c r="B824" s="290"/>
    </row>
    <row r="825" spans="1:2" ht="15">
      <c r="A825" s="306"/>
      <c r="B825" s="290"/>
    </row>
    <row r="826" spans="1:2" ht="15">
      <c r="A826" s="306"/>
      <c r="B826" s="290"/>
    </row>
    <row r="827" spans="1:2" ht="15">
      <c r="A827" s="306"/>
      <c r="B827" s="290"/>
    </row>
    <row r="828" spans="1:2" ht="15">
      <c r="A828" s="306"/>
      <c r="B828" s="290"/>
    </row>
    <row r="829" spans="1:2" ht="15">
      <c r="A829" s="306"/>
      <c r="B829" s="290"/>
    </row>
    <row r="830" spans="1:2" ht="15">
      <c r="A830" s="306"/>
      <c r="B830" s="290"/>
    </row>
    <row r="831" spans="1:2" ht="15">
      <c r="A831" s="306"/>
      <c r="B831" s="290"/>
    </row>
    <row r="832" spans="1:2" ht="15">
      <c r="A832" s="306"/>
      <c r="B832" s="290"/>
    </row>
    <row r="833" spans="1:2" ht="15">
      <c r="A833" s="306"/>
      <c r="B833" s="290"/>
    </row>
    <row r="834" spans="1:2" ht="15">
      <c r="A834" s="306"/>
      <c r="B834" s="290"/>
    </row>
    <row r="835" spans="1:2" ht="15">
      <c r="A835" s="306"/>
      <c r="B835" s="290"/>
    </row>
    <row r="836" spans="1:2" ht="15">
      <c r="A836" s="306"/>
      <c r="B836" s="290"/>
    </row>
    <row r="837" spans="1:2" ht="15">
      <c r="A837" s="306"/>
      <c r="B837" s="290"/>
    </row>
    <row r="838" spans="1:2" ht="15">
      <c r="A838" s="306"/>
      <c r="B838" s="290"/>
    </row>
    <row r="839" spans="1:2" ht="15">
      <c r="A839" s="306"/>
      <c r="B839" s="290"/>
    </row>
    <row r="840" spans="1:2" ht="15">
      <c r="A840" s="306"/>
      <c r="B840" s="290"/>
    </row>
    <row r="841" spans="1:2" ht="15">
      <c r="A841" s="306"/>
      <c r="B841" s="290"/>
    </row>
    <row r="842" spans="1:2" ht="15">
      <c r="A842" s="306"/>
      <c r="B842" s="290"/>
    </row>
    <row r="843" spans="1:2" ht="15">
      <c r="A843" s="306"/>
      <c r="B843" s="290"/>
    </row>
    <row r="844" spans="1:2" ht="15">
      <c r="A844" s="306"/>
      <c r="B844" s="290"/>
    </row>
    <row r="845" spans="1:2" ht="15">
      <c r="A845" s="306"/>
      <c r="B845" s="290"/>
    </row>
    <row r="846" spans="1:2" ht="15">
      <c r="A846" s="306"/>
      <c r="B846" s="290"/>
    </row>
    <row r="847" spans="1:2" ht="15">
      <c r="A847" s="306"/>
      <c r="B847" s="290"/>
    </row>
    <row r="848" spans="1:2" ht="15">
      <c r="A848" s="306"/>
      <c r="B848" s="290"/>
    </row>
    <row r="849" spans="1:2" ht="15">
      <c r="A849" s="306"/>
      <c r="B849" s="290"/>
    </row>
    <row r="850" spans="1:2" ht="15">
      <c r="A850" s="306"/>
      <c r="B850" s="290"/>
    </row>
    <row r="851" spans="1:2" ht="15">
      <c r="A851" s="306"/>
      <c r="B851" s="290"/>
    </row>
    <row r="852" spans="1:2" ht="15">
      <c r="A852" s="306"/>
      <c r="B852" s="290"/>
    </row>
    <row r="853" spans="1:2" ht="15">
      <c r="A853" s="306"/>
      <c r="B853" s="290"/>
    </row>
    <row r="854" spans="1:2" ht="15">
      <c r="A854" s="306"/>
      <c r="B854" s="290"/>
    </row>
    <row r="855" spans="1:2" ht="15">
      <c r="A855" s="306"/>
      <c r="B855" s="290"/>
    </row>
    <row r="856" spans="1:2" ht="15">
      <c r="A856" s="306"/>
      <c r="B856" s="290"/>
    </row>
    <row r="857" spans="1:2" ht="15">
      <c r="A857" s="306"/>
      <c r="B857" s="290"/>
    </row>
    <row r="858" spans="1:2" ht="15">
      <c r="A858" s="306"/>
      <c r="B858" s="290"/>
    </row>
    <row r="859" spans="1:2" ht="15">
      <c r="A859" s="306"/>
      <c r="B859" s="290"/>
    </row>
    <row r="860" spans="1:2" ht="15">
      <c r="A860" s="306"/>
      <c r="B860" s="290"/>
    </row>
    <row r="861" spans="1:2" ht="15">
      <c r="A861" s="306"/>
      <c r="B861" s="290"/>
    </row>
    <row r="862" spans="1:2" ht="15">
      <c r="A862" s="306"/>
      <c r="B862" s="290"/>
    </row>
    <row r="863" spans="1:2" ht="15">
      <c r="A863" s="306"/>
      <c r="B863" s="290"/>
    </row>
    <row r="864" spans="1:2" ht="15">
      <c r="A864" s="306"/>
      <c r="B864" s="290"/>
    </row>
    <row r="865" spans="1:2" ht="15">
      <c r="A865" s="306"/>
      <c r="B865" s="290"/>
    </row>
    <row r="866" spans="1:2" ht="15">
      <c r="A866" s="306"/>
      <c r="B866" s="290"/>
    </row>
    <row r="867" spans="1:2" ht="15">
      <c r="A867" s="306"/>
      <c r="B867" s="290"/>
    </row>
    <row r="868" spans="1:2" ht="15">
      <c r="A868" s="306"/>
      <c r="B868" s="290"/>
    </row>
    <row r="869" spans="1:2" ht="15">
      <c r="A869" s="306"/>
      <c r="B869" s="290"/>
    </row>
    <row r="870" spans="1:2" ht="15">
      <c r="A870" s="306"/>
      <c r="B870" s="290"/>
    </row>
    <row r="871" spans="1:2" ht="15">
      <c r="A871" s="306"/>
      <c r="B871" s="290"/>
    </row>
    <row r="872" spans="1:2" ht="15">
      <c r="A872" s="306"/>
      <c r="B872" s="290"/>
    </row>
    <row r="873" spans="1:2" ht="15">
      <c r="A873" s="306"/>
      <c r="B873" s="290"/>
    </row>
    <row r="874" spans="1:2" ht="15">
      <c r="A874" s="306"/>
      <c r="B874" s="290"/>
    </row>
    <row r="875" spans="1:2" ht="15">
      <c r="A875" s="306"/>
      <c r="B875" s="290"/>
    </row>
    <row r="876" spans="1:2" ht="15">
      <c r="A876" s="306"/>
      <c r="B876" s="290"/>
    </row>
    <row r="877" spans="1:2" ht="15">
      <c r="A877" s="306"/>
      <c r="B877" s="290"/>
    </row>
    <row r="878" spans="1:2" ht="15">
      <c r="A878" s="306"/>
      <c r="B878" s="290"/>
    </row>
    <row r="879" spans="1:2" ht="15">
      <c r="A879" s="306"/>
      <c r="B879" s="290"/>
    </row>
    <row r="880" spans="1:2" ht="15">
      <c r="A880" s="306"/>
      <c r="B880" s="290"/>
    </row>
    <row r="881" spans="1:2" ht="15">
      <c r="A881" s="306"/>
      <c r="B881" s="290"/>
    </row>
    <row r="882" spans="1:2" ht="15">
      <c r="A882" s="306"/>
      <c r="B882" s="290"/>
    </row>
    <row r="883" spans="1:2" ht="15">
      <c r="A883" s="306"/>
      <c r="B883" s="290"/>
    </row>
    <row r="884" spans="1:2" ht="15">
      <c r="A884" s="306"/>
      <c r="B884" s="290"/>
    </row>
    <row r="885" spans="1:2" ht="15">
      <c r="A885" s="306"/>
      <c r="B885" s="290"/>
    </row>
    <row r="886" spans="1:2" ht="15">
      <c r="A886" s="306"/>
      <c r="B886" s="290"/>
    </row>
    <row r="887" spans="1:2" ht="15">
      <c r="A887" s="306"/>
      <c r="B887" s="290"/>
    </row>
    <row r="888" spans="1:2" ht="15">
      <c r="A888" s="306"/>
      <c r="B888" s="290"/>
    </row>
    <row r="889" spans="1:2" ht="15">
      <c r="A889" s="306"/>
      <c r="B889" s="290"/>
    </row>
    <row r="890" spans="1:2" ht="15">
      <c r="A890" s="306"/>
      <c r="B890" s="290"/>
    </row>
    <row r="891" spans="1:2" ht="15">
      <c r="A891" s="306"/>
      <c r="B891" s="290"/>
    </row>
    <row r="892" spans="1:2" ht="15">
      <c r="A892" s="306"/>
      <c r="B892" s="290"/>
    </row>
    <row r="893" spans="1:2" ht="15">
      <c r="A893" s="306"/>
      <c r="B893" s="290"/>
    </row>
  </sheetData>
  <sortState xmlns:xlrd2="http://schemas.microsoft.com/office/spreadsheetml/2017/richdata2" ref="A2:C87">
    <sortCondition ref="C2:C87"/>
    <sortCondition ref="B2:B87"/>
  </sortState>
  <hyperlinks>
    <hyperlink ref="A2" r:id="rId1" xr:uid="{00000000-0004-0000-1500-000000000000}"/>
    <hyperlink ref="A7" r:id="rId2" xr:uid="{00000000-0004-0000-1500-000003000000}"/>
    <hyperlink ref="B7" r:id="rId3" display="https://doi.org/10.1371/journal.pone.0035808" xr:uid="{00000000-0004-0000-1500-000004000000}"/>
    <hyperlink ref="A8" r:id="rId4" xr:uid="{00000000-0004-0000-1500-000005000000}"/>
    <hyperlink ref="A9" r:id="rId5" xr:uid="{00000000-0004-0000-1500-000006000000}"/>
    <hyperlink ref="B9" r:id="rId6" display="https://www.sciencedirect.com/science/article/abs/pii/S0044848613006820" xr:uid="{00000000-0004-0000-1500-000007000000}"/>
    <hyperlink ref="A10" r:id="rId7" xr:uid="{00000000-0004-0000-1500-00000A000000}"/>
    <hyperlink ref="B10" r:id="rId8" display="https://zslpublications.onlinelibrary.wiley.com/doi/abs/10.1111/j.1469-7998.2009.00688.x" xr:uid="{00000000-0004-0000-1500-00000B000000}"/>
    <hyperlink ref="A11" r:id="rId9" xr:uid="{00000000-0004-0000-1500-00000E000000}"/>
    <hyperlink ref="B11" r:id="rId10" display="http://www.saltcorner.com/AquariumLibrary/browsesection.php" xr:uid="{00000000-0004-0000-1500-00000F000000}"/>
    <hyperlink ref="A12" r:id="rId11" xr:uid="{00000000-0004-0000-1500-000010000000}"/>
    <hyperlink ref="B12" r:id="rId12" display="https://www.reeflex.net/" xr:uid="{00000000-0004-0000-1500-000011000000}"/>
    <hyperlink ref="A39" r:id="rId13" xr:uid="{00000000-0004-0000-1500-000022000000}"/>
    <hyperlink ref="A40" r:id="rId14" xr:uid="{00000000-0004-0000-1500-000023000000}"/>
    <hyperlink ref="A42" r:id="rId15" xr:uid="{00000000-0004-0000-1500-000024000000}"/>
    <hyperlink ref="A44" r:id="rId16" xr:uid="{00000000-0004-0000-1500-000025000000}"/>
    <hyperlink ref="A45" r:id="rId17" xr:uid="{00000000-0004-0000-1500-000026000000}"/>
    <hyperlink ref="A61" r:id="rId18" xr:uid="{00000000-0004-0000-1500-000029000000}"/>
    <hyperlink ref="A67" r:id="rId19" xr:uid="{00000000-0004-0000-1500-00002A000000}"/>
    <hyperlink ref="A68" r:id="rId20" xr:uid="{00000000-0004-0000-1500-00002B000000}"/>
    <hyperlink ref="A70" r:id="rId21" xr:uid="{00000000-0004-0000-1500-00002C000000}"/>
    <hyperlink ref="A72" r:id="rId22" xr:uid="{00000000-0004-0000-1500-00002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Charts</vt:lpstr>
      </vt:variant>
      <vt:variant>
        <vt:i4>7</vt:i4>
      </vt:variant>
    </vt:vector>
  </HeadingPairs>
  <TitlesOfParts>
    <vt:vector size="19" baseType="lpstr">
      <vt:lpstr>2025 PH PSA Scores</vt:lpstr>
      <vt:lpstr>Copy of New Scoring - 2023 PSA </vt:lpstr>
      <vt:lpstr>Validity of species namesfamili</vt:lpstr>
      <vt:lpstr>Sheet14</vt:lpstr>
      <vt:lpstr>2022 PSA Weighting - Top 20 Vul</vt:lpstr>
      <vt:lpstr>2023 PSA Weighting - Top 20 Vul</vt:lpstr>
      <vt:lpstr>Data for factor score average (</vt:lpstr>
      <vt:lpstr>Sheet18</vt:lpstr>
      <vt:lpstr>P,S,V Averages per family - 202</vt:lpstr>
      <vt:lpstr>Families</vt:lpstr>
      <vt:lpstr>PSA final list (duplicatesgenus</vt:lpstr>
      <vt:lpstr>Sources</vt:lpstr>
      <vt:lpstr>Chart13</vt:lpstr>
      <vt:lpstr>Chart10</vt:lpstr>
      <vt:lpstr>Chart6</vt:lpstr>
      <vt:lpstr>Chart9</vt:lpstr>
      <vt:lpstr>Chart8</vt:lpstr>
      <vt:lpstr>Chart5</vt:lpstr>
      <vt:lpstr>Chart14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BALDISIMO, JEM</cp:lastModifiedBy>
  <cp:revision/>
  <dcterms:created xsi:type="dcterms:W3CDTF">2024-07-03T03:37:13Z</dcterms:created>
  <dcterms:modified xsi:type="dcterms:W3CDTF">2025-12-31T04:07:10Z</dcterms:modified>
  <cp:category/>
  <cp:contentStatus/>
</cp:coreProperties>
</file>